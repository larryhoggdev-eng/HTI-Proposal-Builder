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omments4.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elliotw\Desktop\Quote Tools\Quote Tool - Outside Sales\"/>
    </mc:Choice>
  </mc:AlternateContent>
  <xr:revisionPtr revIDLastSave="0" documentId="13_ncr:1_{91C8D2D5-9BB2-458D-9DFF-775FA4CA8437}" xr6:coauthVersionLast="47" xr6:coauthVersionMax="47" xr10:uidLastSave="{00000000-0000-0000-0000-000000000000}"/>
  <bookViews>
    <workbookView xWindow="38280" yWindow="-11580" windowWidth="38640" windowHeight="21120" tabRatio="773" firstSheet="1" activeTab="2" xr2:uid="{F81E16E7-D3C3-46A5-907F-66705F1BF997}"/>
  </bookViews>
  <sheets>
    <sheet name="P" sheetId="2" state="hidden" r:id="rId1"/>
    <sheet name="INFO" sheetId="4" r:id="rId2"/>
    <sheet name="FIELD" sheetId="14" r:id="rId3"/>
    <sheet name="CODES" sheetId="12" r:id="rId4"/>
    <sheet name="PO" sheetId="18" r:id="rId5"/>
    <sheet name="Old PO" sheetId="1" state="hidden" r:id="rId6"/>
    <sheet name="SW" sheetId="8" r:id="rId7"/>
    <sheet name="SGC" sheetId="10" r:id="rId8"/>
    <sheet name="SIKA" sheetId="9" r:id="rId9"/>
    <sheet name="BLANK" sheetId="11" r:id="rId10"/>
    <sheet name="Pack List" sheetId="5" r:id="rId11"/>
    <sheet name="WO (Autofill)" sheetId="16" r:id="rId12"/>
    <sheet name="WO (Classic)" sheetId="17" r:id="rId13"/>
    <sheet name="PM Notes" sheetId="7" r:id="rId14"/>
  </sheets>
  <definedNames>
    <definedName name="_Order1" hidden="1">255</definedName>
    <definedName name="_Order2" hidden="1">255</definedName>
    <definedName name="ALL">#REF!</definedName>
    <definedName name="ALLP">#REF!</definedName>
    <definedName name="COST">#REF!</definedName>
    <definedName name="ExternalData_1" localSheetId="5" hidden="1">'Old PO'!$A$1:$F$2</definedName>
    <definedName name="ExternalData_1" localSheetId="10" hidden="1">'Pack List'!$C$8:$L$9</definedName>
    <definedName name="ExternalData_1" localSheetId="4" hidden="1">PO!$B$21:$G$22</definedName>
    <definedName name="ExternalData_2" localSheetId="4" hidden="1">PO!$B$21:$G$22</definedName>
    <definedName name="Markets">#REF!</definedName>
    <definedName name="MAT">#REF!</definedName>
    <definedName name="_xlnm.Print_Area" localSheetId="9">BLANK!$C$2:$I$62,BLANK!$M$2:$S$53</definedName>
    <definedName name="_xlnm.Print_Area" localSheetId="2">FIELD!$A$3:$K$80</definedName>
    <definedName name="_xlnm.Print_Area" localSheetId="1">INFO!$A$1:$K$69</definedName>
    <definedName name="_xlnm.Print_Area" localSheetId="5">'Old PO'!$A$1:$I$3</definedName>
    <definedName name="_xlnm.Print_Area" localSheetId="10">Pack_List[#All]</definedName>
    <definedName name="_xlnm.Print_Area" localSheetId="4">PO!$B$3:$J$1048576</definedName>
    <definedName name="_xlnm.Print_Area" localSheetId="7">SGC!$B$4:$I$73,SGC!$L$4:$S$73,SGC!$W$652:$AC$687</definedName>
    <definedName name="_xlnm.Print_Area" localSheetId="8">SIKA!$B$4:$I$64,SIKA!$M$4:$S$64</definedName>
    <definedName name="_xlnm.Print_Area" localSheetId="6">SW!$B$4:$I$65,SW!$L$4:$S$65,SW!$X$383:$AD$462</definedName>
    <definedName name="_xlnm.Print_Area" localSheetId="11">'WO (Autofill)'!$A$1:$M$53</definedName>
    <definedName name="_xlnm.Print_Area" localSheetId="12">'WO (Classic)'!$A$1:$M$53</definedName>
    <definedName name="Print_Area_MI">#REF!</definedName>
    <definedName name="_xlnm.Print_Titles" localSheetId="10">'Pack List'!$1:$7</definedName>
    <definedName name="PUR">#REF!</definedName>
    <definedName name="SU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17" l="1"/>
  <c r="J20" i="16"/>
  <c r="J19" i="16"/>
  <c r="C19" i="16"/>
  <c r="I17" i="16"/>
  <c r="I16" i="16"/>
  <c r="I15" i="16"/>
  <c r="J14" i="16"/>
  <c r="J12" i="16"/>
  <c r="G12" i="16"/>
  <c r="C12" i="16"/>
  <c r="K10" i="16"/>
  <c r="F10" i="16"/>
  <c r="D6" i="5"/>
  <c r="D4" i="5"/>
  <c r="C2" i="5"/>
  <c r="S63" i="11"/>
  <c r="Q63" i="11"/>
  <c r="R51" i="11"/>
  <c r="P51" i="11"/>
  <c r="R50" i="11"/>
  <c r="P50" i="11"/>
  <c r="N50" i="11"/>
  <c r="I50" i="11"/>
  <c r="N49" i="11"/>
  <c r="I49" i="11"/>
  <c r="N48" i="11"/>
  <c r="I48" i="11"/>
  <c r="I47" i="11"/>
  <c r="S46" i="11"/>
  <c r="R46" i="11"/>
  <c r="Q46" i="11"/>
  <c r="I46" i="11"/>
  <c r="I45" i="11"/>
  <c r="I44" i="11"/>
  <c r="I43" i="11"/>
  <c r="I42" i="11"/>
  <c r="I41" i="11"/>
  <c r="I40" i="11"/>
  <c r="I39" i="11"/>
  <c r="I38" i="11"/>
  <c r="R37" i="11"/>
  <c r="N37" i="11"/>
  <c r="M37" i="11"/>
  <c r="I37" i="11"/>
  <c r="R36" i="11"/>
  <c r="I36" i="11"/>
  <c r="I35" i="11"/>
  <c r="N34" i="11"/>
  <c r="I34" i="11"/>
  <c r="R33" i="11"/>
  <c r="N33" i="11"/>
  <c r="I33" i="11"/>
  <c r="N32" i="11"/>
  <c r="I32" i="11"/>
  <c r="N31" i="11"/>
  <c r="I31" i="11"/>
  <c r="N30" i="11"/>
  <c r="R29" i="11"/>
  <c r="N29" i="11"/>
  <c r="R28" i="11"/>
  <c r="N28" i="11"/>
  <c r="R27" i="11"/>
  <c r="I27" i="11"/>
  <c r="I26" i="11"/>
  <c r="I25" i="11"/>
  <c r="I24" i="11"/>
  <c r="I23" i="11"/>
  <c r="S22" i="11"/>
  <c r="I22" i="11"/>
  <c r="S21" i="11"/>
  <c r="I21" i="11"/>
  <c r="S20" i="11"/>
  <c r="I20" i="11"/>
  <c r="S19" i="11"/>
  <c r="I19" i="11"/>
  <c r="S18" i="11"/>
  <c r="I18" i="11"/>
  <c r="S17" i="11"/>
  <c r="I17" i="11"/>
  <c r="S16" i="11"/>
  <c r="I16" i="11"/>
  <c r="S15" i="11"/>
  <c r="I15" i="11"/>
  <c r="S14" i="11"/>
  <c r="I14" i="11"/>
  <c r="S13" i="11"/>
  <c r="I13" i="11"/>
  <c r="S12" i="11"/>
  <c r="I12" i="11"/>
  <c r="I11" i="11"/>
  <c r="I10" i="11"/>
  <c r="S9" i="11"/>
  <c r="Q9" i="11"/>
  <c r="L9" i="11"/>
  <c r="I9" i="11"/>
  <c r="S8" i="11"/>
  <c r="I8" i="11"/>
  <c r="S7" i="11"/>
  <c r="I7" i="11"/>
  <c r="S6" i="11"/>
  <c r="I6" i="11"/>
  <c r="S5" i="11"/>
  <c r="I5" i="11"/>
  <c r="S4" i="11"/>
  <c r="I4" i="11"/>
  <c r="AF132" i="9"/>
  <c r="AF131" i="9"/>
  <c r="AF130" i="9"/>
  <c r="AF129" i="9"/>
  <c r="AF128" i="9"/>
  <c r="AF127" i="9"/>
  <c r="AF126" i="9"/>
  <c r="AF125" i="9"/>
  <c r="AF124" i="9"/>
  <c r="AF123" i="9"/>
  <c r="AF122" i="9"/>
  <c r="AF121" i="9"/>
  <c r="AF120" i="9"/>
  <c r="AF119" i="9"/>
  <c r="AF118" i="9"/>
  <c r="AF117" i="9"/>
  <c r="AF116" i="9"/>
  <c r="AF115" i="9"/>
  <c r="AF114" i="9"/>
  <c r="AF113" i="9"/>
  <c r="AF112" i="9"/>
  <c r="AF111" i="9"/>
  <c r="AF110" i="9"/>
  <c r="AF109" i="9"/>
  <c r="AF108" i="9"/>
  <c r="AF107" i="9"/>
  <c r="AF106" i="9"/>
  <c r="AF105" i="9"/>
  <c r="AF104" i="9"/>
  <c r="AF103" i="9"/>
  <c r="AF102" i="9"/>
  <c r="AF101" i="9"/>
  <c r="AF100" i="9"/>
  <c r="AF99" i="9"/>
  <c r="AF98" i="9"/>
  <c r="AF97" i="9"/>
  <c r="AF96" i="9"/>
  <c r="AF95" i="9"/>
  <c r="AF94" i="9"/>
  <c r="AF93" i="9"/>
  <c r="AF92" i="9"/>
  <c r="AF91" i="9"/>
  <c r="AF90" i="9"/>
  <c r="AF89" i="9"/>
  <c r="AF88" i="9"/>
  <c r="AF87" i="9"/>
  <c r="AF86" i="9"/>
  <c r="AF85" i="9"/>
  <c r="AF84" i="9"/>
  <c r="S84" i="9"/>
  <c r="Q84" i="9"/>
  <c r="AF83" i="9"/>
  <c r="AF82" i="9"/>
  <c r="AF81" i="9"/>
  <c r="AF80" i="9"/>
  <c r="AF79" i="9"/>
  <c r="AF78" i="9"/>
  <c r="H78" i="9"/>
  <c r="D78" i="9"/>
  <c r="C78" i="9"/>
  <c r="AF77" i="9"/>
  <c r="H77" i="9"/>
  <c r="AF76" i="9"/>
  <c r="AF75" i="9"/>
  <c r="D75" i="9"/>
  <c r="AF74" i="9"/>
  <c r="H74" i="9"/>
  <c r="D74" i="9"/>
  <c r="AF73" i="9"/>
  <c r="R73" i="9"/>
  <c r="P73" i="9"/>
  <c r="D73" i="9"/>
  <c r="AF72" i="9"/>
  <c r="R72" i="9"/>
  <c r="P72" i="9"/>
  <c r="N72" i="9"/>
  <c r="D72" i="9"/>
  <c r="AF71" i="9"/>
  <c r="N71" i="9"/>
  <c r="D71" i="9"/>
  <c r="AF70" i="9"/>
  <c r="N70" i="9"/>
  <c r="H70" i="9"/>
  <c r="D70" i="9"/>
  <c r="AF69" i="9"/>
  <c r="H69" i="9"/>
  <c r="D69" i="9"/>
  <c r="AF68" i="9"/>
  <c r="S68" i="9"/>
  <c r="R68" i="9"/>
  <c r="Q68" i="9"/>
  <c r="H68" i="9"/>
  <c r="AF67" i="9"/>
  <c r="AF66" i="9"/>
  <c r="AF65" i="9"/>
  <c r="AF64" i="9"/>
  <c r="I64" i="9"/>
  <c r="AF63" i="9"/>
  <c r="S63" i="9"/>
  <c r="I63" i="9"/>
  <c r="AF62" i="9"/>
  <c r="T62" i="9"/>
  <c r="S62" i="9"/>
  <c r="I62" i="9"/>
  <c r="AF61" i="9"/>
  <c r="S61" i="9"/>
  <c r="I61" i="9"/>
  <c r="AF60" i="9"/>
  <c r="S60" i="9"/>
  <c r="I60" i="9"/>
  <c r="AF59" i="9"/>
  <c r="S59" i="9"/>
  <c r="I59" i="9"/>
  <c r="AF58" i="9"/>
  <c r="S58" i="9"/>
  <c r="I58" i="9"/>
  <c r="AF57" i="9"/>
  <c r="S57" i="9"/>
  <c r="I57" i="9"/>
  <c r="AF56" i="9"/>
  <c r="S56" i="9"/>
  <c r="I56" i="9"/>
  <c r="AF55" i="9"/>
  <c r="S55" i="9"/>
  <c r="I55" i="9"/>
  <c r="AF54" i="9"/>
  <c r="S54" i="9"/>
  <c r="I54" i="9"/>
  <c r="AF53" i="9"/>
  <c r="S53" i="9"/>
  <c r="I53" i="9"/>
  <c r="AF52" i="9"/>
  <c r="I52" i="9"/>
  <c r="AF51" i="9"/>
  <c r="I51" i="9"/>
  <c r="AF50" i="9"/>
  <c r="S50" i="9"/>
  <c r="Q50" i="9"/>
  <c r="L50" i="9"/>
  <c r="I50" i="9"/>
  <c r="AF49" i="9"/>
  <c r="S49" i="9"/>
  <c r="I49" i="9"/>
  <c r="AF48" i="9"/>
  <c r="S48" i="9"/>
  <c r="I48" i="9"/>
  <c r="AF47" i="9"/>
  <c r="S47" i="9"/>
  <c r="I47" i="9"/>
  <c r="AF46" i="9"/>
  <c r="S46" i="9"/>
  <c r="I46" i="9"/>
  <c r="AF45" i="9"/>
  <c r="S45" i="9"/>
  <c r="I45" i="9"/>
  <c r="AF44" i="9"/>
  <c r="AF43" i="9"/>
  <c r="AF42" i="9"/>
  <c r="AF41" i="9"/>
  <c r="S41" i="9"/>
  <c r="I41" i="9"/>
  <c r="AF40" i="9"/>
  <c r="S40" i="9"/>
  <c r="Q40" i="9"/>
  <c r="O40" i="9"/>
  <c r="N40" i="9"/>
  <c r="L40" i="9"/>
  <c r="I40" i="9"/>
  <c r="G40" i="9"/>
  <c r="D40" i="9"/>
  <c r="B40" i="9"/>
  <c r="AF39" i="9"/>
  <c r="S39" i="9"/>
  <c r="Q39" i="9"/>
  <c r="O39" i="9"/>
  <c r="N39" i="9"/>
  <c r="L39" i="9"/>
  <c r="I39" i="9"/>
  <c r="G39" i="9"/>
  <c r="D39" i="9"/>
  <c r="B39" i="9"/>
  <c r="AF38" i="9"/>
  <c r="S38" i="9"/>
  <c r="Q38" i="9"/>
  <c r="O38" i="9"/>
  <c r="N38" i="9"/>
  <c r="L38" i="9"/>
  <c r="I38" i="9"/>
  <c r="G38" i="9"/>
  <c r="D38" i="9"/>
  <c r="B38" i="9"/>
  <c r="AF37" i="9"/>
  <c r="S37" i="9"/>
  <c r="Q37" i="9"/>
  <c r="O37" i="9"/>
  <c r="N37" i="9"/>
  <c r="L37" i="9"/>
  <c r="I37" i="9"/>
  <c r="G37" i="9"/>
  <c r="D37" i="9"/>
  <c r="B37" i="9"/>
  <c r="AF36" i="9"/>
  <c r="S36" i="9"/>
  <c r="Q36" i="9"/>
  <c r="O36" i="9"/>
  <c r="N36" i="9"/>
  <c r="L36" i="9"/>
  <c r="I36" i="9"/>
  <c r="G36" i="9"/>
  <c r="D36" i="9"/>
  <c r="B36" i="9"/>
  <c r="AF35" i="9"/>
  <c r="S35" i="9"/>
  <c r="Q35" i="9"/>
  <c r="O35" i="9"/>
  <c r="N35" i="9"/>
  <c r="L35" i="9"/>
  <c r="I35" i="9"/>
  <c r="G35" i="9"/>
  <c r="D35" i="9"/>
  <c r="B35" i="9"/>
  <c r="AF34" i="9"/>
  <c r="S34" i="9"/>
  <c r="Q34" i="9"/>
  <c r="O34" i="9"/>
  <c r="N34" i="9"/>
  <c r="L34" i="9"/>
  <c r="I34" i="9"/>
  <c r="G34" i="9"/>
  <c r="D34" i="9"/>
  <c r="B34" i="9"/>
  <c r="AF33" i="9"/>
  <c r="S33" i="9"/>
  <c r="Q33" i="9"/>
  <c r="O33" i="9"/>
  <c r="N33" i="9"/>
  <c r="L33" i="9"/>
  <c r="I33" i="9"/>
  <c r="G33" i="9"/>
  <c r="D33" i="9"/>
  <c r="B33" i="9"/>
  <c r="AF32" i="9"/>
  <c r="S32" i="9"/>
  <c r="Q32" i="9"/>
  <c r="O32" i="9"/>
  <c r="N32" i="9"/>
  <c r="L32" i="9"/>
  <c r="I32" i="9"/>
  <c r="G32" i="9"/>
  <c r="D32" i="9"/>
  <c r="B32" i="9"/>
  <c r="AF31" i="9"/>
  <c r="AF30" i="9"/>
  <c r="AF29" i="9"/>
  <c r="AF28" i="9"/>
  <c r="S28" i="9"/>
  <c r="I28" i="9"/>
  <c r="AF27" i="9"/>
  <c r="S27" i="9"/>
  <c r="Q27" i="9"/>
  <c r="O27" i="9"/>
  <c r="L27" i="9"/>
  <c r="I27" i="9"/>
  <c r="G27" i="9"/>
  <c r="E27" i="9"/>
  <c r="B27" i="9"/>
  <c r="AF26" i="9"/>
  <c r="S26" i="9"/>
  <c r="Q26" i="9"/>
  <c r="O26" i="9"/>
  <c r="L26" i="9"/>
  <c r="I26" i="9"/>
  <c r="G26" i="9"/>
  <c r="E26" i="9"/>
  <c r="B26" i="9"/>
  <c r="AF25" i="9"/>
  <c r="S25" i="9"/>
  <c r="Q25" i="9"/>
  <c r="O25" i="9"/>
  <c r="L25" i="9"/>
  <c r="I25" i="9"/>
  <c r="G25" i="9"/>
  <c r="E25" i="9"/>
  <c r="B25" i="9"/>
  <c r="AF24" i="9"/>
  <c r="S24" i="9"/>
  <c r="Q24" i="9"/>
  <c r="O24" i="9"/>
  <c r="L24" i="9"/>
  <c r="I24" i="9"/>
  <c r="G24" i="9"/>
  <c r="E24" i="9"/>
  <c r="B24" i="9"/>
  <c r="AF23" i="9"/>
  <c r="S23" i="9"/>
  <c r="Q23" i="9"/>
  <c r="O23" i="9"/>
  <c r="L23" i="9"/>
  <c r="I23" i="9"/>
  <c r="G23" i="9"/>
  <c r="E23" i="9"/>
  <c r="B23" i="9"/>
  <c r="AF22" i="9"/>
  <c r="S22" i="9"/>
  <c r="Q22" i="9"/>
  <c r="O22" i="9"/>
  <c r="L22" i="9"/>
  <c r="I22" i="9"/>
  <c r="G22" i="9"/>
  <c r="E22" i="9"/>
  <c r="B22" i="9"/>
  <c r="AF21" i="9"/>
  <c r="S21" i="9"/>
  <c r="Q21" i="9"/>
  <c r="O21" i="9"/>
  <c r="L21" i="9"/>
  <c r="I21" i="9"/>
  <c r="G21" i="9"/>
  <c r="E21" i="9"/>
  <c r="B21" i="9"/>
  <c r="AF20" i="9"/>
  <c r="S20" i="9"/>
  <c r="Q20" i="9"/>
  <c r="O20" i="9"/>
  <c r="L20" i="9"/>
  <c r="I20" i="9"/>
  <c r="G20" i="9"/>
  <c r="E20" i="9"/>
  <c r="B20" i="9"/>
  <c r="AF19" i="9"/>
  <c r="S19" i="9"/>
  <c r="Q19" i="9"/>
  <c r="O19" i="9"/>
  <c r="L19" i="9"/>
  <c r="I19" i="9"/>
  <c r="G19" i="9"/>
  <c r="E19" i="9"/>
  <c r="B19" i="9"/>
  <c r="AF18" i="9"/>
  <c r="AF17" i="9"/>
  <c r="AF16" i="9"/>
  <c r="AF15" i="9"/>
  <c r="S15" i="9"/>
  <c r="I15" i="9"/>
  <c r="AF14" i="9"/>
  <c r="S14" i="9"/>
  <c r="Q14" i="9"/>
  <c r="O14" i="9"/>
  <c r="L14" i="9"/>
  <c r="I14" i="9"/>
  <c r="G14" i="9"/>
  <c r="E14" i="9"/>
  <c r="D14" i="9"/>
  <c r="B14" i="9"/>
  <c r="AF13" i="9"/>
  <c r="S13" i="9"/>
  <c r="Q13" i="9"/>
  <c r="O13" i="9"/>
  <c r="L13" i="9"/>
  <c r="I13" i="9"/>
  <c r="G13" i="9"/>
  <c r="E13" i="9"/>
  <c r="D13" i="9"/>
  <c r="B13" i="9"/>
  <c r="AF12" i="9"/>
  <c r="S12" i="9"/>
  <c r="Q12" i="9"/>
  <c r="O12" i="9"/>
  <c r="L12" i="9"/>
  <c r="I12" i="9"/>
  <c r="G12" i="9"/>
  <c r="E12" i="9"/>
  <c r="D12" i="9"/>
  <c r="B12" i="9"/>
  <c r="AF11" i="9"/>
  <c r="S11" i="9"/>
  <c r="Q11" i="9"/>
  <c r="O11" i="9"/>
  <c r="L11" i="9"/>
  <c r="I11" i="9"/>
  <c r="G11" i="9"/>
  <c r="E11" i="9"/>
  <c r="D11" i="9"/>
  <c r="B11" i="9"/>
  <c r="AF10" i="9"/>
  <c r="S10" i="9"/>
  <c r="Q10" i="9"/>
  <c r="O10" i="9"/>
  <c r="L10" i="9"/>
  <c r="I10" i="9"/>
  <c r="G10" i="9"/>
  <c r="E10" i="9"/>
  <c r="D10" i="9"/>
  <c r="B10" i="9"/>
  <c r="AF9" i="9"/>
  <c r="S9" i="9"/>
  <c r="Q9" i="9"/>
  <c r="O9" i="9"/>
  <c r="L9" i="9"/>
  <c r="I9" i="9"/>
  <c r="G9" i="9"/>
  <c r="E9" i="9"/>
  <c r="D9" i="9"/>
  <c r="B9" i="9"/>
  <c r="AF8" i="9"/>
  <c r="S8" i="9"/>
  <c r="Q8" i="9"/>
  <c r="O8" i="9"/>
  <c r="L8" i="9"/>
  <c r="I8" i="9"/>
  <c r="G8" i="9"/>
  <c r="E8" i="9"/>
  <c r="D8" i="9"/>
  <c r="B8" i="9"/>
  <c r="AF7" i="9"/>
  <c r="S7" i="9"/>
  <c r="Q7" i="9"/>
  <c r="O7" i="9"/>
  <c r="L7" i="9"/>
  <c r="I7" i="9"/>
  <c r="G7" i="9"/>
  <c r="E7" i="9"/>
  <c r="D7" i="9"/>
  <c r="B7" i="9"/>
  <c r="AF6" i="9"/>
  <c r="S6" i="9"/>
  <c r="Q6" i="9"/>
  <c r="O6" i="9"/>
  <c r="L6" i="9"/>
  <c r="I6" i="9"/>
  <c r="G6" i="9"/>
  <c r="E6" i="9"/>
  <c r="D6" i="9"/>
  <c r="B6" i="9"/>
  <c r="AF5" i="9"/>
  <c r="C1" i="9"/>
  <c r="M688" i="10"/>
  <c r="M687" i="10"/>
  <c r="M686" i="10"/>
  <c r="M685" i="10"/>
  <c r="M684" i="10"/>
  <c r="M683" i="10"/>
  <c r="M682" i="10"/>
  <c r="M681" i="10"/>
  <c r="W680" i="10"/>
  <c r="M680" i="10"/>
  <c r="W679" i="10"/>
  <c r="M679" i="10"/>
  <c r="AA677" i="10"/>
  <c r="AC676" i="10"/>
  <c r="AB676" i="10"/>
  <c r="AA676" i="10"/>
  <c r="Z676" i="10"/>
  <c r="Y676" i="10"/>
  <c r="X676" i="10"/>
  <c r="W676" i="10"/>
  <c r="AC675" i="10"/>
  <c r="AA675" i="10"/>
  <c r="Z675" i="10"/>
  <c r="Y675" i="10"/>
  <c r="X675" i="10"/>
  <c r="W675" i="10"/>
  <c r="AC674" i="10"/>
  <c r="AA674" i="10"/>
  <c r="Z674" i="10"/>
  <c r="Y674" i="10"/>
  <c r="X674" i="10"/>
  <c r="W674" i="10"/>
  <c r="AC673" i="10"/>
  <c r="AA673" i="10"/>
  <c r="Z673" i="10"/>
  <c r="Y673" i="10"/>
  <c r="W673" i="10"/>
  <c r="AC672" i="10"/>
  <c r="AB672" i="10"/>
  <c r="AA672" i="10"/>
  <c r="Z672" i="10"/>
  <c r="Y672" i="10"/>
  <c r="W672" i="10"/>
  <c r="Z671" i="10"/>
  <c r="W671" i="10"/>
  <c r="AC670" i="10"/>
  <c r="AB670" i="10"/>
  <c r="AA670" i="10"/>
  <c r="Z670" i="10"/>
  <c r="Y670" i="10"/>
  <c r="X670" i="10"/>
  <c r="W670" i="10"/>
  <c r="S669" i="10"/>
  <c r="AC668" i="10"/>
  <c r="AB668" i="10"/>
  <c r="AA668" i="10"/>
  <c r="Z668" i="10"/>
  <c r="Y668" i="10"/>
  <c r="X668" i="10"/>
  <c r="W668" i="10"/>
  <c r="T668" i="10"/>
  <c r="AC667" i="10"/>
  <c r="AB667" i="10"/>
  <c r="AA667" i="10"/>
  <c r="Z667" i="10"/>
  <c r="Y667" i="10"/>
  <c r="X667" i="10"/>
  <c r="W667" i="10"/>
  <c r="AC666" i="10"/>
  <c r="AB666" i="10"/>
  <c r="AA666" i="10"/>
  <c r="Z666" i="10"/>
  <c r="Y666" i="10"/>
  <c r="X666" i="10"/>
  <c r="W666" i="10"/>
  <c r="W665" i="10"/>
  <c r="AC663" i="10"/>
  <c r="AB663" i="10"/>
  <c r="AA663" i="10"/>
  <c r="Z663" i="10"/>
  <c r="Y663" i="10"/>
  <c r="X663" i="10"/>
  <c r="W663" i="10"/>
  <c r="AC662" i="10"/>
  <c r="AB662" i="10"/>
  <c r="AA662" i="10"/>
  <c r="Z662" i="10"/>
  <c r="Y662" i="10"/>
  <c r="X662" i="10"/>
  <c r="W662" i="10"/>
  <c r="AC661" i="10"/>
  <c r="AB661" i="10"/>
  <c r="AA661" i="10"/>
  <c r="Z661" i="10"/>
  <c r="Y661" i="10"/>
  <c r="W661" i="10"/>
  <c r="AC660" i="10"/>
  <c r="AB660" i="10"/>
  <c r="AA660" i="10"/>
  <c r="Z660" i="10"/>
  <c r="Y660" i="10"/>
  <c r="W660" i="10"/>
  <c r="AC659" i="10"/>
  <c r="AB659" i="10"/>
  <c r="AA659" i="10"/>
  <c r="Z659" i="10"/>
  <c r="Y659" i="10"/>
  <c r="W659" i="10"/>
  <c r="AC658" i="10"/>
  <c r="AB658" i="10"/>
  <c r="AA658" i="10"/>
  <c r="Z658" i="10"/>
  <c r="Y658" i="10"/>
  <c r="W658" i="10"/>
  <c r="AC657" i="10"/>
  <c r="AB657" i="10"/>
  <c r="AA657" i="10"/>
  <c r="Z657" i="10"/>
  <c r="Y657" i="10"/>
  <c r="W657" i="10"/>
  <c r="AC656" i="10"/>
  <c r="AA656" i="10"/>
  <c r="Z656" i="10"/>
  <c r="Y656" i="10"/>
  <c r="W656" i="10"/>
  <c r="AC655" i="10"/>
  <c r="AA655" i="10"/>
  <c r="Z655" i="10"/>
  <c r="Y655" i="10"/>
  <c r="W655" i="10"/>
  <c r="AC654" i="10"/>
  <c r="AA654" i="10"/>
  <c r="Z654" i="10"/>
  <c r="Y654" i="10"/>
  <c r="W654" i="10"/>
  <c r="W653" i="10"/>
  <c r="W652" i="10"/>
  <c r="AC650" i="10"/>
  <c r="AB650" i="10"/>
  <c r="AA650" i="10"/>
  <c r="Z650" i="10"/>
  <c r="Y650" i="10"/>
  <c r="X650" i="10"/>
  <c r="W650" i="10"/>
  <c r="AC649" i="10"/>
  <c r="AB649" i="10"/>
  <c r="AA649" i="10"/>
  <c r="Z649" i="10"/>
  <c r="W649" i="10"/>
  <c r="AC648" i="10"/>
  <c r="AB648" i="10"/>
  <c r="AA648" i="10"/>
  <c r="Z648" i="10"/>
  <c r="W648" i="10"/>
  <c r="AC647" i="10"/>
  <c r="AB647" i="10"/>
  <c r="AA647" i="10"/>
  <c r="Z647" i="10"/>
  <c r="W647" i="10"/>
  <c r="AC646" i="10"/>
  <c r="AB646" i="10"/>
  <c r="AA646" i="10"/>
  <c r="Z646" i="10"/>
  <c r="W646" i="10"/>
  <c r="AC645" i="10"/>
  <c r="AB645" i="10"/>
  <c r="AA645" i="10"/>
  <c r="Z645" i="10"/>
  <c r="W645" i="10"/>
  <c r="AC644" i="10"/>
  <c r="AB644" i="10"/>
  <c r="AA644" i="10"/>
  <c r="Z644" i="10"/>
  <c r="W644" i="10"/>
  <c r="AC643" i="10"/>
  <c r="AB643" i="10"/>
  <c r="AA643" i="10"/>
  <c r="Z643" i="10"/>
  <c r="W643" i="10"/>
  <c r="AC642" i="10"/>
  <c r="AB642" i="10"/>
  <c r="AA642" i="10"/>
  <c r="Z642" i="10"/>
  <c r="W642" i="10"/>
  <c r="AC641" i="10"/>
  <c r="AB641" i="10"/>
  <c r="AA641" i="10"/>
  <c r="Z641" i="10"/>
  <c r="W641" i="10"/>
  <c r="AC640" i="10"/>
  <c r="AB640" i="10"/>
  <c r="AA640" i="10"/>
  <c r="Z640" i="10"/>
  <c r="W640" i="10"/>
  <c r="AC639" i="10"/>
  <c r="AB639" i="10"/>
  <c r="AA639" i="10"/>
  <c r="Z639" i="10"/>
  <c r="W639" i="10"/>
  <c r="AC638" i="10"/>
  <c r="AB638" i="10"/>
  <c r="AA638" i="10"/>
  <c r="Z638" i="10"/>
  <c r="W638" i="10"/>
  <c r="AC637" i="10"/>
  <c r="AB637" i="10"/>
  <c r="AA637" i="10"/>
  <c r="Z637" i="10"/>
  <c r="W637" i="10"/>
  <c r="AC636" i="10"/>
  <c r="AB636" i="10"/>
  <c r="AA636" i="10"/>
  <c r="Z636" i="10"/>
  <c r="W636" i="10"/>
  <c r="AC635" i="10"/>
  <c r="AB635" i="10"/>
  <c r="AA635" i="10"/>
  <c r="Z635" i="10"/>
  <c r="W635" i="10"/>
  <c r="AC634" i="10"/>
  <c r="AB634" i="10"/>
  <c r="AA634" i="10"/>
  <c r="Z634" i="10"/>
  <c r="W634" i="10"/>
  <c r="AC633" i="10"/>
  <c r="AB633" i="10"/>
  <c r="AA633" i="10"/>
  <c r="Z633" i="10"/>
  <c r="W633" i="10"/>
  <c r="AC632" i="10"/>
  <c r="AB632" i="10"/>
  <c r="AA632" i="10"/>
  <c r="Z632" i="10"/>
  <c r="W632" i="10"/>
  <c r="AC631" i="10"/>
  <c r="AB631" i="10"/>
  <c r="AA631" i="10"/>
  <c r="Z631" i="10"/>
  <c r="W631" i="10"/>
  <c r="W630" i="10"/>
  <c r="W629" i="10"/>
  <c r="AB628" i="10"/>
  <c r="AA628" i="10"/>
  <c r="Z628" i="10"/>
  <c r="Y628" i="10"/>
  <c r="X628" i="10"/>
  <c r="W628" i="10"/>
  <c r="AC627" i="10"/>
  <c r="AB627" i="10"/>
  <c r="AA627" i="10"/>
  <c r="Z627" i="10"/>
  <c r="Y627" i="10"/>
  <c r="X627" i="10"/>
  <c r="W627" i="10"/>
  <c r="AC626" i="10"/>
  <c r="AB626" i="10"/>
  <c r="AA626" i="10"/>
  <c r="Z626" i="10"/>
  <c r="Y626" i="10"/>
  <c r="X626" i="10"/>
  <c r="W626" i="10"/>
  <c r="AC625" i="10"/>
  <c r="AB625" i="10"/>
  <c r="AA625" i="10"/>
  <c r="Z625" i="10"/>
  <c r="Y625" i="10"/>
  <c r="X625" i="10"/>
  <c r="W625" i="10"/>
  <c r="AC624" i="10"/>
  <c r="AB624" i="10"/>
  <c r="AA624" i="10"/>
  <c r="Z624" i="10"/>
  <c r="Y624" i="10"/>
  <c r="X624" i="10"/>
  <c r="W624" i="10"/>
  <c r="AC623" i="10"/>
  <c r="AB623" i="10"/>
  <c r="AA623" i="10"/>
  <c r="Z623" i="10"/>
  <c r="Y623" i="10"/>
  <c r="X623" i="10"/>
  <c r="W623" i="10"/>
  <c r="AC622" i="10"/>
  <c r="AB622" i="10"/>
  <c r="AA622" i="10"/>
  <c r="Z622" i="10"/>
  <c r="Y622" i="10"/>
  <c r="X622" i="10"/>
  <c r="W622" i="10"/>
  <c r="AC621" i="10"/>
  <c r="AB621" i="10"/>
  <c r="AA621" i="10"/>
  <c r="Z621" i="10"/>
  <c r="Y621" i="10"/>
  <c r="X621" i="10"/>
  <c r="W621" i="10"/>
  <c r="AC620" i="10"/>
  <c r="AB620" i="10"/>
  <c r="AA620" i="10"/>
  <c r="Z620" i="10"/>
  <c r="Y620" i="10"/>
  <c r="X620" i="10"/>
  <c r="W620" i="10"/>
  <c r="AC619" i="10"/>
  <c r="AB619" i="10"/>
  <c r="AA619" i="10"/>
  <c r="Z619" i="10"/>
  <c r="Y619" i="10"/>
  <c r="X619" i="10"/>
  <c r="W619" i="10"/>
  <c r="AC618" i="10"/>
  <c r="AB618" i="10"/>
  <c r="AA618" i="10"/>
  <c r="Z618" i="10"/>
  <c r="Y618" i="10"/>
  <c r="X618" i="10"/>
  <c r="W618" i="10"/>
  <c r="AB617" i="10"/>
  <c r="Z617" i="10"/>
  <c r="Y617" i="10"/>
  <c r="X617" i="10"/>
  <c r="W617" i="10"/>
  <c r="AB616" i="10"/>
  <c r="Z616" i="10"/>
  <c r="Y616" i="10"/>
  <c r="X616" i="10"/>
  <c r="W616" i="10"/>
  <c r="AC615" i="10"/>
  <c r="AB615" i="10"/>
  <c r="AA615" i="10"/>
  <c r="Z615" i="10"/>
  <c r="Y615" i="10"/>
  <c r="X615" i="10"/>
  <c r="W615" i="10"/>
  <c r="AC614" i="10"/>
  <c r="AB614" i="10"/>
  <c r="AA614" i="10"/>
  <c r="Z614" i="10"/>
  <c r="Y614" i="10"/>
  <c r="X614" i="10"/>
  <c r="W614" i="10"/>
  <c r="AC613" i="10"/>
  <c r="AB613" i="10"/>
  <c r="AA613" i="10"/>
  <c r="Z613" i="10"/>
  <c r="Y613" i="10"/>
  <c r="X613" i="10"/>
  <c r="W613" i="10"/>
  <c r="AC612" i="10"/>
  <c r="AB612" i="10"/>
  <c r="AA612" i="10"/>
  <c r="Z612" i="10"/>
  <c r="Y612" i="10"/>
  <c r="X612" i="10"/>
  <c r="W612" i="10"/>
  <c r="AC611" i="10"/>
  <c r="AB611" i="10"/>
  <c r="AA611" i="10"/>
  <c r="Z611" i="10"/>
  <c r="Y611" i="10"/>
  <c r="X611" i="10"/>
  <c r="W611" i="10"/>
  <c r="AC610" i="10"/>
  <c r="AB610" i="10"/>
  <c r="AA610" i="10"/>
  <c r="Z610" i="10"/>
  <c r="Y610" i="10"/>
  <c r="X610" i="10"/>
  <c r="W610" i="10"/>
  <c r="AC609" i="10"/>
  <c r="AB609" i="10"/>
  <c r="AA609" i="10"/>
  <c r="Z609" i="10"/>
  <c r="Y609" i="10"/>
  <c r="X609" i="10"/>
  <c r="W609" i="10"/>
  <c r="W608" i="10"/>
  <c r="S93" i="10"/>
  <c r="Q93" i="10"/>
  <c r="H87" i="10"/>
  <c r="D87" i="10"/>
  <c r="C87" i="10"/>
  <c r="H86" i="10"/>
  <c r="D84" i="10"/>
  <c r="X661" i="10" s="1"/>
  <c r="H83" i="10"/>
  <c r="D83" i="10"/>
  <c r="X660" i="10" s="1"/>
  <c r="R82" i="10"/>
  <c r="P82" i="10"/>
  <c r="D82" i="10"/>
  <c r="G2" i="2" s="1"/>
  <c r="G9" i="2" s="1"/>
  <c r="D28" i="12" s="1"/>
  <c r="R81" i="10"/>
  <c r="P81" i="10"/>
  <c r="N81" i="10"/>
  <c r="D81" i="10"/>
  <c r="X658" i="10" s="1"/>
  <c r="N80" i="10"/>
  <c r="D80" i="10"/>
  <c r="X657" i="10" s="1"/>
  <c r="N79" i="10"/>
  <c r="H79" i="10"/>
  <c r="AB656" i="10" s="1"/>
  <c r="D79" i="10"/>
  <c r="X656" i="10" s="1"/>
  <c r="H78" i="10"/>
  <c r="K2" i="2" s="1"/>
  <c r="D78" i="10"/>
  <c r="X655" i="10" s="1"/>
  <c r="S77" i="10"/>
  <c r="R77" i="10"/>
  <c r="Q77" i="10"/>
  <c r="H77" i="10"/>
  <c r="J2" i="2" s="1"/>
  <c r="I73" i="10"/>
  <c r="S72" i="10"/>
  <c r="L72" i="10"/>
  <c r="I72" i="10"/>
  <c r="S71" i="10"/>
  <c r="L71" i="10"/>
  <c r="I71" i="10"/>
  <c r="S70" i="10"/>
  <c r="L70" i="10"/>
  <c r="I70" i="10"/>
  <c r="S69" i="10"/>
  <c r="L69" i="10"/>
  <c r="I69" i="10"/>
  <c r="S68" i="10"/>
  <c r="I68" i="10"/>
  <c r="S67" i="10"/>
  <c r="I67" i="10"/>
  <c r="S66" i="10"/>
  <c r="L66" i="10"/>
  <c r="I66" i="10"/>
  <c r="S65" i="10"/>
  <c r="L65" i="10"/>
  <c r="I65" i="10"/>
  <c r="S64" i="10"/>
  <c r="L64" i="10"/>
  <c r="I64" i="10"/>
  <c r="S63" i="10"/>
  <c r="L63" i="10"/>
  <c r="I63" i="10"/>
  <c r="I62" i="10"/>
  <c r="I61" i="10"/>
  <c r="S60" i="10"/>
  <c r="Q60" i="10"/>
  <c r="L60" i="10"/>
  <c r="I60" i="10"/>
  <c r="S59" i="10"/>
  <c r="L59" i="10"/>
  <c r="I59" i="10"/>
  <c r="S58" i="10"/>
  <c r="L58" i="10"/>
  <c r="I58" i="10"/>
  <c r="S57" i="10"/>
  <c r="L57" i="10"/>
  <c r="I57" i="10"/>
  <c r="S56" i="10"/>
  <c r="L56" i="10"/>
  <c r="I56" i="10"/>
  <c r="S55" i="10"/>
  <c r="L55" i="10"/>
  <c r="I55" i="10"/>
  <c r="N50" i="10"/>
  <c r="L50" i="10"/>
  <c r="Q50" i="10" s="1"/>
  <c r="S50" i="10" s="1"/>
  <c r="D50" i="10"/>
  <c r="B50" i="10"/>
  <c r="G50" i="10" s="1"/>
  <c r="I50" i="10" s="1"/>
  <c r="N49" i="10"/>
  <c r="L49" i="10"/>
  <c r="Q49" i="10" s="1"/>
  <c r="S49" i="10" s="1"/>
  <c r="D49" i="10"/>
  <c r="B49" i="10"/>
  <c r="G49" i="10" s="1"/>
  <c r="I49" i="10" s="1"/>
  <c r="N48" i="10"/>
  <c r="L48" i="10"/>
  <c r="Q48" i="10" s="1"/>
  <c r="S48" i="10" s="1"/>
  <c r="D48" i="10"/>
  <c r="B48" i="10"/>
  <c r="G48" i="10" s="1"/>
  <c r="I48" i="10" s="1"/>
  <c r="N47" i="10"/>
  <c r="L47" i="10"/>
  <c r="Q47" i="10" s="1"/>
  <c r="S47" i="10" s="1"/>
  <c r="D47" i="10"/>
  <c r="B47" i="10"/>
  <c r="G47" i="10" s="1"/>
  <c r="I47" i="10" s="1"/>
  <c r="N46" i="10"/>
  <c r="L46" i="10"/>
  <c r="Q46" i="10" s="1"/>
  <c r="S46" i="10" s="1"/>
  <c r="D46" i="10"/>
  <c r="B46" i="10"/>
  <c r="G46" i="10" s="1"/>
  <c r="I46" i="10" s="1"/>
  <c r="N45" i="10"/>
  <c r="L45" i="10"/>
  <c r="Q45" i="10" s="1"/>
  <c r="S45" i="10" s="1"/>
  <c r="D45" i="10"/>
  <c r="B45" i="10"/>
  <c r="G45" i="10" s="1"/>
  <c r="I45" i="10" s="1"/>
  <c r="N44" i="10"/>
  <c r="L44" i="10"/>
  <c r="Q44" i="10" s="1"/>
  <c r="S44" i="10" s="1"/>
  <c r="D44" i="10"/>
  <c r="B44" i="10"/>
  <c r="G44" i="10" s="1"/>
  <c r="I44" i="10" s="1"/>
  <c r="N43" i="10"/>
  <c r="D43" i="10"/>
  <c r="B43" i="10"/>
  <c r="G43" i="10" s="1"/>
  <c r="I43" i="10" s="1"/>
  <c r="N42" i="10"/>
  <c r="D42" i="10"/>
  <c r="B42" i="10"/>
  <c r="G42" i="10" s="1"/>
  <c r="I42" i="10" s="1"/>
  <c r="N41" i="10"/>
  <c r="D41" i="10"/>
  <c r="B41" i="10"/>
  <c r="G41" i="10" s="1"/>
  <c r="I41" i="10" s="1"/>
  <c r="N40" i="10"/>
  <c r="D40" i="10"/>
  <c r="B40" i="10"/>
  <c r="G40" i="10" s="1"/>
  <c r="I40" i="10" s="1"/>
  <c r="N39" i="10"/>
  <c r="I39" i="10"/>
  <c r="D39" i="10"/>
  <c r="N38" i="10"/>
  <c r="I38" i="10"/>
  <c r="D38" i="10"/>
  <c r="L33" i="10"/>
  <c r="Q33" i="10" s="1"/>
  <c r="S33" i="10" s="1"/>
  <c r="B33" i="10"/>
  <c r="G33" i="10" s="1"/>
  <c r="I33" i="10" s="1"/>
  <c r="L32" i="10"/>
  <c r="Q32" i="10" s="1"/>
  <c r="S32" i="10" s="1"/>
  <c r="B32" i="10"/>
  <c r="G32" i="10" s="1"/>
  <c r="I32" i="10" s="1"/>
  <c r="L31" i="10"/>
  <c r="Q31" i="10" s="1"/>
  <c r="S31" i="10" s="1"/>
  <c r="B31" i="10"/>
  <c r="G31" i="10" s="1"/>
  <c r="I31" i="10" s="1"/>
  <c r="L30" i="10"/>
  <c r="Q30" i="10" s="1"/>
  <c r="S30" i="10" s="1"/>
  <c r="B30" i="10"/>
  <c r="G30" i="10" s="1"/>
  <c r="I30" i="10" s="1"/>
  <c r="L29" i="10"/>
  <c r="Q29" i="10" s="1"/>
  <c r="S29" i="10" s="1"/>
  <c r="B29" i="10"/>
  <c r="G29" i="10" s="1"/>
  <c r="I29" i="10" s="1"/>
  <c r="B28" i="10"/>
  <c r="G28" i="10" s="1"/>
  <c r="I28" i="10" s="1"/>
  <c r="L27" i="10"/>
  <c r="Q27" i="10" s="1"/>
  <c r="S27" i="10" s="1"/>
  <c r="B27" i="10"/>
  <c r="G27" i="10" s="1"/>
  <c r="I27" i="10" s="1"/>
  <c r="B26" i="10"/>
  <c r="G26" i="10" s="1"/>
  <c r="I26" i="10" s="1"/>
  <c r="V18" i="10"/>
  <c r="L18" i="10"/>
  <c r="U18" i="10" s="1"/>
  <c r="Q18" i="10" s="1"/>
  <c r="S18" i="10" s="1"/>
  <c r="D18" i="10"/>
  <c r="B18" i="10"/>
  <c r="G18" i="10" s="1"/>
  <c r="I18" i="10" s="1"/>
  <c r="V17" i="10"/>
  <c r="D17" i="10"/>
  <c r="B17" i="10"/>
  <c r="G17" i="10" s="1"/>
  <c r="I17" i="10" s="1"/>
  <c r="V16" i="10"/>
  <c r="L16" i="10"/>
  <c r="U16" i="10" s="1"/>
  <c r="Q16" i="10" s="1"/>
  <c r="S16" i="10" s="1"/>
  <c r="D16" i="10"/>
  <c r="B16" i="10"/>
  <c r="G16" i="10" s="1"/>
  <c r="I16" i="10" s="1"/>
  <c r="V15" i="10"/>
  <c r="D15" i="10"/>
  <c r="B15" i="10"/>
  <c r="G15" i="10" s="1"/>
  <c r="I15" i="10" s="1"/>
  <c r="V14" i="10"/>
  <c r="D14" i="10"/>
  <c r="B14" i="10"/>
  <c r="G14" i="10" s="1"/>
  <c r="I14" i="10" s="1"/>
  <c r="V13" i="10"/>
  <c r="D13" i="10"/>
  <c r="B13" i="10"/>
  <c r="G13" i="10" s="1"/>
  <c r="I13" i="10" s="1"/>
  <c r="V12" i="10"/>
  <c r="D12" i="10"/>
  <c r="B12" i="10"/>
  <c r="G12" i="10" s="1"/>
  <c r="I12" i="10" s="1"/>
  <c r="V11" i="10"/>
  <c r="D11" i="10"/>
  <c r="V10" i="10"/>
  <c r="D10" i="10"/>
  <c r="P9" i="10"/>
  <c r="D9" i="10"/>
  <c r="V8" i="10"/>
  <c r="P8" i="10"/>
  <c r="D8" i="10"/>
  <c r="V7" i="10"/>
  <c r="P7" i="10"/>
  <c r="D7" i="10"/>
  <c r="V6" i="10"/>
  <c r="P6" i="10"/>
  <c r="D6" i="10"/>
  <c r="C1" i="10"/>
  <c r="AD462" i="8"/>
  <c r="AC462" i="8"/>
  <c r="AB462" i="8"/>
  <c r="AA462" i="8"/>
  <c r="Z462" i="8"/>
  <c r="Y462" i="8"/>
  <c r="X462" i="8"/>
  <c r="AD461" i="8"/>
  <c r="AC461" i="8"/>
  <c r="AB461" i="8"/>
  <c r="AA461" i="8"/>
  <c r="Z461" i="8"/>
  <c r="Y461" i="8"/>
  <c r="X461" i="8"/>
  <c r="AD460" i="8"/>
  <c r="AC460" i="8"/>
  <c r="AB460" i="8"/>
  <c r="AA460" i="8"/>
  <c r="Z460" i="8"/>
  <c r="Y460" i="8"/>
  <c r="X460" i="8"/>
  <c r="AD459" i="8"/>
  <c r="AC459" i="8"/>
  <c r="AB459" i="8"/>
  <c r="AA459" i="8"/>
  <c r="Z459" i="8"/>
  <c r="Y459" i="8"/>
  <c r="X459" i="8"/>
  <c r="AD458" i="8"/>
  <c r="AC458" i="8"/>
  <c r="AB458" i="8"/>
  <c r="AA458" i="8"/>
  <c r="Z458" i="8"/>
  <c r="Y458" i="8"/>
  <c r="X458" i="8"/>
  <c r="AD457" i="8"/>
  <c r="AC457" i="8"/>
  <c r="AB457" i="8"/>
  <c r="AA457" i="8"/>
  <c r="Z457" i="8"/>
  <c r="Y457" i="8"/>
  <c r="X457" i="8"/>
  <c r="AD456" i="8"/>
  <c r="AC456" i="8"/>
  <c r="AB456" i="8"/>
  <c r="AA456" i="8"/>
  <c r="Z456" i="8"/>
  <c r="Y456" i="8"/>
  <c r="X456" i="8"/>
  <c r="AD455" i="8"/>
  <c r="AC455" i="8"/>
  <c r="AB455" i="8"/>
  <c r="AA455" i="8"/>
  <c r="Z455" i="8"/>
  <c r="Y455" i="8"/>
  <c r="X455" i="8"/>
  <c r="AD454" i="8"/>
  <c r="AC454" i="8"/>
  <c r="AB454" i="8"/>
  <c r="AA454" i="8"/>
  <c r="Z454" i="8"/>
  <c r="Y454" i="8"/>
  <c r="X454" i="8"/>
  <c r="AD453" i="8"/>
  <c r="AC453" i="8"/>
  <c r="AA453" i="8"/>
  <c r="Z453" i="8"/>
  <c r="Y453" i="8"/>
  <c r="X453" i="8"/>
  <c r="AD452" i="8"/>
  <c r="AC452" i="8"/>
  <c r="AB452" i="8"/>
  <c r="AA452" i="8"/>
  <c r="Z452" i="8"/>
  <c r="Y452" i="8"/>
  <c r="AD451" i="8"/>
  <c r="AC451" i="8"/>
  <c r="AB451" i="8"/>
  <c r="AA451" i="8"/>
  <c r="Z451" i="8"/>
  <c r="Y451" i="8"/>
  <c r="X451" i="8"/>
  <c r="AD450" i="8"/>
  <c r="AB450" i="8"/>
  <c r="AA450" i="8"/>
  <c r="Z450" i="8"/>
  <c r="Y450" i="8"/>
  <c r="X450" i="8"/>
  <c r="AD449" i="8"/>
  <c r="AB449" i="8"/>
  <c r="AA449" i="8"/>
  <c r="Z449" i="8"/>
  <c r="Y449" i="8"/>
  <c r="X449" i="8"/>
  <c r="AD448" i="8"/>
  <c r="AB448" i="8"/>
  <c r="AA448" i="8"/>
  <c r="Z448" i="8"/>
  <c r="X448" i="8"/>
  <c r="AD447" i="8"/>
  <c r="AC447" i="8"/>
  <c r="AB447" i="8"/>
  <c r="AA447" i="8"/>
  <c r="Z447" i="8"/>
  <c r="X447" i="8"/>
  <c r="AD446" i="8"/>
  <c r="AC446" i="8"/>
  <c r="AB446" i="8"/>
  <c r="AA446" i="8"/>
  <c r="Z446" i="8"/>
  <c r="Y446" i="8"/>
  <c r="X446" i="8"/>
  <c r="AD445" i="8"/>
  <c r="AC445" i="8"/>
  <c r="AB445" i="8"/>
  <c r="AA445" i="8"/>
  <c r="Z445" i="8"/>
  <c r="Y445" i="8"/>
  <c r="X445" i="8"/>
  <c r="X444" i="8"/>
  <c r="AD443" i="8"/>
  <c r="AC443" i="8"/>
  <c r="AB443" i="8"/>
  <c r="AA443" i="8"/>
  <c r="Z443" i="8"/>
  <c r="Y443" i="8"/>
  <c r="X443" i="8"/>
  <c r="AD442" i="8"/>
  <c r="AC442" i="8"/>
  <c r="AB442" i="8"/>
  <c r="AA442" i="8"/>
  <c r="Z442" i="8"/>
  <c r="Y442" i="8"/>
  <c r="X442" i="8"/>
  <c r="AD441" i="8"/>
  <c r="AC441" i="8"/>
  <c r="AB441" i="8"/>
  <c r="AA441" i="8"/>
  <c r="Z441" i="8"/>
  <c r="Y441" i="8"/>
  <c r="X441" i="8"/>
  <c r="AD440" i="8"/>
  <c r="AC440" i="8"/>
  <c r="AB440" i="8"/>
  <c r="AA440" i="8"/>
  <c r="Z440" i="8"/>
  <c r="Y440" i="8"/>
  <c r="X440" i="8"/>
  <c r="AD439" i="8"/>
  <c r="AC439" i="8"/>
  <c r="AB439" i="8"/>
  <c r="AA439" i="8"/>
  <c r="Z439" i="8"/>
  <c r="Y439" i="8"/>
  <c r="X439" i="8"/>
  <c r="AD438" i="8"/>
  <c r="AC438" i="8"/>
  <c r="AB438" i="8"/>
  <c r="AA438" i="8"/>
  <c r="Z438" i="8"/>
  <c r="Y438" i="8"/>
  <c r="X438" i="8"/>
  <c r="AD437" i="8"/>
  <c r="AC437" i="8"/>
  <c r="AB437" i="8"/>
  <c r="AA437" i="8"/>
  <c r="Z437" i="8"/>
  <c r="Y437" i="8"/>
  <c r="X437" i="8"/>
  <c r="AD436" i="8"/>
  <c r="AC436" i="8"/>
  <c r="AB436" i="8"/>
  <c r="AA436" i="8"/>
  <c r="Z436" i="8"/>
  <c r="Y436" i="8"/>
  <c r="X436" i="8"/>
  <c r="AD435" i="8"/>
  <c r="AC435" i="8"/>
  <c r="AB435" i="8"/>
  <c r="AA435" i="8"/>
  <c r="Z435" i="8"/>
  <c r="Y435" i="8"/>
  <c r="X435" i="8"/>
  <c r="AD434" i="8"/>
  <c r="AC434" i="8"/>
  <c r="AB434" i="8"/>
  <c r="AA434" i="8"/>
  <c r="Z434" i="8"/>
  <c r="Y434" i="8"/>
  <c r="X434" i="8"/>
  <c r="AD433" i="8"/>
  <c r="AC433" i="8"/>
  <c r="AB433" i="8"/>
  <c r="AA433" i="8"/>
  <c r="Z433" i="8"/>
  <c r="Y433" i="8"/>
  <c r="X433" i="8"/>
  <c r="AD432" i="8"/>
  <c r="AC432" i="8"/>
  <c r="AB432" i="8"/>
  <c r="AA432" i="8"/>
  <c r="Z432" i="8"/>
  <c r="Y432" i="8"/>
  <c r="X432" i="8"/>
  <c r="AD431" i="8"/>
  <c r="AC431" i="8"/>
  <c r="AB431" i="8"/>
  <c r="AA431" i="8"/>
  <c r="Z431" i="8"/>
  <c r="Y431" i="8"/>
  <c r="X431" i="8"/>
  <c r="AD430" i="8"/>
  <c r="AC430" i="8"/>
  <c r="AB430" i="8"/>
  <c r="AA430" i="8"/>
  <c r="Z430" i="8"/>
  <c r="Y430" i="8"/>
  <c r="X430" i="8"/>
  <c r="AD429" i="8"/>
  <c r="AC429" i="8"/>
  <c r="AB429" i="8"/>
  <c r="AA429" i="8"/>
  <c r="Z429" i="8"/>
  <c r="X429" i="8"/>
  <c r="AD428" i="8"/>
  <c r="AC428" i="8"/>
  <c r="AB428" i="8"/>
  <c r="AA428" i="8"/>
  <c r="Z428" i="8"/>
  <c r="Y428" i="8"/>
  <c r="X428" i="8"/>
  <c r="AD427" i="8"/>
  <c r="AC427" i="8"/>
  <c r="AB427" i="8"/>
  <c r="AA427" i="8"/>
  <c r="Z427" i="8"/>
  <c r="Y427" i="8"/>
  <c r="X427" i="8"/>
  <c r="AD426" i="8"/>
  <c r="AC426" i="8"/>
  <c r="AB426" i="8"/>
  <c r="AA426" i="8"/>
  <c r="Z426" i="8"/>
  <c r="Y426" i="8"/>
  <c r="X426" i="8"/>
  <c r="AD425" i="8"/>
  <c r="AC425" i="8"/>
  <c r="AB425" i="8"/>
  <c r="AA425" i="8"/>
  <c r="Z425" i="8"/>
  <c r="Y425" i="8"/>
  <c r="X425" i="8"/>
  <c r="AD424" i="8"/>
  <c r="AC424" i="8"/>
  <c r="AB424" i="8"/>
  <c r="AA424" i="8"/>
  <c r="Z424" i="8"/>
  <c r="Y424" i="8"/>
  <c r="X424" i="8"/>
  <c r="AD423" i="8"/>
  <c r="AC423" i="8"/>
  <c r="AB423" i="8"/>
  <c r="AA423" i="8"/>
  <c r="Z423" i="8"/>
  <c r="Y423" i="8"/>
  <c r="X423" i="8"/>
  <c r="AD422" i="8"/>
  <c r="AC422" i="8"/>
  <c r="AB422" i="8"/>
  <c r="AA422" i="8"/>
  <c r="Z422" i="8"/>
  <c r="Y422" i="8"/>
  <c r="X422" i="8"/>
  <c r="AD421" i="8"/>
  <c r="AC421" i="8"/>
  <c r="AB421" i="8"/>
  <c r="AA421" i="8"/>
  <c r="Z421" i="8"/>
  <c r="Y421" i="8"/>
  <c r="X421" i="8"/>
  <c r="AD420" i="8"/>
  <c r="AC420" i="8"/>
  <c r="AB420" i="8"/>
  <c r="AA420" i="8"/>
  <c r="Z420" i="8"/>
  <c r="Y420" i="8"/>
  <c r="X420" i="8"/>
  <c r="AD419" i="8"/>
  <c r="AC419" i="8"/>
  <c r="AB419" i="8"/>
  <c r="AA419" i="8"/>
  <c r="Z419" i="8"/>
  <c r="Y419" i="8"/>
  <c r="X419" i="8"/>
  <c r="AD418" i="8"/>
  <c r="AC418" i="8"/>
  <c r="AB418" i="8"/>
  <c r="AA418" i="8"/>
  <c r="Z418" i="8"/>
  <c r="Y418" i="8"/>
  <c r="X418" i="8"/>
  <c r="AD417" i="8"/>
  <c r="AC417" i="8"/>
  <c r="AB417" i="8"/>
  <c r="AA417" i="8"/>
  <c r="Z417" i="8"/>
  <c r="Y417" i="8"/>
  <c r="X417" i="8"/>
  <c r="AD416" i="8"/>
  <c r="AC416" i="8"/>
  <c r="AB416" i="8"/>
  <c r="AA416" i="8"/>
  <c r="Z416" i="8"/>
  <c r="Y416" i="8"/>
  <c r="X416" i="8"/>
  <c r="AD415" i="8"/>
  <c r="AC415" i="8"/>
  <c r="AB415" i="8"/>
  <c r="AA415" i="8"/>
  <c r="Z415" i="8"/>
  <c r="Y415" i="8"/>
  <c r="X415" i="8"/>
  <c r="AD414" i="8"/>
  <c r="AC414" i="8"/>
  <c r="AB414" i="8"/>
  <c r="AA414" i="8"/>
  <c r="Z414" i="8"/>
  <c r="Y414" i="8"/>
  <c r="X414" i="8"/>
  <c r="AD413" i="8"/>
  <c r="AC413" i="8"/>
  <c r="AB413" i="8"/>
  <c r="AA413" i="8"/>
  <c r="Z413" i="8"/>
  <c r="Y413" i="8"/>
  <c r="X413" i="8"/>
  <c r="AD412" i="8"/>
  <c r="AC412" i="8"/>
  <c r="AB412" i="8"/>
  <c r="AA412" i="8"/>
  <c r="Z412" i="8"/>
  <c r="Y412" i="8"/>
  <c r="X412" i="8"/>
  <c r="AD411" i="8"/>
  <c r="AC411" i="8"/>
  <c r="AB411" i="8"/>
  <c r="AA411" i="8"/>
  <c r="Z411" i="8"/>
  <c r="Y411" i="8"/>
  <c r="X411" i="8"/>
  <c r="AD410" i="8"/>
  <c r="AC410" i="8"/>
  <c r="AB410" i="8"/>
  <c r="AA410" i="8"/>
  <c r="Z410" i="8"/>
  <c r="Y410" i="8"/>
  <c r="X410" i="8"/>
  <c r="AD409" i="8"/>
  <c r="AC409" i="8"/>
  <c r="AB409" i="8"/>
  <c r="AA409" i="8"/>
  <c r="Z409" i="8"/>
  <c r="Y409" i="8"/>
  <c r="X409" i="8"/>
  <c r="AD408" i="8"/>
  <c r="AC408" i="8"/>
  <c r="AB408" i="8"/>
  <c r="AA408" i="8"/>
  <c r="Z408" i="8"/>
  <c r="Y408" i="8"/>
  <c r="X408" i="8"/>
  <c r="AD407" i="8"/>
  <c r="AC407" i="8"/>
  <c r="AB407" i="8"/>
  <c r="AA407" i="8"/>
  <c r="Z407" i="8"/>
  <c r="Y407" i="8"/>
  <c r="X407" i="8"/>
  <c r="AD406" i="8"/>
  <c r="AC406" i="8"/>
  <c r="AB406" i="8"/>
  <c r="AA406" i="8"/>
  <c r="Z406" i="8"/>
  <c r="Y406" i="8"/>
  <c r="X406" i="8"/>
  <c r="AD405" i="8"/>
  <c r="AC405" i="8"/>
  <c r="AB405" i="8"/>
  <c r="AA405" i="8"/>
  <c r="Z405" i="8"/>
  <c r="Y405" i="8"/>
  <c r="X405" i="8"/>
  <c r="AC403" i="8"/>
  <c r="AB403" i="8"/>
  <c r="AA403" i="8"/>
  <c r="Z403" i="8"/>
  <c r="Y403" i="8"/>
  <c r="X403" i="8"/>
  <c r="AD402" i="8"/>
  <c r="AC402" i="8"/>
  <c r="AB402" i="8"/>
  <c r="AA402" i="8"/>
  <c r="Z402" i="8"/>
  <c r="Y402" i="8"/>
  <c r="X402" i="8"/>
  <c r="AD401" i="8"/>
  <c r="AC401" i="8"/>
  <c r="AB401" i="8"/>
  <c r="AA401" i="8"/>
  <c r="Z401" i="8"/>
  <c r="Y401" i="8"/>
  <c r="X401" i="8"/>
  <c r="AD400" i="8"/>
  <c r="AC400" i="8"/>
  <c r="AB400" i="8"/>
  <c r="AA400" i="8"/>
  <c r="Z400" i="8"/>
  <c r="Y400" i="8"/>
  <c r="X400" i="8"/>
  <c r="AD399" i="8"/>
  <c r="AC399" i="8"/>
  <c r="AB399" i="8"/>
  <c r="AA399" i="8"/>
  <c r="Z399" i="8"/>
  <c r="Y399" i="8"/>
  <c r="X399" i="8"/>
  <c r="AD398" i="8"/>
  <c r="AC398" i="8"/>
  <c r="AB398" i="8"/>
  <c r="AA398" i="8"/>
  <c r="Z398" i="8"/>
  <c r="Y398" i="8"/>
  <c r="X398" i="8"/>
  <c r="AD397" i="8"/>
  <c r="AC397" i="8"/>
  <c r="AB397" i="8"/>
  <c r="AA397" i="8"/>
  <c r="Z397" i="8"/>
  <c r="Y397" i="8"/>
  <c r="X397" i="8"/>
  <c r="AD396" i="8"/>
  <c r="AC396" i="8"/>
  <c r="AB396" i="8"/>
  <c r="AA396" i="8"/>
  <c r="Z396" i="8"/>
  <c r="Y396" i="8"/>
  <c r="X396" i="8"/>
  <c r="AD395" i="8"/>
  <c r="AC395" i="8"/>
  <c r="AB395" i="8"/>
  <c r="AA395" i="8"/>
  <c r="Z395" i="8"/>
  <c r="Y395" i="8"/>
  <c r="X395" i="8"/>
  <c r="AD394" i="8"/>
  <c r="AC394" i="8"/>
  <c r="AB394" i="8"/>
  <c r="AA394" i="8"/>
  <c r="Z394" i="8"/>
  <c r="Y394" i="8"/>
  <c r="X394" i="8"/>
  <c r="AD393" i="8"/>
  <c r="AC393" i="8"/>
  <c r="AB393" i="8"/>
  <c r="AA393" i="8"/>
  <c r="Z393" i="8"/>
  <c r="Y393" i="8"/>
  <c r="X393" i="8"/>
  <c r="AD392" i="8"/>
  <c r="AC392" i="8"/>
  <c r="AB392" i="8"/>
  <c r="AA392" i="8"/>
  <c r="Z392" i="8"/>
  <c r="Y392" i="8"/>
  <c r="X392" i="8"/>
  <c r="AC391" i="8"/>
  <c r="AA391" i="8"/>
  <c r="Z391" i="8"/>
  <c r="Y391" i="8"/>
  <c r="X391" i="8"/>
  <c r="AD390" i="8"/>
  <c r="AC390" i="8"/>
  <c r="AB390" i="8"/>
  <c r="AA390" i="8"/>
  <c r="Z390" i="8"/>
  <c r="Y390" i="8"/>
  <c r="X390" i="8"/>
  <c r="AD389" i="8"/>
  <c r="AC389" i="8"/>
  <c r="AB389" i="8"/>
  <c r="AA389" i="8"/>
  <c r="Z389" i="8"/>
  <c r="Y389" i="8"/>
  <c r="X389" i="8"/>
  <c r="AD388" i="8"/>
  <c r="AC388" i="8"/>
  <c r="AB388" i="8"/>
  <c r="AA388" i="8"/>
  <c r="Z388" i="8"/>
  <c r="Y388" i="8"/>
  <c r="X388" i="8"/>
  <c r="AD387" i="8"/>
  <c r="AC387" i="8"/>
  <c r="AB387" i="8"/>
  <c r="AA387" i="8"/>
  <c r="Z387" i="8"/>
  <c r="Y387" i="8"/>
  <c r="X387" i="8"/>
  <c r="AD386" i="8"/>
  <c r="AC386" i="8"/>
  <c r="AB386" i="8"/>
  <c r="AA386" i="8"/>
  <c r="Z386" i="8"/>
  <c r="Y386" i="8"/>
  <c r="X386" i="8"/>
  <c r="AD385" i="8"/>
  <c r="AC385" i="8"/>
  <c r="AB385" i="8"/>
  <c r="AA385" i="8"/>
  <c r="Z385" i="8"/>
  <c r="Y385" i="8"/>
  <c r="X385" i="8"/>
  <c r="AD384" i="8"/>
  <c r="AC384" i="8"/>
  <c r="AB384" i="8"/>
  <c r="AA384" i="8"/>
  <c r="Z384" i="8"/>
  <c r="Y384" i="8"/>
  <c r="X384" i="8"/>
  <c r="X383" i="8"/>
  <c r="AE167" i="8"/>
  <c r="AE166" i="8"/>
  <c r="AE165" i="8"/>
  <c r="AE164" i="8"/>
  <c r="AE163" i="8"/>
  <c r="AE162" i="8"/>
  <c r="AE161" i="8"/>
  <c r="AE160" i="8"/>
  <c r="AE159" i="8"/>
  <c r="AE158" i="8"/>
  <c r="AE157" i="8"/>
  <c r="AE156" i="8"/>
  <c r="AE155" i="8"/>
  <c r="AE154" i="8"/>
  <c r="AE153" i="8"/>
  <c r="AE152" i="8"/>
  <c r="AE151" i="8"/>
  <c r="AE150" i="8"/>
  <c r="AE149" i="8"/>
  <c r="AE148" i="8"/>
  <c r="AE147" i="8"/>
  <c r="AE146" i="8"/>
  <c r="AE145" i="8"/>
  <c r="AE144" i="8"/>
  <c r="AE143" i="8"/>
  <c r="AE142" i="8"/>
  <c r="AE141" i="8"/>
  <c r="AE140" i="8"/>
  <c r="AE139" i="8"/>
  <c r="AE138" i="8"/>
  <c r="AE137" i="8"/>
  <c r="AE136" i="8"/>
  <c r="AE135" i="8"/>
  <c r="AE134" i="8"/>
  <c r="AE133" i="8"/>
  <c r="AE132" i="8"/>
  <c r="AE131" i="8"/>
  <c r="AE130" i="8"/>
  <c r="AE129" i="8"/>
  <c r="S107" i="8"/>
  <c r="Q107" i="8"/>
  <c r="AB453" i="8" s="1"/>
  <c r="H101" i="8"/>
  <c r="D101" i="8"/>
  <c r="C101" i="8"/>
  <c r="H100" i="8"/>
  <c r="D98" i="8"/>
  <c r="H97" i="8"/>
  <c r="D97" i="8"/>
  <c r="R96" i="8"/>
  <c r="P96" i="8"/>
  <c r="D96" i="8"/>
  <c r="R95" i="8"/>
  <c r="P95" i="8"/>
  <c r="N95" i="8"/>
  <c r="D95" i="8"/>
  <c r="N94" i="8"/>
  <c r="D94" i="8"/>
  <c r="N93" i="8"/>
  <c r="H93" i="8"/>
  <c r="D93" i="8"/>
  <c r="H92" i="8"/>
  <c r="D92" i="8"/>
  <c r="S91" i="8"/>
  <c r="R91" i="8"/>
  <c r="Q91" i="8"/>
  <c r="H91" i="8"/>
  <c r="T87" i="8"/>
  <c r="I87" i="8"/>
  <c r="S86" i="8"/>
  <c r="L86" i="8"/>
  <c r="I86" i="8"/>
  <c r="S85" i="8"/>
  <c r="L85" i="8"/>
  <c r="I85" i="8"/>
  <c r="S84" i="8"/>
  <c r="L84" i="8"/>
  <c r="I84" i="8"/>
  <c r="S83" i="8"/>
  <c r="L83" i="8"/>
  <c r="I83" i="8"/>
  <c r="S82" i="8"/>
  <c r="L82" i="8"/>
  <c r="I82" i="8"/>
  <c r="S81" i="8"/>
  <c r="L81" i="8"/>
  <c r="I81" i="8"/>
  <c r="S80" i="8"/>
  <c r="L80" i="8"/>
  <c r="I80" i="8"/>
  <c r="S79" i="8"/>
  <c r="L79" i="8"/>
  <c r="I79" i="8"/>
  <c r="S78" i="8"/>
  <c r="L78" i="8"/>
  <c r="I78" i="8"/>
  <c r="S77" i="8"/>
  <c r="Q77" i="8"/>
  <c r="L77" i="8"/>
  <c r="I77" i="8"/>
  <c r="S76" i="8"/>
  <c r="Q76" i="8"/>
  <c r="L76" i="8"/>
  <c r="I76" i="8"/>
  <c r="I75" i="8"/>
  <c r="S74" i="8"/>
  <c r="Q74" i="8"/>
  <c r="L74" i="8"/>
  <c r="I74" i="8"/>
  <c r="S73" i="8"/>
  <c r="L73" i="8"/>
  <c r="I73" i="8"/>
  <c r="S72" i="8"/>
  <c r="L72" i="8"/>
  <c r="I72" i="8"/>
  <c r="S71" i="8"/>
  <c r="L71" i="8"/>
  <c r="I71" i="8"/>
  <c r="S70" i="8"/>
  <c r="L70" i="8"/>
  <c r="I70" i="8"/>
  <c r="S69" i="8"/>
  <c r="L69" i="8"/>
  <c r="I69" i="8"/>
  <c r="T65" i="8"/>
  <c r="S65" i="8"/>
  <c r="J65" i="8"/>
  <c r="I65" i="8"/>
  <c r="S64" i="8"/>
  <c r="Q64" i="8"/>
  <c r="L64" i="8"/>
  <c r="I64" i="8"/>
  <c r="G64" i="8"/>
  <c r="E64" i="8"/>
  <c r="B64" i="8"/>
  <c r="S63" i="8"/>
  <c r="Q63" i="8"/>
  <c r="L63" i="8"/>
  <c r="I63" i="8"/>
  <c r="G63" i="8"/>
  <c r="E63" i="8"/>
  <c r="B63" i="8"/>
  <c r="S62" i="8"/>
  <c r="Q62" i="8"/>
  <c r="L62" i="8"/>
  <c r="I62" i="8"/>
  <c r="G62" i="8"/>
  <c r="E62" i="8"/>
  <c r="B62" i="8"/>
  <c r="S61" i="8"/>
  <c r="Q61" i="8"/>
  <c r="L61" i="8"/>
  <c r="I61" i="8"/>
  <c r="G61" i="8"/>
  <c r="E61" i="8"/>
  <c r="B61" i="8"/>
  <c r="S60" i="8"/>
  <c r="Q60" i="8"/>
  <c r="L60" i="8"/>
  <c r="I60" i="8"/>
  <c r="G60" i="8"/>
  <c r="E60" i="8"/>
  <c r="B60" i="8"/>
  <c r="S59" i="8"/>
  <c r="Q59" i="8"/>
  <c r="L59" i="8"/>
  <c r="I59" i="8"/>
  <c r="G59" i="8"/>
  <c r="E59" i="8"/>
  <c r="B59" i="8"/>
  <c r="S58" i="8"/>
  <c r="Q58" i="8"/>
  <c r="L58" i="8"/>
  <c r="I58" i="8"/>
  <c r="G58" i="8"/>
  <c r="B58" i="8"/>
  <c r="S57" i="8"/>
  <c r="Q57" i="8"/>
  <c r="L57" i="8"/>
  <c r="I57" i="8"/>
  <c r="G57" i="8"/>
  <c r="B57" i="8"/>
  <c r="S56" i="8"/>
  <c r="Q56" i="8"/>
  <c r="L56" i="8"/>
  <c r="I56" i="8"/>
  <c r="G56" i="8"/>
  <c r="B56" i="8"/>
  <c r="S55" i="8"/>
  <c r="Q55" i="8"/>
  <c r="L55" i="8"/>
  <c r="I55" i="8"/>
  <c r="G55" i="8"/>
  <c r="B55" i="8"/>
  <c r="S54" i="8"/>
  <c r="Q54" i="8"/>
  <c r="L54" i="8"/>
  <c r="I54" i="8"/>
  <c r="G54" i="8"/>
  <c r="B54" i="8"/>
  <c r="S53" i="8"/>
  <c r="Q53" i="8"/>
  <c r="L53" i="8"/>
  <c r="I53" i="8"/>
  <c r="G53" i="8"/>
  <c r="B53" i="8"/>
  <c r="T49" i="8"/>
  <c r="S49" i="8"/>
  <c r="J49" i="8"/>
  <c r="I49" i="8"/>
  <c r="S48" i="8"/>
  <c r="Q48" i="8"/>
  <c r="L48" i="8"/>
  <c r="I48" i="8"/>
  <c r="G48" i="8"/>
  <c r="B48" i="8"/>
  <c r="S47" i="8"/>
  <c r="Q47" i="8"/>
  <c r="L47" i="8"/>
  <c r="I47" i="8"/>
  <c r="G47" i="8"/>
  <c r="B47" i="8"/>
  <c r="S46" i="8"/>
  <c r="Q46" i="8"/>
  <c r="L46" i="8"/>
  <c r="I46" i="8"/>
  <c r="G46" i="8"/>
  <c r="B46" i="8"/>
  <c r="S45" i="8"/>
  <c r="Q45" i="8"/>
  <c r="L45" i="8"/>
  <c r="I45" i="8"/>
  <c r="G45" i="8"/>
  <c r="B45" i="8"/>
  <c r="S44" i="8"/>
  <c r="Q44" i="8"/>
  <c r="L44" i="8"/>
  <c r="I44" i="8"/>
  <c r="G44" i="8"/>
  <c r="B44" i="8"/>
  <c r="S43" i="8"/>
  <c r="Q43" i="8"/>
  <c r="L43" i="8"/>
  <c r="I43" i="8"/>
  <c r="G43" i="8"/>
  <c r="B43" i="8"/>
  <c r="S42" i="8"/>
  <c r="Q42" i="8"/>
  <c r="L42" i="8"/>
  <c r="I42" i="8"/>
  <c r="G42" i="8"/>
  <c r="B42" i="8"/>
  <c r="S41" i="8"/>
  <c r="Q41" i="8"/>
  <c r="L41" i="8"/>
  <c r="I41" i="8"/>
  <c r="G41" i="8"/>
  <c r="B41" i="8"/>
  <c r="S40" i="8"/>
  <c r="Q40" i="8"/>
  <c r="L40" i="8"/>
  <c r="I40" i="8"/>
  <c r="G40" i="8"/>
  <c r="B40" i="8"/>
  <c r="S39" i="8"/>
  <c r="Q39" i="8"/>
  <c r="L39" i="8"/>
  <c r="I39" i="8"/>
  <c r="G39" i="8"/>
  <c r="B39" i="8"/>
  <c r="S38" i="8"/>
  <c r="Q38" i="8"/>
  <c r="L38" i="8"/>
  <c r="I38" i="8"/>
  <c r="G38" i="8"/>
  <c r="B38" i="8"/>
  <c r="S37" i="8"/>
  <c r="Q37" i="8"/>
  <c r="L37" i="8"/>
  <c r="I37" i="8"/>
  <c r="G37" i="8"/>
  <c r="B37" i="8"/>
  <c r="S36" i="8"/>
  <c r="Q36" i="8"/>
  <c r="L36" i="8"/>
  <c r="I36" i="8"/>
  <c r="G36" i="8"/>
  <c r="B36" i="8"/>
  <c r="T32" i="8"/>
  <c r="S32" i="8"/>
  <c r="J32" i="8"/>
  <c r="I32" i="8"/>
  <c r="S31" i="8"/>
  <c r="Q31" i="8"/>
  <c r="L31" i="8"/>
  <c r="I31" i="8"/>
  <c r="G31" i="8"/>
  <c r="B31" i="8"/>
  <c r="S30" i="8"/>
  <c r="Q30" i="8"/>
  <c r="L30" i="8"/>
  <c r="I30" i="8"/>
  <c r="G30" i="8"/>
  <c r="B30" i="8"/>
  <c r="S29" i="8"/>
  <c r="Q29" i="8"/>
  <c r="L29" i="8"/>
  <c r="I29" i="8"/>
  <c r="G29" i="8"/>
  <c r="B29" i="8"/>
  <c r="S28" i="8"/>
  <c r="Q28" i="8"/>
  <c r="L28" i="8"/>
  <c r="I28" i="8"/>
  <c r="G28" i="8"/>
  <c r="B28" i="8"/>
  <c r="S27" i="8"/>
  <c r="Q27" i="8"/>
  <c r="L27" i="8"/>
  <c r="I27" i="8"/>
  <c r="G27" i="8"/>
  <c r="B27" i="8"/>
  <c r="S26" i="8"/>
  <c r="Q26" i="8"/>
  <c r="L26" i="8"/>
  <c r="I26" i="8"/>
  <c r="G26" i="8"/>
  <c r="B26" i="8"/>
  <c r="S25" i="8"/>
  <c r="Q25" i="8"/>
  <c r="L25" i="8"/>
  <c r="I25" i="8"/>
  <c r="G25" i="8"/>
  <c r="B25" i="8"/>
  <c r="S24" i="8"/>
  <c r="Q24" i="8"/>
  <c r="L24" i="8"/>
  <c r="I24" i="8"/>
  <c r="G24" i="8"/>
  <c r="B24" i="8"/>
  <c r="T20" i="8"/>
  <c r="S20" i="8"/>
  <c r="J20" i="8"/>
  <c r="I20" i="8"/>
  <c r="S19" i="8"/>
  <c r="Q19" i="8"/>
  <c r="L19" i="8"/>
  <c r="I19" i="8"/>
  <c r="G19" i="8"/>
  <c r="B19" i="8"/>
  <c r="S18" i="8"/>
  <c r="Q18" i="8"/>
  <c r="L18" i="8"/>
  <c r="I18" i="8"/>
  <c r="G18" i="8"/>
  <c r="B18" i="8"/>
  <c r="S17" i="8"/>
  <c r="Q17" i="8"/>
  <c r="L17" i="8"/>
  <c r="I17" i="8"/>
  <c r="G17" i="8"/>
  <c r="B17" i="8"/>
  <c r="S16" i="8"/>
  <c r="Q16" i="8"/>
  <c r="L16" i="8"/>
  <c r="I16" i="8"/>
  <c r="G16" i="8"/>
  <c r="B16" i="8"/>
  <c r="S15" i="8"/>
  <c r="Q15" i="8"/>
  <c r="L15" i="8"/>
  <c r="I15" i="8"/>
  <c r="G15" i="8"/>
  <c r="B15" i="8"/>
  <c r="S14" i="8"/>
  <c r="Q14" i="8"/>
  <c r="L14" i="8"/>
  <c r="I14" i="8"/>
  <c r="G14" i="8"/>
  <c r="B14" i="8"/>
  <c r="S13" i="8"/>
  <c r="Q13" i="8"/>
  <c r="L13" i="8"/>
  <c r="I13" i="8"/>
  <c r="G13" i="8"/>
  <c r="B13" i="8"/>
  <c r="S12" i="8"/>
  <c r="Q12" i="8"/>
  <c r="L12" i="8"/>
  <c r="I12" i="8"/>
  <c r="G12" i="8"/>
  <c r="B12" i="8"/>
  <c r="S11" i="8"/>
  <c r="Q11" i="8"/>
  <c r="L11" i="8"/>
  <c r="I11" i="8"/>
  <c r="G11" i="8"/>
  <c r="B11" i="8"/>
  <c r="S10" i="8"/>
  <c r="Q10" i="8"/>
  <c r="L10" i="8"/>
  <c r="I10" i="8"/>
  <c r="G10" i="8"/>
  <c r="B10" i="8"/>
  <c r="S9" i="8"/>
  <c r="Q9" i="8"/>
  <c r="L9" i="8"/>
  <c r="I9" i="8"/>
  <c r="G9" i="8"/>
  <c r="B9" i="8"/>
  <c r="S8" i="8"/>
  <c r="Q8" i="8"/>
  <c r="L8" i="8"/>
  <c r="I8" i="8"/>
  <c r="G8" i="8"/>
  <c r="B8" i="8"/>
  <c r="S7" i="8"/>
  <c r="Q7" i="8"/>
  <c r="L7" i="8"/>
  <c r="I7" i="8"/>
  <c r="G7" i="8"/>
  <c r="B7" i="8"/>
  <c r="S6" i="8"/>
  <c r="Q6" i="8"/>
  <c r="L6" i="8"/>
  <c r="I6" i="8"/>
  <c r="G6" i="8"/>
  <c r="B6" i="8"/>
  <c r="C1" i="8"/>
  <c r="S5" i="1"/>
  <c r="S3" i="1"/>
  <c r="G3" i="1"/>
  <c r="V1" i="1"/>
  <c r="S1" i="1"/>
  <c r="H23" i="18"/>
  <c r="I18" i="18"/>
  <c r="G18" i="18"/>
  <c r="C18" i="18"/>
  <c r="I17" i="18"/>
  <c r="G17" i="18"/>
  <c r="C17" i="18"/>
  <c r="I16" i="18"/>
  <c r="G16" i="18"/>
  <c r="C16" i="18"/>
  <c r="B16" i="18"/>
  <c r="J13" i="18"/>
  <c r="I13" i="18"/>
  <c r="H13" i="18"/>
  <c r="E13" i="18"/>
  <c r="D13" i="18"/>
  <c r="C13" i="18"/>
  <c r="H12" i="18"/>
  <c r="C12" i="18"/>
  <c r="H11" i="18"/>
  <c r="C11" i="18"/>
  <c r="H10" i="18"/>
  <c r="C10" i="18"/>
  <c r="B10" i="18"/>
  <c r="I6" i="18"/>
  <c r="G6" i="18"/>
  <c r="C6" i="18"/>
  <c r="B6" i="18"/>
  <c r="N4" i="18"/>
  <c r="I4" i="18"/>
  <c r="G4" i="18"/>
  <c r="C4" i="18"/>
  <c r="B4" i="18"/>
  <c r="D36" i="12"/>
  <c r="D35" i="12"/>
  <c r="D34" i="12"/>
  <c r="D22" i="12"/>
  <c r="D21" i="12"/>
  <c r="E4" i="12"/>
  <c r="E3" i="12"/>
  <c r="E2" i="12"/>
  <c r="J78" i="14"/>
  <c r="H78" i="14"/>
  <c r="J77" i="14"/>
  <c r="H77" i="14"/>
  <c r="E76" i="14"/>
  <c r="D76" i="14"/>
  <c r="I66" i="14"/>
  <c r="I66" i="14" a="1"/>
  <c r="H66" i="14"/>
  <c r="H66" i="14" a="1"/>
  <c r="G66" i="14"/>
  <c r="G66" i="14" a="1"/>
  <c r="F66" i="14"/>
  <c r="F66" i="14" a="1"/>
  <c r="C66" i="14"/>
  <c r="C66" i="14" a="1"/>
  <c r="B66" i="14"/>
  <c r="B66" i="14" a="1"/>
  <c r="I61" i="14"/>
  <c r="I60" i="14"/>
  <c r="I59" i="14"/>
  <c r="I58" i="14"/>
  <c r="I57" i="14"/>
  <c r="I56" i="14"/>
  <c r="I55" i="14"/>
  <c r="I54" i="14"/>
  <c r="I53" i="14"/>
  <c r="I52" i="14"/>
  <c r="H52" i="14"/>
  <c r="H52" i="14" a="1"/>
  <c r="G52" i="14"/>
  <c r="G52" i="14" a="1"/>
  <c r="F52" i="14"/>
  <c r="F52" i="14" a="1"/>
  <c r="C52" i="14"/>
  <c r="C52" i="14" a="1"/>
  <c r="B52" i="14"/>
  <c r="B52" i="14" a="1"/>
  <c r="B39" i="14"/>
  <c r="J35" i="14"/>
  <c r="H35" i="14"/>
  <c r="F35" i="14"/>
  <c r="E35" i="14"/>
  <c r="C35" i="14"/>
  <c r="B35" i="14"/>
  <c r="J34" i="14"/>
  <c r="H34" i="14"/>
  <c r="F34" i="14"/>
  <c r="E34" i="14"/>
  <c r="C34" i="14"/>
  <c r="B34" i="14"/>
  <c r="J33" i="14"/>
  <c r="H33" i="14"/>
  <c r="F33" i="14"/>
  <c r="E33" i="14"/>
  <c r="C33" i="14"/>
  <c r="B33" i="14"/>
  <c r="J32" i="14"/>
  <c r="H32" i="14"/>
  <c r="F32" i="14"/>
  <c r="E32" i="14"/>
  <c r="C32" i="14"/>
  <c r="B32" i="14"/>
  <c r="I28" i="14"/>
  <c r="G28" i="14"/>
  <c r="C28" i="14"/>
  <c r="I27" i="14"/>
  <c r="G27" i="14"/>
  <c r="C27" i="14"/>
  <c r="I26" i="14"/>
  <c r="G26" i="14"/>
  <c r="C26" i="14"/>
  <c r="B26" i="14"/>
  <c r="J23" i="14"/>
  <c r="I23" i="14"/>
  <c r="H23" i="14"/>
  <c r="E23" i="14"/>
  <c r="D23" i="14"/>
  <c r="C23" i="14"/>
  <c r="H22" i="14"/>
  <c r="C22" i="14"/>
  <c r="H21" i="14"/>
  <c r="C21" i="14"/>
  <c r="H20" i="14"/>
  <c r="C20" i="14"/>
  <c r="B20" i="14"/>
  <c r="J16" i="14"/>
  <c r="I16" i="14"/>
  <c r="H16" i="14"/>
  <c r="G16" i="14"/>
  <c r="F16" i="14"/>
  <c r="E16" i="14"/>
  <c r="D16" i="14"/>
  <c r="C16" i="14"/>
  <c r="B16" i="14"/>
  <c r="J15" i="14"/>
  <c r="I15" i="14"/>
  <c r="H15" i="14"/>
  <c r="G15" i="14"/>
  <c r="F15" i="14"/>
  <c r="E15" i="14"/>
  <c r="D15" i="14"/>
  <c r="C15" i="14"/>
  <c r="B15" i="14"/>
  <c r="J14" i="14"/>
  <c r="I14" i="14"/>
  <c r="H14" i="14"/>
  <c r="G14" i="14"/>
  <c r="F14" i="14"/>
  <c r="E14" i="14"/>
  <c r="D14" i="14"/>
  <c r="C14" i="14"/>
  <c r="B14" i="14"/>
  <c r="J13" i="14"/>
  <c r="I13" i="14"/>
  <c r="H13" i="14"/>
  <c r="G13" i="14"/>
  <c r="F13" i="14"/>
  <c r="E13" i="14"/>
  <c r="D13" i="14"/>
  <c r="C13" i="14"/>
  <c r="B13" i="14"/>
  <c r="J12" i="14"/>
  <c r="I12" i="14"/>
  <c r="H12" i="14"/>
  <c r="G12" i="14"/>
  <c r="F12" i="14"/>
  <c r="E12" i="14"/>
  <c r="D12" i="14"/>
  <c r="C12" i="14"/>
  <c r="B12" i="14"/>
  <c r="J11" i="14"/>
  <c r="I11" i="14"/>
  <c r="H11" i="14"/>
  <c r="G11" i="14"/>
  <c r="F11" i="14"/>
  <c r="E11" i="14"/>
  <c r="D11" i="14"/>
  <c r="C11" i="14"/>
  <c r="B11" i="14"/>
  <c r="J10" i="14"/>
  <c r="I10" i="14"/>
  <c r="H10" i="14"/>
  <c r="G10" i="14"/>
  <c r="F10" i="14"/>
  <c r="E10" i="14"/>
  <c r="D10" i="14"/>
  <c r="C10" i="14"/>
  <c r="B10" i="14"/>
  <c r="J9" i="14"/>
  <c r="I9" i="14"/>
  <c r="H9" i="14"/>
  <c r="G9" i="14"/>
  <c r="F9" i="14"/>
  <c r="E9" i="14"/>
  <c r="D9" i="14"/>
  <c r="C9" i="14"/>
  <c r="B9" i="14"/>
  <c r="I6" i="14"/>
  <c r="G6" i="14"/>
  <c r="C6" i="14"/>
  <c r="B6" i="14"/>
  <c r="I4" i="14"/>
  <c r="G4" i="14"/>
  <c r="C4" i="14"/>
  <c r="B4" i="14"/>
  <c r="J56" i="4"/>
  <c r="H56" i="4"/>
  <c r="I54" i="4"/>
  <c r="I53" i="4"/>
  <c r="I52" i="4"/>
  <c r="I51" i="4"/>
  <c r="I50" i="4"/>
  <c r="AI845" i="2"/>
  <c r="AF845" i="2"/>
  <c r="Z845" i="2"/>
  <c r="AI844" i="2"/>
  <c r="AF844" i="2"/>
  <c r="Z844" i="2"/>
  <c r="AI843" i="2"/>
  <c r="AF843" i="2"/>
  <c r="Z843" i="2"/>
  <c r="AI842" i="2"/>
  <c r="AF842" i="2"/>
  <c r="Z842" i="2"/>
  <c r="AI841" i="2"/>
  <c r="AF841" i="2"/>
  <c r="Z841" i="2"/>
  <c r="AI840" i="2"/>
  <c r="AF840" i="2"/>
  <c r="X840" i="2"/>
  <c r="AI839" i="2"/>
  <c r="AF839" i="2"/>
  <c r="X839" i="2"/>
  <c r="AI838" i="2"/>
  <c r="AF838" i="2"/>
  <c r="Z838" i="2"/>
  <c r="Z838" i="2" a="1"/>
  <c r="X838" i="2"/>
  <c r="AI837" i="2"/>
  <c r="AF837" i="2"/>
  <c r="AA837" i="2"/>
  <c r="AA837" i="2" a="1"/>
  <c r="Z837" i="2"/>
  <c r="Z837" i="2" a="1"/>
  <c r="Y837" i="2"/>
  <c r="Y837" i="2" a="1"/>
  <c r="X837" i="2"/>
  <c r="AI836" i="2"/>
  <c r="AF836" i="2"/>
  <c r="AC836" i="2"/>
  <c r="AC836" i="2" a="1"/>
  <c r="AA836" i="2"/>
  <c r="AA836" i="2" a="1"/>
  <c r="Z836" i="2"/>
  <c r="Z836" i="2" a="1"/>
  <c r="Y836" i="2"/>
  <c r="Y836" i="2" a="1"/>
  <c r="X836" i="2"/>
  <c r="AI835" i="2"/>
  <c r="AF835" i="2"/>
  <c r="AC835" i="2"/>
  <c r="AC835" i="2" a="1"/>
  <c r="AA835" i="2"/>
  <c r="AA835" i="2" a="1"/>
  <c r="Z835" i="2"/>
  <c r="Z835" i="2" a="1"/>
  <c r="Y835" i="2"/>
  <c r="Y835" i="2" a="1"/>
  <c r="X835" i="2"/>
  <c r="AI834" i="2"/>
  <c r="AF834" i="2"/>
  <c r="AC834" i="2"/>
  <c r="AC834" i="2" a="1"/>
  <c r="AA834" i="2"/>
  <c r="AA834" i="2" a="1"/>
  <c r="Z834" i="2"/>
  <c r="Z834" i="2" a="1"/>
  <c r="Y834" i="2"/>
  <c r="Y834" i="2" a="1"/>
  <c r="X834" i="2"/>
  <c r="AI833" i="2"/>
  <c r="AF833" i="2"/>
  <c r="AC833" i="2"/>
  <c r="AC833" i="2" a="1"/>
  <c r="AA833" i="2"/>
  <c r="AA833" i="2" a="1"/>
  <c r="Z833" i="2"/>
  <c r="Z833" i="2" a="1"/>
  <c r="Y833" i="2"/>
  <c r="Y833" i="2" a="1"/>
  <c r="X833" i="2"/>
  <c r="AI832" i="2"/>
  <c r="AF832" i="2"/>
  <c r="AC832" i="2"/>
  <c r="AC832" i="2" a="1"/>
  <c r="AA832" i="2"/>
  <c r="AA832" i="2" a="1"/>
  <c r="Z832" i="2"/>
  <c r="Z832" i="2" a="1"/>
  <c r="Y832" i="2"/>
  <c r="Y832" i="2" a="1"/>
  <c r="X832" i="2"/>
  <c r="AI831" i="2"/>
  <c r="AF831" i="2"/>
  <c r="AC831" i="2"/>
  <c r="AC831" i="2" a="1"/>
  <c r="AA831" i="2"/>
  <c r="AA831" i="2" a="1"/>
  <c r="Z831" i="2"/>
  <c r="Z831" i="2" a="1"/>
  <c r="Y831" i="2"/>
  <c r="Y831" i="2" a="1"/>
  <c r="X831" i="2"/>
  <c r="AI830" i="2"/>
  <c r="AF830" i="2"/>
  <c r="AC830" i="2"/>
  <c r="AC830" i="2" a="1"/>
  <c r="AA830" i="2"/>
  <c r="AA830" i="2" a="1"/>
  <c r="Z830" i="2"/>
  <c r="Z830" i="2" a="1"/>
  <c r="Y830" i="2"/>
  <c r="Y830" i="2" a="1"/>
  <c r="X830" i="2"/>
  <c r="AI829" i="2"/>
  <c r="AF829" i="2"/>
  <c r="AC829" i="2"/>
  <c r="AC829" i="2" a="1"/>
  <c r="AA829" i="2"/>
  <c r="AA829" i="2" a="1"/>
  <c r="Z829" i="2"/>
  <c r="Z829" i="2" a="1"/>
  <c r="Y829" i="2"/>
  <c r="Y829" i="2" a="1"/>
  <c r="X829" i="2"/>
  <c r="AI828" i="2"/>
  <c r="AF828" i="2"/>
  <c r="AC828" i="2"/>
  <c r="AC828" i="2" a="1"/>
  <c r="AA828" i="2"/>
  <c r="AA828" i="2" a="1"/>
  <c r="Z828" i="2"/>
  <c r="Z828" i="2" a="1"/>
  <c r="Y828" i="2"/>
  <c r="Y828" i="2" a="1"/>
  <c r="X828" i="2"/>
  <c r="AI827" i="2"/>
  <c r="AF827" i="2"/>
  <c r="AC827" i="2"/>
  <c r="AC827" i="2" a="1"/>
  <c r="AA827" i="2"/>
  <c r="AA827" i="2" a="1"/>
  <c r="Z827" i="2"/>
  <c r="Z827" i="2" a="1"/>
  <c r="Y827" i="2"/>
  <c r="Y827" i="2" a="1"/>
  <c r="X827" i="2"/>
  <c r="AI826" i="2"/>
  <c r="AF826" i="2"/>
  <c r="AC826" i="2"/>
  <c r="AC826" i="2" a="1"/>
  <c r="AA826" i="2"/>
  <c r="AA826" i="2" a="1"/>
  <c r="Z826" i="2"/>
  <c r="Z826" i="2" a="1"/>
  <c r="Y826" i="2"/>
  <c r="Y826" i="2" a="1"/>
  <c r="X826" i="2"/>
  <c r="AI825" i="2"/>
  <c r="AF825" i="2"/>
  <c r="AC825" i="2"/>
  <c r="AC825" i="2" a="1"/>
  <c r="AA825" i="2"/>
  <c r="AA825" i="2" a="1"/>
  <c r="Z825" i="2"/>
  <c r="Z825" i="2" a="1"/>
  <c r="Y825" i="2"/>
  <c r="Y825" i="2" a="1"/>
  <c r="X825" i="2"/>
  <c r="AI824" i="2"/>
  <c r="AF824" i="2"/>
  <c r="AC824" i="2"/>
  <c r="AC824" i="2" a="1"/>
  <c r="AA824" i="2"/>
  <c r="AA824" i="2" a="1"/>
  <c r="Z824" i="2"/>
  <c r="Z824" i="2" a="1"/>
  <c r="Y824" i="2"/>
  <c r="Y824" i="2" a="1"/>
  <c r="X824" i="2"/>
  <c r="AI823" i="2"/>
  <c r="AF823" i="2"/>
  <c r="AC823" i="2"/>
  <c r="AC823" i="2" a="1"/>
  <c r="AA823" i="2"/>
  <c r="AA823" i="2" a="1"/>
  <c r="Z823" i="2"/>
  <c r="Z823" i="2" a="1"/>
  <c r="Y823" i="2"/>
  <c r="Y823" i="2" a="1"/>
  <c r="X823" i="2"/>
  <c r="AI822" i="2"/>
  <c r="AF822" i="2"/>
  <c r="AC822" i="2"/>
  <c r="AC822" i="2" a="1"/>
  <c r="AA822" i="2"/>
  <c r="AA822" i="2" a="1"/>
  <c r="Z822" i="2"/>
  <c r="Z822" i="2" a="1"/>
  <c r="Y822" i="2"/>
  <c r="Y822" i="2" a="1"/>
  <c r="X822" i="2"/>
  <c r="AI821" i="2"/>
  <c r="AF821" i="2"/>
  <c r="AC821" i="2"/>
  <c r="AC821" i="2" a="1"/>
  <c r="AA821" i="2"/>
  <c r="AA821" i="2" a="1"/>
  <c r="Z821" i="2"/>
  <c r="Z821" i="2" a="1"/>
  <c r="Y821" i="2"/>
  <c r="Y821" i="2" a="1"/>
  <c r="X821" i="2"/>
  <c r="AI820" i="2"/>
  <c r="AF820" i="2"/>
  <c r="AC820" i="2"/>
  <c r="AC820" i="2" a="1"/>
  <c r="AA820" i="2"/>
  <c r="AA820" i="2" a="1"/>
  <c r="Z820" i="2"/>
  <c r="Z820" i="2" a="1"/>
  <c r="Y820" i="2"/>
  <c r="Y820" i="2" a="1"/>
  <c r="X820" i="2"/>
  <c r="AI819" i="2"/>
  <c r="AF819" i="2"/>
  <c r="AC819" i="2"/>
  <c r="AC819" i="2" a="1"/>
  <c r="AA819" i="2"/>
  <c r="AA819" i="2" a="1"/>
  <c r="Z819" i="2"/>
  <c r="Z819" i="2" a="1"/>
  <c r="Y819" i="2"/>
  <c r="Y819" i="2" a="1"/>
  <c r="X819" i="2"/>
  <c r="AI818" i="2"/>
  <c r="AF818" i="2"/>
  <c r="AC818" i="2"/>
  <c r="AC818" i="2" a="1"/>
  <c r="AA818" i="2"/>
  <c r="AA818" i="2" a="1"/>
  <c r="Z818" i="2"/>
  <c r="Z818" i="2" a="1"/>
  <c r="Y818" i="2"/>
  <c r="Y818" i="2" a="1"/>
  <c r="X818" i="2"/>
  <c r="AI817" i="2"/>
  <c r="AF817" i="2"/>
  <c r="AC817" i="2"/>
  <c r="AC817" i="2" a="1"/>
  <c r="AA817" i="2"/>
  <c r="AA817" i="2" a="1"/>
  <c r="Z817" i="2"/>
  <c r="Z817" i="2" a="1"/>
  <c r="Y817" i="2"/>
  <c r="Y817" i="2" a="1"/>
  <c r="X817" i="2"/>
  <c r="AI816" i="2"/>
  <c r="AF816" i="2"/>
  <c r="AC816" i="2"/>
  <c r="AC816" i="2" a="1"/>
  <c r="AA816" i="2"/>
  <c r="AA816" i="2" a="1"/>
  <c r="Z816" i="2"/>
  <c r="Z816" i="2" a="1"/>
  <c r="Y816" i="2"/>
  <c r="Y816" i="2" a="1"/>
  <c r="X816" i="2"/>
  <c r="AI815" i="2"/>
  <c r="AF815" i="2"/>
  <c r="AC815" i="2"/>
  <c r="AC815" i="2" a="1"/>
  <c r="AA815" i="2"/>
  <c r="AA815" i="2" a="1"/>
  <c r="Z815" i="2"/>
  <c r="Z815" i="2" a="1"/>
  <c r="Y815" i="2"/>
  <c r="Y815" i="2" a="1"/>
  <c r="X815" i="2"/>
  <c r="AI814" i="2"/>
  <c r="AF814" i="2"/>
  <c r="AC814" i="2"/>
  <c r="AC814" i="2" a="1"/>
  <c r="AA814" i="2"/>
  <c r="AA814" i="2" a="1"/>
  <c r="Z814" i="2"/>
  <c r="Z814" i="2" a="1"/>
  <c r="Y814" i="2"/>
  <c r="Y814" i="2" a="1"/>
  <c r="X814" i="2"/>
  <c r="AI813" i="2"/>
  <c r="AF813" i="2"/>
  <c r="AC813" i="2"/>
  <c r="AC813" i="2" a="1"/>
  <c r="AA813" i="2"/>
  <c r="AA813" i="2" a="1"/>
  <c r="Z813" i="2"/>
  <c r="Z813" i="2" a="1"/>
  <c r="Y813" i="2"/>
  <c r="Y813" i="2" a="1"/>
  <c r="X813" i="2"/>
  <c r="AI812" i="2"/>
  <c r="AF812" i="2"/>
  <c r="AC812" i="2"/>
  <c r="AC812" i="2" a="1"/>
  <c r="AA812" i="2"/>
  <c r="AA812" i="2" a="1"/>
  <c r="Z812" i="2"/>
  <c r="Z812" i="2" a="1"/>
  <c r="Y812" i="2"/>
  <c r="Y812" i="2" a="1"/>
  <c r="X812" i="2"/>
  <c r="AI811" i="2"/>
  <c r="AF811" i="2"/>
  <c r="AC811" i="2"/>
  <c r="AC811" i="2" a="1"/>
  <c r="AA811" i="2"/>
  <c r="AA811" i="2" a="1"/>
  <c r="Z811" i="2"/>
  <c r="Z811" i="2" a="1"/>
  <c r="Y811" i="2"/>
  <c r="Y811" i="2" a="1"/>
  <c r="X811" i="2"/>
  <c r="AI810" i="2"/>
  <c r="AF810" i="2"/>
  <c r="AC810" i="2"/>
  <c r="AC810" i="2" a="1"/>
  <c r="AA810" i="2"/>
  <c r="AA810" i="2" a="1"/>
  <c r="Z810" i="2"/>
  <c r="Z810" i="2" a="1"/>
  <c r="Y810" i="2"/>
  <c r="Y810" i="2" a="1"/>
  <c r="X810" i="2"/>
  <c r="AI809" i="2"/>
  <c r="AF809" i="2"/>
  <c r="AC809" i="2"/>
  <c r="AC809" i="2" a="1"/>
  <c r="AA809" i="2"/>
  <c r="AA809" i="2" a="1"/>
  <c r="Z809" i="2"/>
  <c r="Z809" i="2" a="1"/>
  <c r="Y809" i="2"/>
  <c r="Y809" i="2" a="1"/>
  <c r="X809" i="2"/>
  <c r="AI808" i="2"/>
  <c r="AF808" i="2"/>
  <c r="AC808" i="2"/>
  <c r="AC808" i="2" a="1"/>
  <c r="AA808" i="2"/>
  <c r="AA808" i="2" a="1"/>
  <c r="Z808" i="2"/>
  <c r="Z808" i="2" a="1"/>
  <c r="Y808" i="2"/>
  <c r="Y808" i="2" a="1"/>
  <c r="X808" i="2"/>
  <c r="AI807" i="2"/>
  <c r="AF807" i="2"/>
  <c r="AC807" i="2"/>
  <c r="AC807" i="2" a="1"/>
  <c r="AA807" i="2"/>
  <c r="AA807" i="2" a="1"/>
  <c r="Z807" i="2"/>
  <c r="Z807" i="2" a="1"/>
  <c r="Y807" i="2"/>
  <c r="Y807" i="2" a="1"/>
  <c r="X807" i="2"/>
  <c r="AI806" i="2"/>
  <c r="AF806" i="2"/>
  <c r="AC806" i="2"/>
  <c r="AC806" i="2" a="1"/>
  <c r="AA806" i="2"/>
  <c r="AA806" i="2" a="1"/>
  <c r="Z806" i="2"/>
  <c r="Z806" i="2" a="1"/>
  <c r="Y806" i="2"/>
  <c r="Y806" i="2" a="1"/>
  <c r="X806" i="2"/>
  <c r="AI805" i="2"/>
  <c r="AF805" i="2"/>
  <c r="AC805" i="2"/>
  <c r="AC805" i="2" a="1"/>
  <c r="AA805" i="2"/>
  <c r="AA805" i="2" a="1"/>
  <c r="Z805" i="2"/>
  <c r="Z805" i="2" a="1"/>
  <c r="Y805" i="2"/>
  <c r="Y805" i="2" a="1"/>
  <c r="X805" i="2"/>
  <c r="AI804" i="2"/>
  <c r="AF804" i="2"/>
  <c r="AC804" i="2"/>
  <c r="AC804" i="2" a="1"/>
  <c r="AA804" i="2"/>
  <c r="AA804" i="2" a="1"/>
  <c r="Z804" i="2"/>
  <c r="Z804" i="2" a="1"/>
  <c r="Y804" i="2"/>
  <c r="Y804" i="2" a="1"/>
  <c r="X804" i="2"/>
  <c r="AI803" i="2"/>
  <c r="AF803" i="2"/>
  <c r="AC803" i="2"/>
  <c r="AC803" i="2" a="1"/>
  <c r="AA803" i="2"/>
  <c r="AA803" i="2" a="1"/>
  <c r="Z803" i="2"/>
  <c r="Z803" i="2" a="1"/>
  <c r="Y803" i="2"/>
  <c r="Y803" i="2" a="1"/>
  <c r="X803" i="2"/>
  <c r="AI802" i="2"/>
  <c r="AF802" i="2"/>
  <c r="AC802" i="2"/>
  <c r="AC802" i="2" a="1"/>
  <c r="AA802" i="2"/>
  <c r="AA802" i="2" a="1"/>
  <c r="Z802" i="2"/>
  <c r="Z802" i="2" a="1"/>
  <c r="Y802" i="2"/>
  <c r="Y802" i="2" a="1"/>
  <c r="X802" i="2"/>
  <c r="AI801" i="2"/>
  <c r="AF801" i="2"/>
  <c r="AC801" i="2"/>
  <c r="AC801" i="2" a="1"/>
  <c r="AA801" i="2"/>
  <c r="AA801" i="2" a="1"/>
  <c r="Z801" i="2"/>
  <c r="Z801" i="2" a="1"/>
  <c r="Y801" i="2"/>
  <c r="Y801" i="2" a="1"/>
  <c r="X801" i="2"/>
  <c r="AI800" i="2"/>
  <c r="AF800" i="2"/>
  <c r="AC800" i="2"/>
  <c r="AC800" i="2" a="1"/>
  <c r="AA800" i="2"/>
  <c r="AA800" i="2" a="1"/>
  <c r="Z800" i="2"/>
  <c r="Z800" i="2" a="1"/>
  <c r="Y800" i="2"/>
  <c r="Y800" i="2" a="1"/>
  <c r="X800" i="2"/>
  <c r="AI799" i="2"/>
  <c r="AF799" i="2"/>
  <c r="AC799" i="2"/>
  <c r="AC799" i="2" a="1"/>
  <c r="AA799" i="2"/>
  <c r="AA799" i="2" a="1"/>
  <c r="Z799" i="2"/>
  <c r="Z799" i="2" a="1"/>
  <c r="Y799" i="2"/>
  <c r="Y799" i="2" a="1"/>
  <c r="X799" i="2"/>
  <c r="AI798" i="2"/>
  <c r="AF798" i="2"/>
  <c r="AC798" i="2"/>
  <c r="AC798" i="2" a="1"/>
  <c r="AA798" i="2"/>
  <c r="AA798" i="2" a="1"/>
  <c r="Z798" i="2"/>
  <c r="Z798" i="2" a="1"/>
  <c r="Y798" i="2"/>
  <c r="Y798" i="2" a="1"/>
  <c r="X798" i="2"/>
  <c r="AI797" i="2"/>
  <c r="AF797" i="2"/>
  <c r="AC797" i="2"/>
  <c r="AC797" i="2" a="1"/>
  <c r="AA797" i="2"/>
  <c r="AA797" i="2" a="1"/>
  <c r="Z797" i="2"/>
  <c r="Z797" i="2" a="1"/>
  <c r="Y797" i="2"/>
  <c r="Y797" i="2" a="1"/>
  <c r="X797" i="2"/>
  <c r="AI796" i="2"/>
  <c r="AF796" i="2"/>
  <c r="AC796" i="2"/>
  <c r="AC796" i="2" a="1"/>
  <c r="AA796" i="2"/>
  <c r="AA796" i="2" a="1"/>
  <c r="Z796" i="2"/>
  <c r="Z796" i="2" a="1"/>
  <c r="Y796" i="2"/>
  <c r="Y796" i="2" a="1"/>
  <c r="X796" i="2"/>
  <c r="AI795" i="2"/>
  <c r="AF795" i="2"/>
  <c r="AC795" i="2"/>
  <c r="AC795" i="2" a="1"/>
  <c r="AA795" i="2"/>
  <c r="AA795" i="2" a="1"/>
  <c r="Z795" i="2"/>
  <c r="Z795" i="2" a="1"/>
  <c r="Y795" i="2"/>
  <c r="Y795" i="2" a="1"/>
  <c r="X795" i="2"/>
  <c r="AI794" i="2"/>
  <c r="AF794" i="2"/>
  <c r="AC794" i="2"/>
  <c r="AC794" i="2" a="1"/>
  <c r="AA794" i="2"/>
  <c r="AA794" i="2" a="1"/>
  <c r="Z794" i="2"/>
  <c r="Z794" i="2" a="1"/>
  <c r="Y794" i="2"/>
  <c r="Y794" i="2" a="1"/>
  <c r="X794" i="2"/>
  <c r="AI793" i="2"/>
  <c r="AF793" i="2"/>
  <c r="AC793" i="2"/>
  <c r="AC793" i="2" a="1"/>
  <c r="AA793" i="2"/>
  <c r="AA793" i="2" a="1"/>
  <c r="Z793" i="2"/>
  <c r="Z793" i="2" a="1"/>
  <c r="Y793" i="2"/>
  <c r="Y793" i="2" a="1"/>
  <c r="X793" i="2"/>
  <c r="AI792" i="2"/>
  <c r="AF792" i="2"/>
  <c r="AC792" i="2"/>
  <c r="AC792" i="2" a="1"/>
  <c r="AA792" i="2"/>
  <c r="AA792" i="2" a="1"/>
  <c r="Z792" i="2"/>
  <c r="Z792" i="2" a="1"/>
  <c r="Y792" i="2"/>
  <c r="Y792" i="2" a="1"/>
  <c r="X792" i="2"/>
  <c r="AI791" i="2"/>
  <c r="AF791" i="2"/>
  <c r="AC791" i="2"/>
  <c r="AC791" i="2" a="1"/>
  <c r="AA791" i="2"/>
  <c r="AA791" i="2" a="1"/>
  <c r="Z791" i="2"/>
  <c r="Z791" i="2" a="1"/>
  <c r="Y791" i="2"/>
  <c r="Y791" i="2" a="1"/>
  <c r="X791" i="2"/>
  <c r="AI790" i="2"/>
  <c r="AF790" i="2"/>
  <c r="AC790" i="2"/>
  <c r="AC790" i="2" a="1"/>
  <c r="AA790" i="2"/>
  <c r="AA790" i="2" a="1"/>
  <c r="Z790" i="2"/>
  <c r="Z790" i="2" a="1"/>
  <c r="Y790" i="2"/>
  <c r="Y790" i="2" a="1"/>
  <c r="X790" i="2"/>
  <c r="AI789" i="2"/>
  <c r="AF789" i="2"/>
  <c r="AC789" i="2"/>
  <c r="AC789" i="2" a="1"/>
  <c r="AA789" i="2"/>
  <c r="AA789" i="2" a="1"/>
  <c r="Z789" i="2"/>
  <c r="Z789" i="2" a="1"/>
  <c r="Y789" i="2"/>
  <c r="Y789" i="2" a="1"/>
  <c r="X789" i="2"/>
  <c r="AI788" i="2"/>
  <c r="AF788" i="2"/>
  <c r="AC788" i="2"/>
  <c r="AC788" i="2" a="1"/>
  <c r="AA788" i="2"/>
  <c r="AA788" i="2" a="1"/>
  <c r="Z788" i="2"/>
  <c r="Z788" i="2" a="1"/>
  <c r="Y788" i="2"/>
  <c r="Y788" i="2" a="1"/>
  <c r="X788" i="2"/>
  <c r="AI787" i="2"/>
  <c r="AF787" i="2"/>
  <c r="AC787" i="2"/>
  <c r="AC787" i="2" a="1"/>
  <c r="AA787" i="2"/>
  <c r="AA787" i="2" a="1"/>
  <c r="Z787" i="2"/>
  <c r="Z787" i="2" a="1"/>
  <c r="Y787" i="2"/>
  <c r="Y787" i="2" a="1"/>
  <c r="X787" i="2"/>
  <c r="AI786" i="2"/>
  <c r="AF786" i="2"/>
  <c r="AC786" i="2"/>
  <c r="AC786" i="2" a="1"/>
  <c r="AA786" i="2"/>
  <c r="AA786" i="2" a="1"/>
  <c r="Z786" i="2"/>
  <c r="Z786" i="2" a="1"/>
  <c r="Y786" i="2"/>
  <c r="Y786" i="2" a="1"/>
  <c r="X786" i="2"/>
  <c r="AI785" i="2"/>
  <c r="AF785" i="2"/>
  <c r="AC785" i="2"/>
  <c r="AC785" i="2" a="1"/>
  <c r="AA785" i="2"/>
  <c r="AA785" i="2" a="1"/>
  <c r="Z785" i="2"/>
  <c r="Z785" i="2" a="1"/>
  <c r="Y785" i="2"/>
  <c r="Y785" i="2" a="1"/>
  <c r="X785" i="2"/>
  <c r="AI784" i="2"/>
  <c r="AF784" i="2"/>
  <c r="AC784" i="2"/>
  <c r="AC784" i="2" a="1"/>
  <c r="AA784" i="2"/>
  <c r="AA784" i="2" a="1"/>
  <c r="Z784" i="2"/>
  <c r="Z784" i="2" a="1"/>
  <c r="Y784" i="2"/>
  <c r="Y784" i="2" a="1"/>
  <c r="X784" i="2"/>
  <c r="AI783" i="2"/>
  <c r="AF783" i="2"/>
  <c r="AC783" i="2"/>
  <c r="AC783" i="2" a="1"/>
  <c r="AA783" i="2"/>
  <c r="AA783" i="2" a="1"/>
  <c r="Z783" i="2"/>
  <c r="Z783" i="2" a="1"/>
  <c r="Y783" i="2"/>
  <c r="Y783" i="2" a="1"/>
  <c r="X783" i="2"/>
  <c r="AI782" i="2"/>
  <c r="AF782" i="2"/>
  <c r="AC782" i="2"/>
  <c r="AC782" i="2" a="1"/>
  <c r="AA782" i="2"/>
  <c r="AA782" i="2" a="1"/>
  <c r="Z782" i="2"/>
  <c r="Z782" i="2" a="1"/>
  <c r="Y782" i="2"/>
  <c r="Y782" i="2" a="1"/>
  <c r="X782" i="2"/>
  <c r="AI781" i="2"/>
  <c r="AF781" i="2"/>
  <c r="AC781" i="2"/>
  <c r="AC781" i="2" a="1"/>
  <c r="AA781" i="2"/>
  <c r="AA781" i="2" a="1"/>
  <c r="Z781" i="2"/>
  <c r="Z781" i="2" a="1"/>
  <c r="Y781" i="2"/>
  <c r="Y781" i="2" a="1"/>
  <c r="X781" i="2"/>
  <c r="AI780" i="2"/>
  <c r="AF780" i="2"/>
  <c r="AC780" i="2"/>
  <c r="AC780" i="2" a="1"/>
  <c r="AA780" i="2"/>
  <c r="AA780" i="2" a="1"/>
  <c r="Z780" i="2"/>
  <c r="Z780" i="2" a="1"/>
  <c r="Y780" i="2"/>
  <c r="Y780" i="2" a="1"/>
  <c r="X780" i="2"/>
  <c r="AI779" i="2"/>
  <c r="AF779" i="2"/>
  <c r="AC779" i="2"/>
  <c r="AC779" i="2" a="1"/>
  <c r="AA779" i="2"/>
  <c r="AA779" i="2" a="1"/>
  <c r="Z779" i="2"/>
  <c r="Z779" i="2" a="1"/>
  <c r="Y779" i="2"/>
  <c r="Y779" i="2" a="1"/>
  <c r="X779" i="2"/>
  <c r="AI778" i="2"/>
  <c r="AF778" i="2"/>
  <c r="AC778" i="2"/>
  <c r="AC778" i="2" a="1"/>
  <c r="AA778" i="2"/>
  <c r="AA778" i="2" a="1"/>
  <c r="Z778" i="2"/>
  <c r="Z778" i="2" a="1"/>
  <c r="Y778" i="2"/>
  <c r="Y778" i="2" a="1"/>
  <c r="X778" i="2"/>
  <c r="AI777" i="2"/>
  <c r="AF777" i="2"/>
  <c r="AC777" i="2"/>
  <c r="AC777" i="2" a="1"/>
  <c r="AA777" i="2"/>
  <c r="AA777" i="2" a="1"/>
  <c r="Z777" i="2"/>
  <c r="Z777" i="2" a="1"/>
  <c r="Y777" i="2"/>
  <c r="Y777" i="2" a="1"/>
  <c r="X777" i="2"/>
  <c r="AI776" i="2"/>
  <c r="AF776" i="2"/>
  <c r="AC776" i="2"/>
  <c r="AC776" i="2" a="1"/>
  <c r="AA776" i="2"/>
  <c r="AA776" i="2" a="1"/>
  <c r="Z776" i="2"/>
  <c r="Z776" i="2" a="1"/>
  <c r="Y776" i="2"/>
  <c r="Y776" i="2" a="1"/>
  <c r="X776" i="2"/>
  <c r="AI775" i="2"/>
  <c r="AF775" i="2"/>
  <c r="AC775" i="2"/>
  <c r="AC775" i="2" a="1"/>
  <c r="AA775" i="2"/>
  <c r="AA775" i="2" a="1"/>
  <c r="Z775" i="2"/>
  <c r="Z775" i="2" a="1"/>
  <c r="Y775" i="2"/>
  <c r="Y775" i="2" a="1"/>
  <c r="X775" i="2"/>
  <c r="AI774" i="2"/>
  <c r="AF774" i="2"/>
  <c r="AC774" i="2"/>
  <c r="AC774" i="2" a="1"/>
  <c r="AA774" i="2"/>
  <c r="AA774" i="2" a="1"/>
  <c r="Z774" i="2"/>
  <c r="Z774" i="2" a="1"/>
  <c r="Y774" i="2"/>
  <c r="Y774" i="2" a="1"/>
  <c r="X774" i="2"/>
  <c r="AI773" i="2"/>
  <c r="AF773" i="2"/>
  <c r="AC773" i="2"/>
  <c r="AC773" i="2" a="1"/>
  <c r="AA773" i="2"/>
  <c r="AA773" i="2" a="1"/>
  <c r="Z773" i="2"/>
  <c r="Z773" i="2" a="1"/>
  <c r="Y773" i="2"/>
  <c r="Y773" i="2" a="1"/>
  <c r="X773" i="2"/>
  <c r="AI772" i="2"/>
  <c r="AF772" i="2"/>
  <c r="AC772" i="2"/>
  <c r="AC772" i="2" a="1"/>
  <c r="AA772" i="2"/>
  <c r="AA772" i="2" a="1"/>
  <c r="Z772" i="2"/>
  <c r="Z772" i="2" a="1"/>
  <c r="Y772" i="2"/>
  <c r="Y772" i="2" a="1"/>
  <c r="X772" i="2"/>
  <c r="AI771" i="2"/>
  <c r="AF771" i="2"/>
  <c r="AC771" i="2"/>
  <c r="AC771" i="2" a="1"/>
  <c r="AA771" i="2"/>
  <c r="AA771" i="2" a="1"/>
  <c r="Z771" i="2"/>
  <c r="Z771" i="2" a="1"/>
  <c r="Y771" i="2"/>
  <c r="Y771" i="2" a="1"/>
  <c r="X771" i="2"/>
  <c r="AI770" i="2"/>
  <c r="AF770" i="2"/>
  <c r="AC770" i="2"/>
  <c r="AC770" i="2" a="1"/>
  <c r="AA770" i="2"/>
  <c r="AA770" i="2" a="1"/>
  <c r="Z770" i="2"/>
  <c r="Z770" i="2" a="1"/>
  <c r="Y770" i="2"/>
  <c r="Y770" i="2" a="1"/>
  <c r="X770" i="2"/>
  <c r="AI769" i="2"/>
  <c r="AF769" i="2"/>
  <c r="AC769" i="2"/>
  <c r="AC769" i="2" a="1"/>
  <c r="AA769" i="2"/>
  <c r="AA769" i="2" a="1"/>
  <c r="Z769" i="2"/>
  <c r="Z769" i="2" a="1"/>
  <c r="Y769" i="2"/>
  <c r="Y769" i="2" a="1"/>
  <c r="X769" i="2"/>
  <c r="AI768" i="2"/>
  <c r="AF768" i="2"/>
  <c r="AC768" i="2"/>
  <c r="AC768" i="2" a="1"/>
  <c r="AA768" i="2"/>
  <c r="AA768" i="2" a="1"/>
  <c r="Z768" i="2"/>
  <c r="Z768" i="2" a="1"/>
  <c r="Y768" i="2"/>
  <c r="Y768" i="2" a="1"/>
  <c r="X768" i="2"/>
  <c r="AI767" i="2"/>
  <c r="AF767" i="2"/>
  <c r="AC767" i="2"/>
  <c r="AC767" i="2" a="1"/>
  <c r="AA767" i="2"/>
  <c r="AA767" i="2" a="1"/>
  <c r="Z767" i="2"/>
  <c r="Z767" i="2" a="1"/>
  <c r="Y767" i="2"/>
  <c r="Y767" i="2" a="1"/>
  <c r="X767" i="2"/>
  <c r="AI766" i="2"/>
  <c r="AF766" i="2"/>
  <c r="AC766" i="2"/>
  <c r="AC766" i="2" a="1"/>
  <c r="AA766" i="2"/>
  <c r="AA766" i="2" a="1"/>
  <c r="Z766" i="2"/>
  <c r="Z766" i="2" a="1"/>
  <c r="Y766" i="2"/>
  <c r="Y766" i="2" a="1"/>
  <c r="X766" i="2"/>
  <c r="AI765" i="2"/>
  <c r="AF765" i="2"/>
  <c r="AC765" i="2"/>
  <c r="AC765" i="2" a="1"/>
  <c r="AA765" i="2"/>
  <c r="AA765" i="2" a="1"/>
  <c r="Z765" i="2"/>
  <c r="Z765" i="2" a="1"/>
  <c r="Y765" i="2"/>
  <c r="Y765" i="2" a="1"/>
  <c r="X765" i="2"/>
  <c r="AI764" i="2"/>
  <c r="AF764" i="2"/>
  <c r="AC764" i="2"/>
  <c r="AC764" i="2" a="1"/>
  <c r="AA764" i="2"/>
  <c r="AA764" i="2" a="1"/>
  <c r="Z764" i="2"/>
  <c r="Z764" i="2" a="1"/>
  <c r="Y764" i="2"/>
  <c r="Y764" i="2" a="1"/>
  <c r="X764" i="2"/>
  <c r="AI763" i="2"/>
  <c r="AF763" i="2"/>
  <c r="AC763" i="2"/>
  <c r="AC763" i="2" a="1"/>
  <c r="AA763" i="2"/>
  <c r="AA763" i="2" a="1"/>
  <c r="Z763" i="2"/>
  <c r="Z763" i="2" a="1"/>
  <c r="Y763" i="2"/>
  <c r="Y763" i="2" a="1"/>
  <c r="X763" i="2"/>
  <c r="AI762" i="2"/>
  <c r="AF762" i="2"/>
  <c r="AC762" i="2"/>
  <c r="AC762" i="2" a="1"/>
  <c r="AA762" i="2"/>
  <c r="AA762" i="2" a="1"/>
  <c r="Z762" i="2"/>
  <c r="Z762" i="2" a="1"/>
  <c r="Y762" i="2"/>
  <c r="Y762" i="2" a="1"/>
  <c r="X762" i="2"/>
  <c r="AI761" i="2"/>
  <c r="AF761" i="2"/>
  <c r="AC761" i="2"/>
  <c r="AC761" i="2" a="1"/>
  <c r="AA761" i="2"/>
  <c r="AA761" i="2" a="1"/>
  <c r="Z761" i="2"/>
  <c r="Z761" i="2" a="1"/>
  <c r="Y761" i="2"/>
  <c r="Y761" i="2" a="1"/>
  <c r="X761" i="2"/>
  <c r="AI760" i="2"/>
  <c r="AF760" i="2"/>
  <c r="AC760" i="2"/>
  <c r="AC760" i="2" a="1"/>
  <c r="AA760" i="2"/>
  <c r="AA760" i="2" a="1"/>
  <c r="Z760" i="2"/>
  <c r="Z760" i="2" a="1"/>
  <c r="Y760" i="2"/>
  <c r="Y760" i="2" a="1"/>
  <c r="X760" i="2"/>
  <c r="AI759" i="2"/>
  <c r="AF759" i="2"/>
  <c r="AC759" i="2"/>
  <c r="AC759" i="2" a="1"/>
  <c r="AA759" i="2"/>
  <c r="AA759" i="2" a="1"/>
  <c r="Z759" i="2"/>
  <c r="Z759" i="2" a="1"/>
  <c r="Y759" i="2"/>
  <c r="Y759" i="2" a="1"/>
  <c r="X759" i="2"/>
  <c r="AI758" i="2"/>
  <c r="AF758" i="2"/>
  <c r="AC758" i="2"/>
  <c r="AC758" i="2" a="1"/>
  <c r="AA758" i="2"/>
  <c r="AA758" i="2" a="1"/>
  <c r="Z758" i="2"/>
  <c r="Z758" i="2" a="1"/>
  <c r="Y758" i="2"/>
  <c r="Y758" i="2" a="1"/>
  <c r="X758" i="2"/>
  <c r="AI757" i="2"/>
  <c r="AF757" i="2"/>
  <c r="AC757" i="2"/>
  <c r="AC757" i="2" a="1"/>
  <c r="AA757" i="2"/>
  <c r="AA757" i="2" a="1"/>
  <c r="Z757" i="2"/>
  <c r="Z757" i="2" a="1"/>
  <c r="Y757" i="2"/>
  <c r="Y757" i="2" a="1"/>
  <c r="X757" i="2"/>
  <c r="AI756" i="2"/>
  <c r="AF756" i="2"/>
  <c r="AC756" i="2"/>
  <c r="AC756" i="2" a="1"/>
  <c r="AA756" i="2"/>
  <c r="AA756" i="2" a="1"/>
  <c r="Z756" i="2"/>
  <c r="Z756" i="2" a="1"/>
  <c r="Y756" i="2"/>
  <c r="Y756" i="2" a="1"/>
  <c r="X756" i="2"/>
  <c r="AI755" i="2"/>
  <c r="AF755" i="2"/>
  <c r="AC755" i="2"/>
  <c r="AC755" i="2" a="1"/>
  <c r="AA755" i="2"/>
  <c r="AA755" i="2" a="1"/>
  <c r="Z755" i="2"/>
  <c r="Z755" i="2" a="1"/>
  <c r="Y755" i="2"/>
  <c r="Y755" i="2" a="1"/>
  <c r="X755" i="2"/>
  <c r="AI754" i="2"/>
  <c r="AF754" i="2"/>
  <c r="AC754" i="2"/>
  <c r="AC754" i="2" a="1"/>
  <c r="AA754" i="2"/>
  <c r="AA754" i="2" a="1"/>
  <c r="Z754" i="2"/>
  <c r="Z754" i="2" a="1"/>
  <c r="Y754" i="2"/>
  <c r="Y754" i="2" a="1"/>
  <c r="X754" i="2"/>
  <c r="AI753" i="2"/>
  <c r="AF753" i="2"/>
  <c r="AC753" i="2"/>
  <c r="AC753" i="2" a="1"/>
  <c r="AA753" i="2"/>
  <c r="AA753" i="2" a="1"/>
  <c r="Z753" i="2"/>
  <c r="Z753" i="2" a="1"/>
  <c r="Y753" i="2"/>
  <c r="Y753" i="2" a="1"/>
  <c r="X753" i="2"/>
  <c r="AI752" i="2"/>
  <c r="AF752" i="2"/>
  <c r="AC752" i="2"/>
  <c r="AC752" i="2" a="1"/>
  <c r="AA752" i="2"/>
  <c r="AA752" i="2" a="1"/>
  <c r="Z752" i="2"/>
  <c r="Z752" i="2" a="1"/>
  <c r="Y752" i="2"/>
  <c r="Y752" i="2" a="1"/>
  <c r="X752" i="2"/>
  <c r="AI751" i="2"/>
  <c r="AF751" i="2"/>
  <c r="AC751" i="2"/>
  <c r="AC751" i="2" a="1"/>
  <c r="AA751" i="2"/>
  <c r="AA751" i="2" a="1"/>
  <c r="Z751" i="2"/>
  <c r="Z751" i="2" a="1"/>
  <c r="Y751" i="2"/>
  <c r="Y751" i="2" a="1"/>
  <c r="X751" i="2"/>
  <c r="AI750" i="2"/>
  <c r="AF750" i="2"/>
  <c r="AC750" i="2"/>
  <c r="AC750" i="2" a="1"/>
  <c r="AA750" i="2"/>
  <c r="AA750" i="2" a="1"/>
  <c r="Z750" i="2"/>
  <c r="Z750" i="2" a="1"/>
  <c r="Y750" i="2"/>
  <c r="Y750" i="2" a="1"/>
  <c r="X750" i="2"/>
  <c r="AI749" i="2"/>
  <c r="AF749" i="2"/>
  <c r="AC749" i="2"/>
  <c r="AC749" i="2" a="1"/>
  <c r="AA749" i="2"/>
  <c r="AA749" i="2" a="1"/>
  <c r="Z749" i="2"/>
  <c r="Z749" i="2" a="1"/>
  <c r="Y749" i="2"/>
  <c r="Y749" i="2" a="1"/>
  <c r="X749" i="2"/>
  <c r="AI748" i="2"/>
  <c r="AF748" i="2"/>
  <c r="AC748" i="2"/>
  <c r="AC748" i="2" a="1"/>
  <c r="AA748" i="2"/>
  <c r="AA748" i="2" a="1"/>
  <c r="Z748" i="2"/>
  <c r="Z748" i="2" a="1"/>
  <c r="Y748" i="2"/>
  <c r="Y748" i="2" a="1"/>
  <c r="X748" i="2"/>
  <c r="AI747" i="2"/>
  <c r="AF747" i="2"/>
  <c r="AC747" i="2"/>
  <c r="AC747" i="2" a="1"/>
  <c r="AA747" i="2"/>
  <c r="AA747" i="2" a="1"/>
  <c r="Z747" i="2"/>
  <c r="Z747" i="2" a="1"/>
  <c r="Y747" i="2"/>
  <c r="Y747" i="2" a="1"/>
  <c r="X747" i="2"/>
  <c r="AI746" i="2"/>
  <c r="AF746" i="2"/>
  <c r="AC746" i="2"/>
  <c r="AC746" i="2" a="1"/>
  <c r="AA746" i="2"/>
  <c r="AA746" i="2" a="1"/>
  <c r="Z746" i="2"/>
  <c r="Z746" i="2" a="1"/>
  <c r="Y746" i="2"/>
  <c r="Y746" i="2" a="1"/>
  <c r="X746" i="2"/>
  <c r="AI745" i="2"/>
  <c r="AF745" i="2"/>
  <c r="AC745" i="2"/>
  <c r="AC745" i="2" a="1"/>
  <c r="AA745" i="2"/>
  <c r="AA745" i="2" a="1"/>
  <c r="Z745" i="2"/>
  <c r="Z745" i="2" a="1"/>
  <c r="Y745" i="2"/>
  <c r="Y745" i="2" a="1"/>
  <c r="X745" i="2"/>
  <c r="AI744" i="2"/>
  <c r="AF744" i="2"/>
  <c r="AC744" i="2"/>
  <c r="AC744" i="2" a="1"/>
  <c r="AA744" i="2"/>
  <c r="AA744" i="2" a="1"/>
  <c r="Z744" i="2"/>
  <c r="Z744" i="2" a="1"/>
  <c r="Y744" i="2"/>
  <c r="Y744" i="2" a="1"/>
  <c r="X744" i="2"/>
  <c r="AI743" i="2"/>
  <c r="AF743" i="2"/>
  <c r="AC743" i="2"/>
  <c r="AC743" i="2" a="1"/>
  <c r="AA743" i="2"/>
  <c r="AA743" i="2" a="1"/>
  <c r="Z743" i="2"/>
  <c r="Z743" i="2" a="1"/>
  <c r="Y743" i="2"/>
  <c r="Y743" i="2" a="1"/>
  <c r="X743" i="2"/>
  <c r="AI742" i="2"/>
  <c r="AF742" i="2"/>
  <c r="AC742" i="2"/>
  <c r="AC742" i="2" a="1"/>
  <c r="AA742" i="2"/>
  <c r="AA742" i="2" a="1"/>
  <c r="Z742" i="2"/>
  <c r="Z742" i="2" a="1"/>
  <c r="Y742" i="2"/>
  <c r="Y742" i="2" a="1"/>
  <c r="X742" i="2"/>
  <c r="AI741" i="2"/>
  <c r="AF741" i="2"/>
  <c r="AC741" i="2"/>
  <c r="AC741" i="2" a="1"/>
  <c r="AA741" i="2"/>
  <c r="AA741" i="2" a="1"/>
  <c r="Z741" i="2"/>
  <c r="Z741" i="2" a="1"/>
  <c r="Y741" i="2"/>
  <c r="Y741" i="2" a="1"/>
  <c r="X741" i="2"/>
  <c r="AI740" i="2"/>
  <c r="AF740" i="2"/>
  <c r="AC740" i="2"/>
  <c r="AC740" i="2" a="1"/>
  <c r="AA740" i="2"/>
  <c r="AA740" i="2" a="1"/>
  <c r="Z740" i="2"/>
  <c r="Z740" i="2" a="1"/>
  <c r="Y740" i="2"/>
  <c r="Y740" i="2" a="1"/>
  <c r="X740" i="2"/>
  <c r="AI739" i="2"/>
  <c r="AF739" i="2"/>
  <c r="AC739" i="2"/>
  <c r="AC739" i="2" a="1"/>
  <c r="AA739" i="2"/>
  <c r="AA739" i="2" a="1"/>
  <c r="Z739" i="2"/>
  <c r="Z739" i="2" a="1"/>
  <c r="Y739" i="2"/>
  <c r="Y739" i="2" a="1"/>
  <c r="X739" i="2"/>
  <c r="AI738" i="2"/>
  <c r="AF738" i="2"/>
  <c r="AC738" i="2"/>
  <c r="AC738" i="2" a="1"/>
  <c r="AA738" i="2"/>
  <c r="AA738" i="2" a="1"/>
  <c r="Z738" i="2"/>
  <c r="Z738" i="2" a="1"/>
  <c r="Y738" i="2"/>
  <c r="Y738" i="2" a="1"/>
  <c r="X738" i="2"/>
  <c r="AI737" i="2"/>
  <c r="AF737" i="2"/>
  <c r="AC737" i="2"/>
  <c r="AC737" i="2" a="1"/>
  <c r="AA737" i="2"/>
  <c r="AA737" i="2" a="1"/>
  <c r="Z737" i="2"/>
  <c r="Z737" i="2" a="1"/>
  <c r="Y737" i="2"/>
  <c r="Y737" i="2" a="1"/>
  <c r="X737" i="2"/>
  <c r="AI736" i="2"/>
  <c r="AC736" i="2"/>
  <c r="AC736" i="2" a="1"/>
  <c r="AA736" i="2"/>
  <c r="AA736" i="2" a="1"/>
  <c r="Z736" i="2"/>
  <c r="Z736" i="2" a="1"/>
  <c r="Y736" i="2"/>
  <c r="Y736" i="2" a="1"/>
  <c r="X736" i="2"/>
  <c r="AI735" i="2"/>
  <c r="AF735" i="2"/>
  <c r="AC735" i="2"/>
  <c r="AC735" i="2" a="1"/>
  <c r="AA735" i="2"/>
  <c r="AA735" i="2" a="1"/>
  <c r="Z735" i="2"/>
  <c r="Z735" i="2" a="1"/>
  <c r="Y735" i="2"/>
  <c r="Y735" i="2" a="1"/>
  <c r="X735" i="2"/>
  <c r="AI734" i="2"/>
  <c r="AF734" i="2"/>
  <c r="AC734" i="2"/>
  <c r="AC734" i="2" a="1"/>
  <c r="AA734" i="2"/>
  <c r="AA734" i="2" a="1"/>
  <c r="Z734" i="2"/>
  <c r="Z734" i="2" a="1"/>
  <c r="Y734" i="2"/>
  <c r="Y734" i="2" a="1"/>
  <c r="X734" i="2"/>
  <c r="AI733" i="2"/>
  <c r="AF733" i="2"/>
  <c r="AC733" i="2"/>
  <c r="AC733" i="2" a="1"/>
  <c r="AA733" i="2"/>
  <c r="AA733" i="2" a="1"/>
  <c r="Z733" i="2"/>
  <c r="Z733" i="2" a="1"/>
  <c r="Y733" i="2"/>
  <c r="Y733" i="2" a="1"/>
  <c r="X733" i="2"/>
  <c r="AI732" i="2"/>
  <c r="AF732" i="2"/>
  <c r="AC732" i="2"/>
  <c r="AC732" i="2" a="1"/>
  <c r="AA732" i="2"/>
  <c r="AA732" i="2" a="1"/>
  <c r="Z732" i="2"/>
  <c r="Z732" i="2" a="1"/>
  <c r="Y732" i="2"/>
  <c r="Y732" i="2" a="1"/>
  <c r="X732" i="2"/>
  <c r="AI731" i="2"/>
  <c r="AF731" i="2"/>
  <c r="AC731" i="2"/>
  <c r="AC731" i="2" a="1"/>
  <c r="AA731" i="2"/>
  <c r="AA731" i="2" a="1"/>
  <c r="Z731" i="2"/>
  <c r="Z731" i="2" a="1"/>
  <c r="Y731" i="2"/>
  <c r="Y731" i="2" a="1"/>
  <c r="X731" i="2"/>
  <c r="AI730" i="2"/>
  <c r="AF730" i="2"/>
  <c r="AC730" i="2"/>
  <c r="AC730" i="2" a="1"/>
  <c r="AA730" i="2"/>
  <c r="AA730" i="2" a="1"/>
  <c r="Z730" i="2"/>
  <c r="Z730" i="2" a="1"/>
  <c r="Y730" i="2"/>
  <c r="Y730" i="2" a="1"/>
  <c r="X730" i="2"/>
  <c r="AI729" i="2"/>
  <c r="AF729" i="2"/>
  <c r="AC729" i="2"/>
  <c r="AC729" i="2" a="1"/>
  <c r="AA729" i="2"/>
  <c r="AA729" i="2" a="1"/>
  <c r="Z729" i="2"/>
  <c r="Z729" i="2" a="1"/>
  <c r="Y729" i="2"/>
  <c r="Y729" i="2" a="1"/>
  <c r="X729" i="2"/>
  <c r="AI728" i="2"/>
  <c r="AF728" i="2"/>
  <c r="AC728" i="2"/>
  <c r="AC728" i="2" a="1"/>
  <c r="AA728" i="2"/>
  <c r="AA728" i="2" a="1"/>
  <c r="Z728" i="2"/>
  <c r="Z728" i="2" a="1"/>
  <c r="Y728" i="2"/>
  <c r="Y728" i="2" a="1"/>
  <c r="X728" i="2"/>
  <c r="AI727" i="2"/>
  <c r="AF727" i="2"/>
  <c r="AC727" i="2"/>
  <c r="AC727" i="2" a="1"/>
  <c r="AA727" i="2"/>
  <c r="AA727" i="2" a="1"/>
  <c r="Z727" i="2"/>
  <c r="Z727" i="2" a="1"/>
  <c r="Y727" i="2"/>
  <c r="Y727" i="2" a="1"/>
  <c r="X727" i="2"/>
  <c r="AI726" i="2"/>
  <c r="AF726" i="2"/>
  <c r="AC726" i="2"/>
  <c r="AC726" i="2" a="1"/>
  <c r="AA726" i="2"/>
  <c r="AA726" i="2" a="1"/>
  <c r="Z726" i="2"/>
  <c r="Z726" i="2" a="1"/>
  <c r="Y726" i="2"/>
  <c r="Y726" i="2" a="1"/>
  <c r="X726" i="2"/>
  <c r="AI725" i="2"/>
  <c r="AF725" i="2"/>
  <c r="AC725" i="2"/>
  <c r="AC725" i="2" a="1"/>
  <c r="AA725" i="2"/>
  <c r="AA725" i="2" a="1"/>
  <c r="Z725" i="2"/>
  <c r="Z725" i="2" a="1"/>
  <c r="Y725" i="2"/>
  <c r="Y725" i="2" a="1"/>
  <c r="X725" i="2"/>
  <c r="AI724" i="2"/>
  <c r="AF724" i="2"/>
  <c r="AC724" i="2"/>
  <c r="AC724" i="2" a="1"/>
  <c r="AA724" i="2"/>
  <c r="AA724" i="2" a="1"/>
  <c r="Z724" i="2"/>
  <c r="Z724" i="2" a="1"/>
  <c r="Y724" i="2"/>
  <c r="Y724" i="2" a="1"/>
  <c r="X724" i="2"/>
  <c r="AI723" i="2"/>
  <c r="AF723" i="2"/>
  <c r="AC723" i="2"/>
  <c r="AC723" i="2" a="1"/>
  <c r="AA723" i="2"/>
  <c r="AA723" i="2" a="1"/>
  <c r="Z723" i="2"/>
  <c r="Z723" i="2" a="1"/>
  <c r="Y723" i="2"/>
  <c r="Y723" i="2" a="1"/>
  <c r="X723" i="2"/>
  <c r="AI722" i="2"/>
  <c r="AF722" i="2"/>
  <c r="AC722" i="2"/>
  <c r="AC722" i="2" a="1"/>
  <c r="AA722" i="2"/>
  <c r="AA722" i="2" a="1"/>
  <c r="Z722" i="2"/>
  <c r="Z722" i="2" a="1"/>
  <c r="Y722" i="2"/>
  <c r="Y722" i="2" a="1"/>
  <c r="X722" i="2"/>
  <c r="AI721" i="2"/>
  <c r="AF721" i="2"/>
  <c r="AC721" i="2"/>
  <c r="AC721" i="2" a="1"/>
  <c r="AA721" i="2"/>
  <c r="AA721" i="2" a="1"/>
  <c r="Z721" i="2"/>
  <c r="Z721" i="2" a="1"/>
  <c r="Y721" i="2"/>
  <c r="Y721" i="2" a="1"/>
  <c r="X721" i="2"/>
  <c r="AI720" i="2"/>
  <c r="AF720" i="2"/>
  <c r="AC720" i="2"/>
  <c r="AC720" i="2" a="1"/>
  <c r="AA720" i="2"/>
  <c r="AA720" i="2" a="1"/>
  <c r="Z720" i="2"/>
  <c r="Z720" i="2" a="1"/>
  <c r="Y720" i="2"/>
  <c r="Y720" i="2" a="1"/>
  <c r="X720" i="2"/>
  <c r="AI719" i="2"/>
  <c r="AF719" i="2"/>
  <c r="AC719" i="2"/>
  <c r="AC719" i="2" a="1"/>
  <c r="AA719" i="2"/>
  <c r="AA719" i="2" a="1"/>
  <c r="Z719" i="2"/>
  <c r="Z719" i="2" a="1"/>
  <c r="Y719" i="2"/>
  <c r="Y719" i="2" a="1"/>
  <c r="X719" i="2"/>
  <c r="AI718" i="2"/>
  <c r="AF718" i="2"/>
  <c r="AC718" i="2"/>
  <c r="AC718" i="2" a="1"/>
  <c r="AA718" i="2"/>
  <c r="AA718" i="2" a="1"/>
  <c r="Z718" i="2"/>
  <c r="Z718" i="2" a="1"/>
  <c r="Y718" i="2"/>
  <c r="Y718" i="2" a="1"/>
  <c r="X718" i="2"/>
  <c r="AI717" i="2"/>
  <c r="AF717" i="2"/>
  <c r="AC717" i="2"/>
  <c r="AC717" i="2" a="1"/>
  <c r="AA717" i="2"/>
  <c r="AA717" i="2" a="1"/>
  <c r="Z717" i="2"/>
  <c r="Z717" i="2" a="1"/>
  <c r="Y717" i="2"/>
  <c r="Y717" i="2" a="1"/>
  <c r="X717" i="2"/>
  <c r="AI716" i="2"/>
  <c r="AF716" i="2"/>
  <c r="AC716" i="2"/>
  <c r="AC716" i="2" a="1"/>
  <c r="AA716" i="2"/>
  <c r="AA716" i="2" a="1"/>
  <c r="Z716" i="2"/>
  <c r="Z716" i="2" a="1"/>
  <c r="Y716" i="2"/>
  <c r="Y716" i="2" a="1"/>
  <c r="X716" i="2"/>
  <c r="AI715" i="2"/>
  <c r="AF715" i="2"/>
  <c r="AC715" i="2"/>
  <c r="AC715" i="2" a="1"/>
  <c r="AA715" i="2"/>
  <c r="AA715" i="2" a="1"/>
  <c r="Z715" i="2"/>
  <c r="Z715" i="2" a="1"/>
  <c r="Y715" i="2"/>
  <c r="Y715" i="2" a="1"/>
  <c r="X715" i="2"/>
  <c r="AI714" i="2"/>
  <c r="AF714" i="2"/>
  <c r="AC714" i="2"/>
  <c r="AC714" i="2" a="1"/>
  <c r="AA714" i="2"/>
  <c r="AA714" i="2" a="1"/>
  <c r="Z714" i="2"/>
  <c r="Z714" i="2" a="1"/>
  <c r="Y714" i="2"/>
  <c r="Y714" i="2" a="1"/>
  <c r="X714" i="2"/>
  <c r="AI713" i="2"/>
  <c r="AF713" i="2"/>
  <c r="AC713" i="2"/>
  <c r="AC713" i="2" a="1"/>
  <c r="AA713" i="2"/>
  <c r="AA713" i="2" a="1"/>
  <c r="Z713" i="2"/>
  <c r="Z713" i="2" a="1"/>
  <c r="Y713" i="2"/>
  <c r="Y713" i="2" a="1"/>
  <c r="X713" i="2"/>
  <c r="AI712" i="2"/>
  <c r="AF712" i="2"/>
  <c r="AC712" i="2"/>
  <c r="AC712" i="2" a="1"/>
  <c r="AA712" i="2"/>
  <c r="AA712" i="2" a="1"/>
  <c r="Z712" i="2"/>
  <c r="Z712" i="2" a="1"/>
  <c r="Y712" i="2"/>
  <c r="Y712" i="2" a="1"/>
  <c r="X712" i="2"/>
  <c r="AI711" i="2"/>
  <c r="AF711" i="2"/>
  <c r="AC711" i="2"/>
  <c r="AC711" i="2" a="1"/>
  <c r="AA711" i="2"/>
  <c r="AA711" i="2" a="1"/>
  <c r="Z711" i="2"/>
  <c r="Z711" i="2" a="1"/>
  <c r="Y711" i="2"/>
  <c r="Y711" i="2" a="1"/>
  <c r="X711" i="2"/>
  <c r="AI710" i="2"/>
  <c r="AF710" i="2"/>
  <c r="AC710" i="2"/>
  <c r="AC710" i="2" a="1"/>
  <c r="AA710" i="2"/>
  <c r="AA710" i="2" a="1"/>
  <c r="Z710" i="2"/>
  <c r="Z710" i="2" a="1"/>
  <c r="Y710" i="2"/>
  <c r="Y710" i="2" a="1"/>
  <c r="X710" i="2"/>
  <c r="AI709" i="2"/>
  <c r="AF709" i="2"/>
  <c r="AC709" i="2"/>
  <c r="AC709" i="2" a="1"/>
  <c r="AA709" i="2"/>
  <c r="AA709" i="2" a="1"/>
  <c r="Z709" i="2"/>
  <c r="Z709" i="2" a="1"/>
  <c r="Y709" i="2"/>
  <c r="Y709" i="2" a="1"/>
  <c r="X709" i="2"/>
  <c r="AI708" i="2"/>
  <c r="AF708" i="2"/>
  <c r="AC708" i="2"/>
  <c r="AC708" i="2" a="1"/>
  <c r="AA708" i="2"/>
  <c r="AA708" i="2" a="1"/>
  <c r="Z708" i="2"/>
  <c r="Z708" i="2" a="1"/>
  <c r="Y708" i="2"/>
  <c r="Y708" i="2" a="1"/>
  <c r="X708" i="2"/>
  <c r="AI707" i="2"/>
  <c r="AF707" i="2"/>
  <c r="AC707" i="2"/>
  <c r="AC707" i="2" a="1"/>
  <c r="AA707" i="2"/>
  <c r="AA707" i="2" a="1"/>
  <c r="Z707" i="2"/>
  <c r="Z707" i="2" a="1"/>
  <c r="Y707" i="2"/>
  <c r="Y707" i="2" a="1"/>
  <c r="X707" i="2"/>
  <c r="AI706" i="2"/>
  <c r="AF706" i="2"/>
  <c r="AC706" i="2"/>
  <c r="AC706" i="2" a="1"/>
  <c r="AA706" i="2"/>
  <c r="AA706" i="2" a="1"/>
  <c r="Z706" i="2"/>
  <c r="Z706" i="2" a="1"/>
  <c r="Y706" i="2"/>
  <c r="Y706" i="2" a="1"/>
  <c r="X706" i="2"/>
  <c r="AI705" i="2"/>
  <c r="AF705" i="2"/>
  <c r="AC705" i="2"/>
  <c r="AC705" i="2" a="1"/>
  <c r="AA705" i="2"/>
  <c r="AA705" i="2" a="1"/>
  <c r="Z705" i="2"/>
  <c r="Z705" i="2" a="1"/>
  <c r="Y705" i="2"/>
  <c r="Y705" i="2" a="1"/>
  <c r="X705" i="2"/>
  <c r="AI704" i="2"/>
  <c r="AF704" i="2"/>
  <c r="AC704" i="2"/>
  <c r="AC704" i="2" a="1"/>
  <c r="AA704" i="2"/>
  <c r="AA704" i="2" a="1"/>
  <c r="Z704" i="2"/>
  <c r="Z704" i="2" a="1"/>
  <c r="Y704" i="2"/>
  <c r="Y704" i="2" a="1"/>
  <c r="X704" i="2"/>
  <c r="AI703" i="2"/>
  <c r="AF703" i="2"/>
  <c r="AC703" i="2"/>
  <c r="AC703" i="2" a="1"/>
  <c r="AA703" i="2"/>
  <c r="AA703" i="2" a="1"/>
  <c r="Z703" i="2"/>
  <c r="Z703" i="2" a="1"/>
  <c r="Y703" i="2"/>
  <c r="Y703" i="2" a="1"/>
  <c r="X703" i="2"/>
  <c r="AI702" i="2"/>
  <c r="AF702" i="2"/>
  <c r="AC702" i="2"/>
  <c r="AC702" i="2" a="1"/>
  <c r="AA702" i="2"/>
  <c r="AA702" i="2" a="1"/>
  <c r="Z702" i="2"/>
  <c r="Z702" i="2" a="1"/>
  <c r="Y702" i="2"/>
  <c r="Y702" i="2" a="1"/>
  <c r="X702" i="2"/>
  <c r="AI701" i="2"/>
  <c r="AF701" i="2"/>
  <c r="AC701" i="2"/>
  <c r="AC701" i="2" a="1"/>
  <c r="AA701" i="2"/>
  <c r="AA701" i="2" a="1"/>
  <c r="Z701" i="2"/>
  <c r="Z701" i="2" a="1"/>
  <c r="Y701" i="2"/>
  <c r="Y701" i="2" a="1"/>
  <c r="X701" i="2"/>
  <c r="AI700" i="2"/>
  <c r="AF700" i="2"/>
  <c r="AC700" i="2"/>
  <c r="AC700" i="2" a="1"/>
  <c r="AA700" i="2"/>
  <c r="AA700" i="2" a="1"/>
  <c r="Z700" i="2"/>
  <c r="Z700" i="2" a="1"/>
  <c r="Y700" i="2"/>
  <c r="Y700" i="2" a="1"/>
  <c r="X700" i="2"/>
  <c r="AI699" i="2"/>
  <c r="AF699" i="2"/>
  <c r="AC699" i="2"/>
  <c r="AC699" i="2" a="1"/>
  <c r="AA699" i="2"/>
  <c r="AA699" i="2" a="1"/>
  <c r="Z699" i="2"/>
  <c r="Z699" i="2" a="1"/>
  <c r="Y699" i="2"/>
  <c r="Y699" i="2" a="1"/>
  <c r="X699" i="2"/>
  <c r="AI698" i="2"/>
  <c r="AF698" i="2"/>
  <c r="AC698" i="2"/>
  <c r="AC698" i="2" a="1"/>
  <c r="AA698" i="2"/>
  <c r="AA698" i="2" a="1"/>
  <c r="Z698" i="2"/>
  <c r="Z698" i="2" a="1"/>
  <c r="Y698" i="2"/>
  <c r="Y698" i="2" a="1"/>
  <c r="X698" i="2"/>
  <c r="AI697" i="2"/>
  <c r="AF697" i="2"/>
  <c r="AC697" i="2"/>
  <c r="AC697" i="2" a="1"/>
  <c r="AA697" i="2"/>
  <c r="AA697" i="2" a="1"/>
  <c r="Z697" i="2"/>
  <c r="Z697" i="2" a="1"/>
  <c r="Y697" i="2"/>
  <c r="Y697" i="2" a="1"/>
  <c r="X697" i="2"/>
  <c r="AI696" i="2"/>
  <c r="AF696" i="2"/>
  <c r="AC696" i="2"/>
  <c r="AC696" i="2" a="1"/>
  <c r="AA696" i="2"/>
  <c r="AA696" i="2" a="1"/>
  <c r="Z696" i="2"/>
  <c r="Z696" i="2" a="1"/>
  <c r="Y696" i="2"/>
  <c r="Y696" i="2" a="1"/>
  <c r="X696" i="2"/>
  <c r="AI695" i="2"/>
  <c r="AF695" i="2"/>
  <c r="AC695" i="2"/>
  <c r="AC695" i="2" a="1"/>
  <c r="AA695" i="2"/>
  <c r="AA695" i="2" a="1"/>
  <c r="Z695" i="2"/>
  <c r="Z695" i="2" a="1"/>
  <c r="Y695" i="2"/>
  <c r="Y695" i="2" a="1"/>
  <c r="X695" i="2"/>
  <c r="AI694" i="2"/>
  <c r="AF694" i="2"/>
  <c r="AC694" i="2"/>
  <c r="AC694" i="2" a="1"/>
  <c r="AA694" i="2"/>
  <c r="AA694" i="2" a="1"/>
  <c r="Z694" i="2"/>
  <c r="Z694" i="2" a="1"/>
  <c r="Y694" i="2"/>
  <c r="Y694" i="2" a="1"/>
  <c r="X694" i="2"/>
  <c r="AI693" i="2"/>
  <c r="AF693" i="2"/>
  <c r="AC693" i="2"/>
  <c r="AC693" i="2" a="1"/>
  <c r="AA693" i="2"/>
  <c r="AA693" i="2" a="1"/>
  <c r="Z693" i="2"/>
  <c r="Z693" i="2" a="1"/>
  <c r="Y693" i="2"/>
  <c r="Y693" i="2" a="1"/>
  <c r="X693" i="2"/>
  <c r="AI692" i="2"/>
  <c r="AF692" i="2"/>
  <c r="AC692" i="2"/>
  <c r="AC692" i="2" a="1"/>
  <c r="AA692" i="2"/>
  <c r="AA692" i="2" a="1"/>
  <c r="Z692" i="2"/>
  <c r="Z692" i="2" a="1"/>
  <c r="Y692" i="2"/>
  <c r="Y692" i="2" a="1"/>
  <c r="X692" i="2"/>
  <c r="AI691" i="2"/>
  <c r="AF691" i="2"/>
  <c r="AC691" i="2"/>
  <c r="AC691" i="2" a="1"/>
  <c r="AA691" i="2"/>
  <c r="AA691" i="2" a="1"/>
  <c r="Z691" i="2"/>
  <c r="Z691" i="2" a="1"/>
  <c r="Y691" i="2"/>
  <c r="Y691" i="2" a="1"/>
  <c r="X691" i="2"/>
  <c r="AI690" i="2"/>
  <c r="AF690" i="2"/>
  <c r="AC690" i="2"/>
  <c r="AC690" i="2" a="1"/>
  <c r="AA690" i="2"/>
  <c r="AA690" i="2" a="1"/>
  <c r="Z690" i="2"/>
  <c r="Z690" i="2" a="1"/>
  <c r="Y690" i="2"/>
  <c r="Y690" i="2" a="1"/>
  <c r="X690" i="2"/>
  <c r="AI689" i="2"/>
  <c r="AF689" i="2"/>
  <c r="AC689" i="2"/>
  <c r="AC689" i="2" a="1"/>
  <c r="AA689" i="2"/>
  <c r="AA689" i="2" a="1"/>
  <c r="Z689" i="2"/>
  <c r="Z689" i="2" a="1"/>
  <c r="Y689" i="2"/>
  <c r="Y689" i="2" a="1"/>
  <c r="X689" i="2"/>
  <c r="AI688" i="2"/>
  <c r="AF688" i="2"/>
  <c r="AC688" i="2"/>
  <c r="AC688" i="2" a="1"/>
  <c r="AA688" i="2"/>
  <c r="AA688" i="2" a="1"/>
  <c r="Z688" i="2"/>
  <c r="Z688" i="2" a="1"/>
  <c r="Y688" i="2"/>
  <c r="Y688" i="2" a="1"/>
  <c r="X688" i="2"/>
  <c r="AI687" i="2"/>
  <c r="AF687" i="2"/>
  <c r="AC687" i="2"/>
  <c r="AC687" i="2" a="1"/>
  <c r="AA687" i="2"/>
  <c r="AA687" i="2" a="1"/>
  <c r="Z687" i="2"/>
  <c r="Z687" i="2" a="1"/>
  <c r="Y687" i="2"/>
  <c r="Y687" i="2" a="1"/>
  <c r="X687" i="2"/>
  <c r="AI686" i="2"/>
  <c r="AF686" i="2"/>
  <c r="AC686" i="2"/>
  <c r="AC686" i="2" a="1"/>
  <c r="AA686" i="2"/>
  <c r="AA686" i="2" a="1"/>
  <c r="Z686" i="2"/>
  <c r="Z686" i="2" a="1"/>
  <c r="Y686" i="2"/>
  <c r="Y686" i="2" a="1"/>
  <c r="X686" i="2"/>
  <c r="AI685" i="2"/>
  <c r="AF685" i="2"/>
  <c r="AC685" i="2"/>
  <c r="AC685" i="2" a="1"/>
  <c r="AA685" i="2"/>
  <c r="AA685" i="2" a="1"/>
  <c r="Z685" i="2"/>
  <c r="Z685" i="2" a="1"/>
  <c r="Y685" i="2"/>
  <c r="Y685" i="2" a="1"/>
  <c r="X685" i="2"/>
  <c r="AI684" i="2"/>
  <c r="AF684" i="2"/>
  <c r="AC684" i="2"/>
  <c r="AC684" i="2" a="1"/>
  <c r="AA684" i="2"/>
  <c r="AA684" i="2" a="1"/>
  <c r="Z684" i="2"/>
  <c r="Z684" i="2" a="1"/>
  <c r="Y684" i="2"/>
  <c r="Y684" i="2" a="1"/>
  <c r="X684" i="2"/>
  <c r="AI683" i="2"/>
  <c r="AF683" i="2"/>
  <c r="AC683" i="2"/>
  <c r="AC683" i="2" a="1"/>
  <c r="AA683" i="2"/>
  <c r="AA683" i="2" a="1"/>
  <c r="Z683" i="2"/>
  <c r="Z683" i="2" a="1"/>
  <c r="Y683" i="2"/>
  <c r="Y683" i="2" a="1"/>
  <c r="X683" i="2"/>
  <c r="AI682" i="2"/>
  <c r="AF682" i="2"/>
  <c r="AC682" i="2"/>
  <c r="AC682" i="2" a="1"/>
  <c r="AA682" i="2"/>
  <c r="AA682" i="2" a="1"/>
  <c r="Z682" i="2"/>
  <c r="Z682" i="2" a="1"/>
  <c r="Y682" i="2"/>
  <c r="Y682" i="2" a="1"/>
  <c r="X682" i="2"/>
  <c r="AI681" i="2"/>
  <c r="AF681" i="2"/>
  <c r="AC681" i="2"/>
  <c r="AC681" i="2" a="1"/>
  <c r="AA681" i="2"/>
  <c r="AA681" i="2" a="1"/>
  <c r="Z681" i="2"/>
  <c r="Z681" i="2" a="1"/>
  <c r="Y681" i="2"/>
  <c r="Y681" i="2" a="1"/>
  <c r="X681" i="2"/>
  <c r="AI680" i="2"/>
  <c r="AF680" i="2"/>
  <c r="AC680" i="2"/>
  <c r="AC680" i="2" a="1"/>
  <c r="AA680" i="2"/>
  <c r="AA680" i="2" a="1"/>
  <c r="Z680" i="2"/>
  <c r="Z680" i="2" a="1"/>
  <c r="Y680" i="2"/>
  <c r="Y680" i="2" a="1"/>
  <c r="X680" i="2"/>
  <c r="AI679" i="2"/>
  <c r="AF679" i="2"/>
  <c r="AC679" i="2"/>
  <c r="AC679" i="2" a="1"/>
  <c r="AA679" i="2"/>
  <c r="AA679" i="2" a="1"/>
  <c r="Z679" i="2"/>
  <c r="Z679" i="2" a="1"/>
  <c r="Y679" i="2"/>
  <c r="Y679" i="2" a="1"/>
  <c r="X679" i="2"/>
  <c r="AI678" i="2"/>
  <c r="AF678" i="2"/>
  <c r="AC678" i="2"/>
  <c r="AC678" i="2" a="1"/>
  <c r="AA678" i="2"/>
  <c r="AA678" i="2" a="1"/>
  <c r="Z678" i="2"/>
  <c r="Z678" i="2" a="1"/>
  <c r="Y678" i="2"/>
  <c r="Y678" i="2" a="1"/>
  <c r="X678" i="2"/>
  <c r="AI677" i="2"/>
  <c r="AF677" i="2"/>
  <c r="AC677" i="2"/>
  <c r="AC677" i="2" a="1"/>
  <c r="AA677" i="2"/>
  <c r="AA677" i="2" a="1"/>
  <c r="Z677" i="2"/>
  <c r="Z677" i="2" a="1"/>
  <c r="Y677" i="2"/>
  <c r="Y677" i="2" a="1"/>
  <c r="X677" i="2"/>
  <c r="AI676" i="2"/>
  <c r="AF676" i="2"/>
  <c r="AC676" i="2"/>
  <c r="AC676" i="2" a="1"/>
  <c r="AA676" i="2"/>
  <c r="AA676" i="2" a="1"/>
  <c r="Z676" i="2"/>
  <c r="Z676" i="2" a="1"/>
  <c r="Y676" i="2"/>
  <c r="Y676" i="2" a="1"/>
  <c r="X676" i="2"/>
  <c r="AI675" i="2"/>
  <c r="AF675" i="2"/>
  <c r="AC675" i="2"/>
  <c r="AC675" i="2" a="1"/>
  <c r="AA675" i="2"/>
  <c r="AA675" i="2" a="1"/>
  <c r="Z675" i="2"/>
  <c r="Z675" i="2" a="1"/>
  <c r="Y675" i="2"/>
  <c r="Y675" i="2" a="1"/>
  <c r="X675" i="2"/>
  <c r="AI674" i="2"/>
  <c r="AF674" i="2"/>
  <c r="AC674" i="2"/>
  <c r="AC674" i="2" a="1"/>
  <c r="AA674" i="2"/>
  <c r="AA674" i="2" a="1"/>
  <c r="Z674" i="2"/>
  <c r="Z674" i="2" a="1"/>
  <c r="Y674" i="2"/>
  <c r="Y674" i="2" a="1"/>
  <c r="X674" i="2"/>
  <c r="AI673" i="2"/>
  <c r="AF673" i="2"/>
  <c r="AC673" i="2"/>
  <c r="AC673" i="2" a="1"/>
  <c r="AA673" i="2"/>
  <c r="AA673" i="2" a="1"/>
  <c r="Z673" i="2"/>
  <c r="Z673" i="2" a="1"/>
  <c r="Y673" i="2"/>
  <c r="Y673" i="2" a="1"/>
  <c r="X673" i="2"/>
  <c r="AI672" i="2"/>
  <c r="AF672" i="2"/>
  <c r="AC672" i="2"/>
  <c r="AC672" i="2" a="1"/>
  <c r="AA672" i="2"/>
  <c r="AA672" i="2" a="1"/>
  <c r="Z672" i="2"/>
  <c r="Z672" i="2" a="1"/>
  <c r="Y672" i="2"/>
  <c r="Y672" i="2" a="1"/>
  <c r="X672" i="2"/>
  <c r="AI671" i="2"/>
  <c r="AF671" i="2"/>
  <c r="AC671" i="2"/>
  <c r="AC671" i="2" a="1"/>
  <c r="AA671" i="2"/>
  <c r="AA671" i="2" a="1"/>
  <c r="Z671" i="2"/>
  <c r="Z671" i="2" a="1"/>
  <c r="Y671" i="2"/>
  <c r="Y671" i="2" a="1"/>
  <c r="X671" i="2"/>
  <c r="AI670" i="2"/>
  <c r="AF670" i="2"/>
  <c r="AC670" i="2"/>
  <c r="AC670" i="2" a="1"/>
  <c r="AA670" i="2"/>
  <c r="AA670" i="2" a="1"/>
  <c r="Z670" i="2"/>
  <c r="Z670" i="2" a="1"/>
  <c r="Y670" i="2"/>
  <c r="Y670" i="2" a="1"/>
  <c r="X670" i="2"/>
  <c r="AI669" i="2"/>
  <c r="AF669" i="2"/>
  <c r="AC669" i="2"/>
  <c r="AC669" i="2" a="1"/>
  <c r="AA669" i="2"/>
  <c r="AA669" i="2" a="1"/>
  <c r="Z669" i="2"/>
  <c r="Z669" i="2" a="1"/>
  <c r="Y669" i="2"/>
  <c r="Y669" i="2" a="1"/>
  <c r="X669" i="2"/>
  <c r="AI668" i="2"/>
  <c r="AF668" i="2"/>
  <c r="AC668" i="2"/>
  <c r="AC668" i="2" a="1"/>
  <c r="AA668" i="2"/>
  <c r="AA668" i="2" a="1"/>
  <c r="Z668" i="2"/>
  <c r="Z668" i="2" a="1"/>
  <c r="Y668" i="2"/>
  <c r="Y668" i="2" a="1"/>
  <c r="X668" i="2"/>
  <c r="AI667" i="2"/>
  <c r="AF667" i="2"/>
  <c r="AC667" i="2"/>
  <c r="AC667" i="2" a="1"/>
  <c r="AA667" i="2"/>
  <c r="AA667" i="2" a="1"/>
  <c r="Z667" i="2"/>
  <c r="Z667" i="2" a="1"/>
  <c r="Y667" i="2"/>
  <c r="Y667" i="2" a="1"/>
  <c r="X667" i="2"/>
  <c r="AI666" i="2"/>
  <c r="AF666" i="2"/>
  <c r="AC666" i="2"/>
  <c r="AC666" i="2" a="1"/>
  <c r="AA666" i="2"/>
  <c r="AA666" i="2" a="1"/>
  <c r="Z666" i="2"/>
  <c r="Z666" i="2" a="1"/>
  <c r="Y666" i="2"/>
  <c r="Y666" i="2" a="1"/>
  <c r="X666" i="2"/>
  <c r="AI665" i="2"/>
  <c r="AF665" i="2"/>
  <c r="AC665" i="2"/>
  <c r="AC665" i="2" a="1"/>
  <c r="AA665" i="2"/>
  <c r="AA665" i="2" a="1"/>
  <c r="Z665" i="2"/>
  <c r="Z665" i="2" a="1"/>
  <c r="Y665" i="2"/>
  <c r="Y665" i="2" a="1"/>
  <c r="X665" i="2"/>
  <c r="AI664" i="2"/>
  <c r="AF664" i="2"/>
  <c r="AC664" i="2"/>
  <c r="AC664" i="2" a="1"/>
  <c r="AA664" i="2"/>
  <c r="AA664" i="2" a="1"/>
  <c r="Z664" i="2"/>
  <c r="Z664" i="2" a="1"/>
  <c r="Y664" i="2"/>
  <c r="Y664" i="2" a="1"/>
  <c r="X664" i="2"/>
  <c r="AI663" i="2"/>
  <c r="AF663" i="2"/>
  <c r="AC663" i="2"/>
  <c r="AC663" i="2" a="1"/>
  <c r="AA663" i="2"/>
  <c r="AA663" i="2" a="1"/>
  <c r="Z663" i="2"/>
  <c r="Z663" i="2" a="1"/>
  <c r="Y663" i="2"/>
  <c r="Y663" i="2" a="1"/>
  <c r="X663" i="2"/>
  <c r="AI662" i="2"/>
  <c r="AF662" i="2"/>
  <c r="AC662" i="2"/>
  <c r="AC662" i="2" a="1"/>
  <c r="AA662" i="2"/>
  <c r="AA662" i="2" a="1"/>
  <c r="Z662" i="2"/>
  <c r="Z662" i="2" a="1"/>
  <c r="Y662" i="2"/>
  <c r="Y662" i="2" a="1"/>
  <c r="X662" i="2"/>
  <c r="AI661" i="2"/>
  <c r="AF661" i="2"/>
  <c r="AC661" i="2"/>
  <c r="AC661" i="2" a="1"/>
  <c r="AA661" i="2"/>
  <c r="AA661" i="2" a="1"/>
  <c r="Z661" i="2"/>
  <c r="Z661" i="2" a="1"/>
  <c r="Y661" i="2"/>
  <c r="Y661" i="2" a="1"/>
  <c r="X661" i="2"/>
  <c r="AI660" i="2"/>
  <c r="AF660" i="2"/>
  <c r="AC660" i="2"/>
  <c r="AC660" i="2" a="1"/>
  <c r="AA660" i="2"/>
  <c r="AA660" i="2" a="1"/>
  <c r="Z660" i="2"/>
  <c r="Z660" i="2" a="1"/>
  <c r="Y660" i="2"/>
  <c r="Y660" i="2" a="1"/>
  <c r="X660" i="2"/>
  <c r="AI659" i="2"/>
  <c r="AF659" i="2"/>
  <c r="AC659" i="2"/>
  <c r="AC659" i="2" a="1"/>
  <c r="AA659" i="2"/>
  <c r="AA659" i="2" a="1"/>
  <c r="Z659" i="2"/>
  <c r="Z659" i="2" a="1"/>
  <c r="Y659" i="2"/>
  <c r="Y659" i="2" a="1"/>
  <c r="X659" i="2"/>
  <c r="AI658" i="2"/>
  <c r="AF658" i="2"/>
  <c r="AC658" i="2"/>
  <c r="AC658" i="2" a="1"/>
  <c r="AA658" i="2"/>
  <c r="AA658" i="2" a="1"/>
  <c r="Z658" i="2"/>
  <c r="Z658" i="2" a="1"/>
  <c r="Y658" i="2"/>
  <c r="Y658" i="2" a="1"/>
  <c r="X658" i="2"/>
  <c r="AI657" i="2"/>
  <c r="AF657" i="2"/>
  <c r="AC657" i="2"/>
  <c r="AC657" i="2" a="1"/>
  <c r="AA657" i="2"/>
  <c r="AA657" i="2" a="1"/>
  <c r="Z657" i="2"/>
  <c r="Z657" i="2" a="1"/>
  <c r="Y657" i="2"/>
  <c r="Y657" i="2" a="1"/>
  <c r="X657" i="2"/>
  <c r="AI656" i="2"/>
  <c r="AF656" i="2"/>
  <c r="AC656" i="2"/>
  <c r="AC656" i="2" a="1"/>
  <c r="AA656" i="2"/>
  <c r="AA656" i="2" a="1"/>
  <c r="Z656" i="2"/>
  <c r="Z656" i="2" a="1"/>
  <c r="Y656" i="2"/>
  <c r="Y656" i="2" a="1"/>
  <c r="X656" i="2"/>
  <c r="AI655" i="2"/>
  <c r="AF655" i="2"/>
  <c r="AC655" i="2"/>
  <c r="AC655" i="2" a="1"/>
  <c r="AA655" i="2"/>
  <c r="AA655" i="2" a="1"/>
  <c r="Z655" i="2"/>
  <c r="Z655" i="2" a="1"/>
  <c r="Y655" i="2"/>
  <c r="Y655" i="2" a="1"/>
  <c r="X655" i="2"/>
  <c r="AI654" i="2"/>
  <c r="AF654" i="2"/>
  <c r="AC654" i="2"/>
  <c r="AC654" i="2" a="1"/>
  <c r="AA654" i="2"/>
  <c r="AA654" i="2" a="1"/>
  <c r="Z654" i="2"/>
  <c r="Z654" i="2" a="1"/>
  <c r="Y654" i="2"/>
  <c r="Y654" i="2" a="1"/>
  <c r="X654" i="2"/>
  <c r="AI653" i="2"/>
  <c r="AF653" i="2"/>
  <c r="AC653" i="2"/>
  <c r="AC653" i="2" a="1"/>
  <c r="AA653" i="2"/>
  <c r="AA653" i="2" a="1"/>
  <c r="Z653" i="2"/>
  <c r="Z653" i="2" a="1"/>
  <c r="Y653" i="2"/>
  <c r="Y653" i="2" a="1"/>
  <c r="X653" i="2"/>
  <c r="AS652" i="2"/>
  <c r="AQ652" i="2"/>
  <c r="AP652" i="2"/>
  <c r="AO652" i="2"/>
  <c r="AN652" i="2"/>
  <c r="AI652" i="2"/>
  <c r="AF652" i="2"/>
  <c r="AC652" i="2"/>
  <c r="AC652" i="2" a="1"/>
  <c r="AA652" i="2"/>
  <c r="AA652" i="2" a="1"/>
  <c r="Z652" i="2"/>
  <c r="Z652" i="2" a="1"/>
  <c r="Y652" i="2"/>
  <c r="Y652" i="2" a="1"/>
  <c r="X652" i="2"/>
  <c r="AS651" i="2"/>
  <c r="AQ651" i="2"/>
  <c r="AP651" i="2"/>
  <c r="AO651" i="2"/>
  <c r="AN651" i="2"/>
  <c r="AI651" i="2"/>
  <c r="AF651" i="2"/>
  <c r="AC651" i="2"/>
  <c r="AC651" i="2" a="1"/>
  <c r="AA651" i="2"/>
  <c r="AA651" i="2" a="1"/>
  <c r="Z651" i="2"/>
  <c r="Z651" i="2" a="1"/>
  <c r="Y651" i="2"/>
  <c r="Y651" i="2" a="1"/>
  <c r="X651" i="2"/>
  <c r="BC650" i="2"/>
  <c r="BB650" i="2"/>
  <c r="BA650" i="2"/>
  <c r="AZ650" i="2"/>
  <c r="AY650" i="2"/>
  <c r="AS650" i="2"/>
  <c r="AQ650" i="2"/>
  <c r="AP650" i="2"/>
  <c r="AO650" i="2"/>
  <c r="AN650" i="2"/>
  <c r="AI650" i="2"/>
  <c r="AF650" i="2"/>
  <c r="AC650" i="2"/>
  <c r="AC650" i="2" a="1"/>
  <c r="AA650" i="2"/>
  <c r="AA650" i="2" a="1"/>
  <c r="Z650" i="2"/>
  <c r="Z650" i="2" a="1"/>
  <c r="Y650" i="2"/>
  <c r="Y650" i="2" a="1"/>
  <c r="X650" i="2"/>
  <c r="BC649" i="2"/>
  <c r="BB649" i="2"/>
  <c r="BA649" i="2"/>
  <c r="AZ649" i="2"/>
  <c r="AY649" i="2"/>
  <c r="AS649" i="2"/>
  <c r="AQ649" i="2"/>
  <c r="AP649" i="2"/>
  <c r="AO649" i="2"/>
  <c r="AN649" i="2"/>
  <c r="AI649" i="2"/>
  <c r="AF649" i="2"/>
  <c r="AC649" i="2"/>
  <c r="AC649" i="2" a="1"/>
  <c r="AA649" i="2"/>
  <c r="AA649" i="2" a="1"/>
  <c r="Z649" i="2"/>
  <c r="Z649" i="2" a="1"/>
  <c r="Y649" i="2"/>
  <c r="Y649" i="2" a="1"/>
  <c r="X649" i="2"/>
  <c r="BC648" i="2"/>
  <c r="BB648" i="2"/>
  <c r="BA648" i="2"/>
  <c r="AZ648" i="2"/>
  <c r="AY648" i="2"/>
  <c r="AS648" i="2"/>
  <c r="AQ648" i="2"/>
  <c r="AP648" i="2"/>
  <c r="AO648" i="2"/>
  <c r="AN648" i="2"/>
  <c r="AI648" i="2"/>
  <c r="AF648" i="2"/>
  <c r="AC648" i="2"/>
  <c r="AC648" i="2" a="1"/>
  <c r="AA648" i="2"/>
  <c r="AA648" i="2" a="1"/>
  <c r="Z648" i="2"/>
  <c r="Z648" i="2" a="1"/>
  <c r="Y648" i="2"/>
  <c r="Y648" i="2" a="1"/>
  <c r="X648" i="2"/>
  <c r="BC647" i="2"/>
  <c r="BB647" i="2"/>
  <c r="BA647" i="2"/>
  <c r="AZ647" i="2"/>
  <c r="AY647" i="2"/>
  <c r="AS647" i="2"/>
  <c r="AQ647" i="2"/>
  <c r="AP647" i="2"/>
  <c r="AO647" i="2"/>
  <c r="AN647" i="2"/>
  <c r="AI647" i="2"/>
  <c r="AF647" i="2"/>
  <c r="AC647" i="2"/>
  <c r="AC647" i="2" a="1"/>
  <c r="AA647" i="2"/>
  <c r="AA647" i="2" a="1"/>
  <c r="Z647" i="2"/>
  <c r="Z647" i="2" a="1"/>
  <c r="Y647" i="2"/>
  <c r="Y647" i="2" a="1"/>
  <c r="X647" i="2"/>
  <c r="BC646" i="2"/>
  <c r="BB646" i="2"/>
  <c r="BA646" i="2"/>
  <c r="AZ646" i="2"/>
  <c r="AY646" i="2"/>
  <c r="AS646" i="2"/>
  <c r="AQ646" i="2"/>
  <c r="AP646" i="2"/>
  <c r="AO646" i="2"/>
  <c r="AN646" i="2"/>
  <c r="AI646" i="2"/>
  <c r="AF646" i="2"/>
  <c r="AC646" i="2"/>
  <c r="AC646" i="2" a="1"/>
  <c r="AA646" i="2"/>
  <c r="AA646" i="2" a="1"/>
  <c r="Z646" i="2"/>
  <c r="Z646" i="2" a="1"/>
  <c r="Y646" i="2"/>
  <c r="Y646" i="2" a="1"/>
  <c r="X646" i="2"/>
  <c r="BC645" i="2"/>
  <c r="BB645" i="2"/>
  <c r="BA645" i="2"/>
  <c r="AZ645" i="2"/>
  <c r="AY645" i="2"/>
  <c r="AS645" i="2"/>
  <c r="AQ645" i="2"/>
  <c r="AP645" i="2"/>
  <c r="AO645" i="2"/>
  <c r="AN645" i="2"/>
  <c r="AI645" i="2"/>
  <c r="AF645" i="2"/>
  <c r="AC645" i="2"/>
  <c r="AC645" i="2" a="1"/>
  <c r="AA645" i="2"/>
  <c r="AA645" i="2" a="1"/>
  <c r="Z645" i="2"/>
  <c r="Z645" i="2" a="1"/>
  <c r="Y645" i="2"/>
  <c r="Y645" i="2" a="1"/>
  <c r="X645" i="2"/>
  <c r="BC644" i="2"/>
  <c r="BB644" i="2"/>
  <c r="BA644" i="2"/>
  <c r="AZ644" i="2"/>
  <c r="AY644" i="2"/>
  <c r="AS644" i="2"/>
  <c r="AQ644" i="2"/>
  <c r="AP644" i="2"/>
  <c r="AO644" i="2"/>
  <c r="AN644" i="2"/>
  <c r="AI644" i="2"/>
  <c r="AF644" i="2"/>
  <c r="AC644" i="2"/>
  <c r="AC644" i="2" a="1"/>
  <c r="AA644" i="2"/>
  <c r="AA644" i="2" a="1"/>
  <c r="Z644" i="2"/>
  <c r="Z644" i="2" a="1"/>
  <c r="Y644" i="2"/>
  <c r="Y644" i="2" a="1"/>
  <c r="X644" i="2"/>
  <c r="BC643" i="2"/>
  <c r="BB643" i="2"/>
  <c r="BA643" i="2"/>
  <c r="AZ643" i="2"/>
  <c r="AY643" i="2"/>
  <c r="AS643" i="2"/>
  <c r="AQ643" i="2"/>
  <c r="AP643" i="2"/>
  <c r="AO643" i="2"/>
  <c r="AN643" i="2"/>
  <c r="AI643" i="2"/>
  <c r="AF643" i="2"/>
  <c r="AC643" i="2"/>
  <c r="AC643" i="2" a="1"/>
  <c r="AA643" i="2"/>
  <c r="AA643" i="2" a="1"/>
  <c r="Z643" i="2"/>
  <c r="Z643" i="2" a="1"/>
  <c r="Y643" i="2"/>
  <c r="Y643" i="2" a="1"/>
  <c r="X643" i="2"/>
  <c r="BC642" i="2"/>
  <c r="BB642" i="2"/>
  <c r="BA642" i="2"/>
  <c r="AZ642" i="2"/>
  <c r="AY642" i="2"/>
  <c r="AS642" i="2"/>
  <c r="AQ642" i="2"/>
  <c r="AP642" i="2"/>
  <c r="AO642" i="2"/>
  <c r="AN642" i="2"/>
  <c r="AI642" i="2"/>
  <c r="AF642" i="2"/>
  <c r="AC642" i="2"/>
  <c r="AC642" i="2" a="1"/>
  <c r="AA642" i="2"/>
  <c r="AA642" i="2" a="1"/>
  <c r="Z642" i="2"/>
  <c r="Z642" i="2" a="1"/>
  <c r="Y642" i="2"/>
  <c r="Y642" i="2" a="1"/>
  <c r="X642" i="2"/>
  <c r="BC641" i="2"/>
  <c r="BB641" i="2"/>
  <c r="BA641" i="2"/>
  <c r="AZ641" i="2"/>
  <c r="AY641" i="2"/>
  <c r="AS641" i="2"/>
  <c r="AQ641" i="2"/>
  <c r="AP641" i="2"/>
  <c r="AO641" i="2"/>
  <c r="AN641" i="2"/>
  <c r="AI641" i="2"/>
  <c r="AF641" i="2"/>
  <c r="AC641" i="2"/>
  <c r="AC641" i="2" a="1"/>
  <c r="AA641" i="2"/>
  <c r="AA641" i="2" a="1"/>
  <c r="Z641" i="2"/>
  <c r="Z641" i="2" a="1"/>
  <c r="Y641" i="2"/>
  <c r="Y641" i="2" a="1"/>
  <c r="X641" i="2"/>
  <c r="BC640" i="2"/>
  <c r="BB640" i="2"/>
  <c r="BA640" i="2"/>
  <c r="AZ640" i="2"/>
  <c r="AY640" i="2"/>
  <c r="AS640" i="2"/>
  <c r="AQ640" i="2"/>
  <c r="AP640" i="2"/>
  <c r="AO640" i="2"/>
  <c r="AN640" i="2"/>
  <c r="AI640" i="2"/>
  <c r="AF640" i="2"/>
  <c r="AC640" i="2"/>
  <c r="AC640" i="2" a="1"/>
  <c r="AA640" i="2"/>
  <c r="AA640" i="2" a="1"/>
  <c r="Z640" i="2"/>
  <c r="Z640" i="2" a="1"/>
  <c r="Y640" i="2"/>
  <c r="Y640" i="2" a="1"/>
  <c r="X640" i="2"/>
  <c r="BC639" i="2"/>
  <c r="BB639" i="2"/>
  <c r="BA639" i="2"/>
  <c r="AZ639" i="2"/>
  <c r="AY639" i="2"/>
  <c r="AS639" i="2"/>
  <c r="AQ639" i="2"/>
  <c r="AP639" i="2"/>
  <c r="AO639" i="2"/>
  <c r="AN639" i="2"/>
  <c r="AI639" i="2"/>
  <c r="AF639" i="2"/>
  <c r="AC639" i="2"/>
  <c r="AC639" i="2" a="1"/>
  <c r="AA639" i="2"/>
  <c r="AA639" i="2" a="1"/>
  <c r="Z639" i="2"/>
  <c r="Z639" i="2" a="1"/>
  <c r="Y639" i="2"/>
  <c r="Y639" i="2" a="1"/>
  <c r="X639" i="2"/>
  <c r="BC638" i="2"/>
  <c r="BB638" i="2"/>
  <c r="BA638" i="2"/>
  <c r="AZ638" i="2"/>
  <c r="AY638" i="2"/>
  <c r="AS638" i="2"/>
  <c r="AQ638" i="2"/>
  <c r="AP638" i="2"/>
  <c r="AO638" i="2"/>
  <c r="AN638" i="2"/>
  <c r="AI638" i="2"/>
  <c r="AF638" i="2"/>
  <c r="AC638" i="2"/>
  <c r="AC638" i="2" a="1"/>
  <c r="AA638" i="2"/>
  <c r="AA638" i="2" a="1"/>
  <c r="Z638" i="2"/>
  <c r="Z638" i="2" a="1"/>
  <c r="Y638" i="2"/>
  <c r="Y638" i="2" a="1"/>
  <c r="X638" i="2"/>
  <c r="BC637" i="2"/>
  <c r="BB637" i="2"/>
  <c r="BA637" i="2"/>
  <c r="AZ637" i="2"/>
  <c r="AY637" i="2"/>
  <c r="AS637" i="2"/>
  <c r="AQ637" i="2"/>
  <c r="AP637" i="2"/>
  <c r="AO637" i="2"/>
  <c r="AN637" i="2"/>
  <c r="AI637" i="2"/>
  <c r="AF637" i="2"/>
  <c r="AC637" i="2"/>
  <c r="AC637" i="2" a="1"/>
  <c r="AA637" i="2"/>
  <c r="AA637" i="2" a="1"/>
  <c r="Z637" i="2"/>
  <c r="Z637" i="2" a="1"/>
  <c r="Y637" i="2"/>
  <c r="Y637" i="2" a="1"/>
  <c r="X637" i="2"/>
  <c r="BC636" i="2"/>
  <c r="BB636" i="2"/>
  <c r="BA636" i="2"/>
  <c r="AZ636" i="2"/>
  <c r="AY636" i="2"/>
  <c r="AS636" i="2"/>
  <c r="AQ636" i="2"/>
  <c r="AP636" i="2"/>
  <c r="AO636" i="2"/>
  <c r="AN636" i="2"/>
  <c r="AI636" i="2"/>
  <c r="AF636" i="2"/>
  <c r="AC636" i="2"/>
  <c r="AC636" i="2" a="1"/>
  <c r="AA636" i="2"/>
  <c r="AA636" i="2" a="1"/>
  <c r="Z636" i="2"/>
  <c r="Z636" i="2" a="1"/>
  <c r="Y636" i="2"/>
  <c r="Y636" i="2" a="1"/>
  <c r="X636" i="2"/>
  <c r="BC635" i="2"/>
  <c r="BB635" i="2"/>
  <c r="BA635" i="2"/>
  <c r="AZ635" i="2"/>
  <c r="AY635" i="2"/>
  <c r="AS635" i="2"/>
  <c r="AQ635" i="2"/>
  <c r="AP635" i="2"/>
  <c r="AO635" i="2"/>
  <c r="AN635" i="2"/>
  <c r="AI635" i="2"/>
  <c r="AF635" i="2"/>
  <c r="AC635" i="2"/>
  <c r="AC635" i="2" a="1"/>
  <c r="AA635" i="2"/>
  <c r="AA635" i="2" a="1"/>
  <c r="Z635" i="2"/>
  <c r="Z635" i="2" a="1"/>
  <c r="Y635" i="2"/>
  <c r="Y635" i="2" a="1"/>
  <c r="X635" i="2"/>
  <c r="BC634" i="2"/>
  <c r="BB634" i="2"/>
  <c r="BA634" i="2"/>
  <c r="AZ634" i="2"/>
  <c r="AY634" i="2"/>
  <c r="AS634" i="2"/>
  <c r="AQ634" i="2"/>
  <c r="AP634" i="2"/>
  <c r="AO634" i="2"/>
  <c r="AN634" i="2"/>
  <c r="AI634" i="2"/>
  <c r="AF634" i="2"/>
  <c r="AC634" i="2"/>
  <c r="AC634" i="2" a="1"/>
  <c r="AA634" i="2"/>
  <c r="AA634" i="2" a="1"/>
  <c r="Z634" i="2"/>
  <c r="Z634" i="2" a="1"/>
  <c r="Y634" i="2"/>
  <c r="Y634" i="2" a="1"/>
  <c r="X634" i="2"/>
  <c r="BC633" i="2"/>
  <c r="BB633" i="2"/>
  <c r="BA633" i="2"/>
  <c r="AZ633" i="2"/>
  <c r="AY633" i="2"/>
  <c r="AS633" i="2"/>
  <c r="AQ633" i="2"/>
  <c r="AP633" i="2"/>
  <c r="AO633" i="2"/>
  <c r="AN633" i="2"/>
  <c r="AI633" i="2"/>
  <c r="AF633" i="2"/>
  <c r="AC633" i="2"/>
  <c r="AC633" i="2" a="1"/>
  <c r="AA633" i="2"/>
  <c r="AA633" i="2" a="1"/>
  <c r="Z633" i="2"/>
  <c r="Z633" i="2" a="1"/>
  <c r="Y633" i="2"/>
  <c r="Y633" i="2" a="1"/>
  <c r="X633" i="2"/>
  <c r="BC632" i="2"/>
  <c r="BB632" i="2"/>
  <c r="BA632" i="2"/>
  <c r="AZ632" i="2"/>
  <c r="AY632" i="2"/>
  <c r="AS632" i="2"/>
  <c r="AQ632" i="2"/>
  <c r="AP632" i="2"/>
  <c r="AO632" i="2"/>
  <c r="AN632" i="2"/>
  <c r="AI632" i="2"/>
  <c r="AF632" i="2"/>
  <c r="AC632" i="2"/>
  <c r="AC632" i="2" a="1"/>
  <c r="AA632" i="2"/>
  <c r="AA632" i="2" a="1"/>
  <c r="Z632" i="2"/>
  <c r="Z632" i="2" a="1"/>
  <c r="Y632" i="2"/>
  <c r="Y632" i="2" a="1"/>
  <c r="X632" i="2"/>
  <c r="BC631" i="2"/>
  <c r="BB631" i="2"/>
  <c r="BA631" i="2"/>
  <c r="AZ631" i="2"/>
  <c r="AY631" i="2"/>
  <c r="AS631" i="2"/>
  <c r="AQ631" i="2"/>
  <c r="AP631" i="2"/>
  <c r="AO631" i="2"/>
  <c r="AN631" i="2"/>
  <c r="AI631" i="2"/>
  <c r="AF631" i="2"/>
  <c r="AC631" i="2"/>
  <c r="AC631" i="2" a="1"/>
  <c r="AA631" i="2"/>
  <c r="AA631" i="2" a="1"/>
  <c r="Z631" i="2"/>
  <c r="Z631" i="2" a="1"/>
  <c r="Y631" i="2"/>
  <c r="Y631" i="2" a="1"/>
  <c r="X631" i="2"/>
  <c r="BC630" i="2"/>
  <c r="BB630" i="2"/>
  <c r="BA630" i="2"/>
  <c r="AZ630" i="2"/>
  <c r="AY630" i="2"/>
  <c r="AS630" i="2"/>
  <c r="AQ630" i="2"/>
  <c r="AP630" i="2"/>
  <c r="AO630" i="2"/>
  <c r="AN630" i="2"/>
  <c r="AI630" i="2"/>
  <c r="AF630" i="2"/>
  <c r="AC630" i="2"/>
  <c r="AC630" i="2" a="1"/>
  <c r="AA630" i="2"/>
  <c r="AA630" i="2" a="1"/>
  <c r="Z630" i="2"/>
  <c r="Z630" i="2" a="1"/>
  <c r="Y630" i="2"/>
  <c r="Y630" i="2" a="1"/>
  <c r="X630" i="2"/>
  <c r="BC629" i="2"/>
  <c r="BB629" i="2"/>
  <c r="BA629" i="2"/>
  <c r="AZ629" i="2"/>
  <c r="AY629" i="2"/>
  <c r="AS629" i="2"/>
  <c r="AQ629" i="2"/>
  <c r="AP629" i="2"/>
  <c r="AO629" i="2"/>
  <c r="AN629" i="2"/>
  <c r="AI629" i="2"/>
  <c r="AF629" i="2"/>
  <c r="AC629" i="2"/>
  <c r="AC629" i="2" a="1"/>
  <c r="AA629" i="2"/>
  <c r="AA629" i="2" a="1"/>
  <c r="Z629" i="2"/>
  <c r="Z629" i="2" a="1"/>
  <c r="Y629" i="2"/>
  <c r="Y629" i="2" a="1"/>
  <c r="X629" i="2"/>
  <c r="BC628" i="2"/>
  <c r="BB628" i="2"/>
  <c r="BA628" i="2"/>
  <c r="AZ628" i="2"/>
  <c r="AY628" i="2"/>
  <c r="AS628" i="2"/>
  <c r="AQ628" i="2"/>
  <c r="AP628" i="2"/>
  <c r="AO628" i="2"/>
  <c r="AN628" i="2"/>
  <c r="AI628" i="2"/>
  <c r="AF628" i="2"/>
  <c r="AC628" i="2"/>
  <c r="AC628" i="2" a="1"/>
  <c r="AA628" i="2"/>
  <c r="AA628" i="2" a="1"/>
  <c r="Z628" i="2"/>
  <c r="Z628" i="2" a="1"/>
  <c r="Y628" i="2"/>
  <c r="Y628" i="2" a="1"/>
  <c r="X628" i="2"/>
  <c r="BC627" i="2"/>
  <c r="BB627" i="2"/>
  <c r="BA627" i="2"/>
  <c r="AZ627" i="2"/>
  <c r="AY627" i="2"/>
  <c r="AS627" i="2"/>
  <c r="AQ627" i="2"/>
  <c r="AP627" i="2"/>
  <c r="AO627" i="2"/>
  <c r="AN627" i="2"/>
  <c r="AI627" i="2"/>
  <c r="AF627" i="2"/>
  <c r="AC627" i="2"/>
  <c r="AC627" i="2" a="1"/>
  <c r="AA627" i="2"/>
  <c r="AA627" i="2" a="1"/>
  <c r="Z627" i="2"/>
  <c r="Z627" i="2" a="1"/>
  <c r="Y627" i="2"/>
  <c r="Y627" i="2" a="1"/>
  <c r="X627" i="2"/>
  <c r="BC626" i="2"/>
  <c r="BB626" i="2"/>
  <c r="BA626" i="2"/>
  <c r="AZ626" i="2"/>
  <c r="AY626" i="2"/>
  <c r="AS626" i="2"/>
  <c r="AQ626" i="2"/>
  <c r="AP626" i="2"/>
  <c r="AO626" i="2"/>
  <c r="AN626" i="2"/>
  <c r="AI626" i="2"/>
  <c r="AF626" i="2"/>
  <c r="AC626" i="2"/>
  <c r="AC626" i="2" a="1"/>
  <c r="AA626" i="2"/>
  <c r="AA626" i="2" a="1"/>
  <c r="Z626" i="2"/>
  <c r="Z626" i="2" a="1"/>
  <c r="Y626" i="2"/>
  <c r="Y626" i="2" a="1"/>
  <c r="X626" i="2"/>
  <c r="BC625" i="2"/>
  <c r="BB625" i="2"/>
  <c r="BA625" i="2"/>
  <c r="AZ625" i="2"/>
  <c r="AY625" i="2"/>
  <c r="AS625" i="2"/>
  <c r="AQ625" i="2"/>
  <c r="AP625" i="2"/>
  <c r="AO625" i="2"/>
  <c r="AN625" i="2"/>
  <c r="AI625" i="2"/>
  <c r="AF625" i="2"/>
  <c r="AC625" i="2"/>
  <c r="AC625" i="2" a="1"/>
  <c r="AA625" i="2"/>
  <c r="AA625" i="2" a="1"/>
  <c r="Z625" i="2"/>
  <c r="Z625" i="2" a="1"/>
  <c r="Y625" i="2"/>
  <c r="Y625" i="2" a="1"/>
  <c r="X625" i="2"/>
  <c r="BC624" i="2"/>
  <c r="BB624" i="2"/>
  <c r="BA624" i="2"/>
  <c r="AZ624" i="2"/>
  <c r="AY624" i="2"/>
  <c r="AS624" i="2"/>
  <c r="AQ624" i="2"/>
  <c r="AP624" i="2"/>
  <c r="AO624" i="2"/>
  <c r="AN624" i="2"/>
  <c r="AI624" i="2"/>
  <c r="AF624" i="2"/>
  <c r="AC624" i="2"/>
  <c r="AC624" i="2" a="1"/>
  <c r="AA624" i="2"/>
  <c r="AA624" i="2" a="1"/>
  <c r="Z624" i="2"/>
  <c r="Z624" i="2" a="1"/>
  <c r="Y624" i="2"/>
  <c r="Y624" i="2" a="1"/>
  <c r="X624" i="2"/>
  <c r="BC623" i="2"/>
  <c r="BB623" i="2"/>
  <c r="BA623" i="2"/>
  <c r="AZ623" i="2"/>
  <c r="AY623" i="2"/>
  <c r="AS623" i="2"/>
  <c r="AQ623" i="2"/>
  <c r="AP623" i="2"/>
  <c r="AO623" i="2"/>
  <c r="AN623" i="2"/>
  <c r="AI623" i="2"/>
  <c r="AF623" i="2"/>
  <c r="AC623" i="2"/>
  <c r="AC623" i="2" a="1"/>
  <c r="AA623" i="2"/>
  <c r="AA623" i="2" a="1"/>
  <c r="Z623" i="2"/>
  <c r="Z623" i="2" a="1"/>
  <c r="Y623" i="2"/>
  <c r="Y623" i="2" a="1"/>
  <c r="X623" i="2"/>
  <c r="BC622" i="2"/>
  <c r="BB622" i="2"/>
  <c r="BA622" i="2"/>
  <c r="AZ622" i="2"/>
  <c r="AY622" i="2"/>
  <c r="AS622" i="2"/>
  <c r="AQ622" i="2"/>
  <c r="AP622" i="2"/>
  <c r="AO622" i="2"/>
  <c r="AN622" i="2"/>
  <c r="AI622" i="2"/>
  <c r="AF622" i="2"/>
  <c r="AC622" i="2"/>
  <c r="AC622" i="2" a="1"/>
  <c r="AA622" i="2"/>
  <c r="AA622" i="2" a="1"/>
  <c r="Z622" i="2"/>
  <c r="Z622" i="2" a="1"/>
  <c r="Y622" i="2"/>
  <c r="Y622" i="2" a="1"/>
  <c r="X622" i="2"/>
  <c r="BC621" i="2"/>
  <c r="BB621" i="2"/>
  <c r="BA621" i="2"/>
  <c r="AZ621" i="2"/>
  <c r="AY621" i="2"/>
  <c r="AS621" i="2"/>
  <c r="AQ621" i="2"/>
  <c r="AP621" i="2"/>
  <c r="AO621" i="2"/>
  <c r="AN621" i="2"/>
  <c r="AI621" i="2"/>
  <c r="AF621" i="2"/>
  <c r="AC621" i="2"/>
  <c r="AC621" i="2" a="1"/>
  <c r="AA621" i="2"/>
  <c r="AA621" i="2" a="1"/>
  <c r="Z621" i="2"/>
  <c r="Z621" i="2" a="1"/>
  <c r="Y621" i="2"/>
  <c r="Y621" i="2" a="1"/>
  <c r="X621" i="2"/>
  <c r="BC620" i="2"/>
  <c r="BB620" i="2"/>
  <c r="BA620" i="2"/>
  <c r="AZ620" i="2"/>
  <c r="AY620" i="2"/>
  <c r="AS620" i="2"/>
  <c r="AQ620" i="2"/>
  <c r="AP620" i="2"/>
  <c r="AO620" i="2"/>
  <c r="AN620" i="2"/>
  <c r="AI620" i="2"/>
  <c r="AF620" i="2"/>
  <c r="AC620" i="2"/>
  <c r="AC620" i="2" a="1"/>
  <c r="AA620" i="2"/>
  <c r="AA620" i="2" a="1"/>
  <c r="Z620" i="2"/>
  <c r="Z620" i="2" a="1"/>
  <c r="Y620" i="2"/>
  <c r="Y620" i="2" a="1"/>
  <c r="X620" i="2"/>
  <c r="BC619" i="2"/>
  <c r="BB619" i="2"/>
  <c r="BA619" i="2"/>
  <c r="AZ619" i="2"/>
  <c r="AY619" i="2"/>
  <c r="AS619" i="2"/>
  <c r="AQ619" i="2"/>
  <c r="AP619" i="2"/>
  <c r="AO619" i="2"/>
  <c r="AN619" i="2"/>
  <c r="AI619" i="2"/>
  <c r="AF619" i="2"/>
  <c r="AC619" i="2"/>
  <c r="AC619" i="2" a="1"/>
  <c r="AA619" i="2"/>
  <c r="AA619" i="2" a="1"/>
  <c r="Z619" i="2"/>
  <c r="Z619" i="2" a="1"/>
  <c r="Y619" i="2"/>
  <c r="Y619" i="2" a="1"/>
  <c r="X619" i="2"/>
  <c r="BC618" i="2"/>
  <c r="BB618" i="2"/>
  <c r="BA618" i="2"/>
  <c r="AZ618" i="2"/>
  <c r="AY618" i="2"/>
  <c r="AS618" i="2"/>
  <c r="AQ618" i="2"/>
  <c r="AP618" i="2"/>
  <c r="AO618" i="2"/>
  <c r="AN618" i="2"/>
  <c r="AI618" i="2"/>
  <c r="AF618" i="2"/>
  <c r="AC618" i="2"/>
  <c r="AC618" i="2" a="1"/>
  <c r="AA618" i="2"/>
  <c r="AA618" i="2" a="1"/>
  <c r="Z618" i="2"/>
  <c r="Z618" i="2" a="1"/>
  <c r="Y618" i="2"/>
  <c r="Y618" i="2" a="1"/>
  <c r="X618" i="2"/>
  <c r="BC617" i="2"/>
  <c r="BB617" i="2"/>
  <c r="BA617" i="2"/>
  <c r="AZ617" i="2"/>
  <c r="AY617" i="2"/>
  <c r="AS617" i="2"/>
  <c r="AQ617" i="2"/>
  <c r="AP617" i="2"/>
  <c r="AO617" i="2"/>
  <c r="AN617" i="2"/>
  <c r="AI617" i="2"/>
  <c r="AF617" i="2"/>
  <c r="AC617" i="2"/>
  <c r="AC617" i="2" a="1"/>
  <c r="AA617" i="2"/>
  <c r="AA617" i="2" a="1"/>
  <c r="Z617" i="2"/>
  <c r="Z617" i="2" a="1"/>
  <c r="Y617" i="2"/>
  <c r="Y617" i="2" a="1"/>
  <c r="X617" i="2"/>
  <c r="BC616" i="2"/>
  <c r="BB616" i="2"/>
  <c r="BA616" i="2"/>
  <c r="AZ616" i="2"/>
  <c r="AY616" i="2"/>
  <c r="AS616" i="2"/>
  <c r="AQ616" i="2"/>
  <c r="AP616" i="2"/>
  <c r="AO616" i="2"/>
  <c r="AN616" i="2"/>
  <c r="AI616" i="2"/>
  <c r="AF616" i="2"/>
  <c r="AC616" i="2"/>
  <c r="AC616" i="2" a="1"/>
  <c r="AA616" i="2"/>
  <c r="AA616" i="2" a="1"/>
  <c r="Z616" i="2"/>
  <c r="Z616" i="2" a="1"/>
  <c r="Y616" i="2"/>
  <c r="Y616" i="2" a="1"/>
  <c r="X616" i="2"/>
  <c r="BC615" i="2"/>
  <c r="BB615" i="2"/>
  <c r="BA615" i="2"/>
  <c r="AZ615" i="2"/>
  <c r="AY615" i="2"/>
  <c r="AS615" i="2"/>
  <c r="AQ615" i="2"/>
  <c r="AP615" i="2"/>
  <c r="AO615" i="2"/>
  <c r="AN615" i="2"/>
  <c r="AI615" i="2"/>
  <c r="AF615" i="2"/>
  <c r="AC615" i="2"/>
  <c r="AC615" i="2" a="1"/>
  <c r="AA615" i="2"/>
  <c r="AA615" i="2" a="1"/>
  <c r="Z615" i="2"/>
  <c r="Z615" i="2" a="1"/>
  <c r="Y615" i="2"/>
  <c r="Y615" i="2" a="1"/>
  <c r="X615" i="2"/>
  <c r="BC614" i="2"/>
  <c r="BB614" i="2"/>
  <c r="BA614" i="2"/>
  <c r="AZ614" i="2"/>
  <c r="AY614" i="2"/>
  <c r="AS614" i="2"/>
  <c r="AQ614" i="2"/>
  <c r="AP614" i="2"/>
  <c r="AO614" i="2"/>
  <c r="AN614" i="2"/>
  <c r="AI614" i="2"/>
  <c r="AF614" i="2"/>
  <c r="AC614" i="2"/>
  <c r="AC614" i="2" a="1"/>
  <c r="AA614" i="2"/>
  <c r="AA614" i="2" a="1"/>
  <c r="Z614" i="2"/>
  <c r="Z614" i="2" a="1"/>
  <c r="Y614" i="2"/>
  <c r="Y614" i="2" a="1"/>
  <c r="X614" i="2"/>
  <c r="BC613" i="2"/>
  <c r="BB613" i="2"/>
  <c r="BA613" i="2"/>
  <c r="AZ613" i="2"/>
  <c r="AY613" i="2"/>
  <c r="AS613" i="2"/>
  <c r="AQ613" i="2"/>
  <c r="AP613" i="2"/>
  <c r="AO613" i="2"/>
  <c r="AN613" i="2"/>
  <c r="AI613" i="2"/>
  <c r="AF613" i="2"/>
  <c r="AC613" i="2"/>
  <c r="AC613" i="2" a="1"/>
  <c r="AA613" i="2"/>
  <c r="AA613" i="2" a="1"/>
  <c r="Z613" i="2"/>
  <c r="Z613" i="2" a="1"/>
  <c r="Y613" i="2"/>
  <c r="Y613" i="2" a="1"/>
  <c r="X613" i="2"/>
  <c r="BC612" i="2"/>
  <c r="BB612" i="2"/>
  <c r="BA612" i="2"/>
  <c r="AZ612" i="2"/>
  <c r="AY612" i="2"/>
  <c r="AS612" i="2"/>
  <c r="AQ612" i="2"/>
  <c r="AP612" i="2"/>
  <c r="AO612" i="2"/>
  <c r="AN612" i="2"/>
  <c r="AI612" i="2"/>
  <c r="AF612" i="2"/>
  <c r="AC612" i="2"/>
  <c r="AC612" i="2" a="1"/>
  <c r="AA612" i="2"/>
  <c r="AA612" i="2" a="1"/>
  <c r="Z612" i="2"/>
  <c r="Z612" i="2" a="1"/>
  <c r="Y612" i="2"/>
  <c r="Y612" i="2" a="1"/>
  <c r="X612" i="2"/>
  <c r="BC611" i="2"/>
  <c r="BB611" i="2"/>
  <c r="BA611" i="2"/>
  <c r="AZ611" i="2"/>
  <c r="AY611" i="2"/>
  <c r="AS611" i="2"/>
  <c r="AQ611" i="2"/>
  <c r="AP611" i="2"/>
  <c r="AO611" i="2"/>
  <c r="AN611" i="2"/>
  <c r="AI611" i="2"/>
  <c r="AF611" i="2"/>
  <c r="AC611" i="2"/>
  <c r="AC611" i="2" a="1"/>
  <c r="AA611" i="2"/>
  <c r="AA611" i="2" a="1"/>
  <c r="Z611" i="2"/>
  <c r="Z611" i="2" a="1"/>
  <c r="Y611" i="2"/>
  <c r="Y611" i="2" a="1"/>
  <c r="X611" i="2"/>
  <c r="BC610" i="2"/>
  <c r="BB610" i="2"/>
  <c r="BA610" i="2"/>
  <c r="AZ610" i="2"/>
  <c r="AY610" i="2"/>
  <c r="AS610" i="2"/>
  <c r="AQ610" i="2"/>
  <c r="AP610" i="2"/>
  <c r="AO610" i="2"/>
  <c r="AN610" i="2"/>
  <c r="AI610" i="2"/>
  <c r="AF610" i="2"/>
  <c r="AC610" i="2"/>
  <c r="AC610" i="2" a="1"/>
  <c r="AA610" i="2"/>
  <c r="AA610" i="2" a="1"/>
  <c r="Z610" i="2"/>
  <c r="Z610" i="2" a="1"/>
  <c r="Y610" i="2"/>
  <c r="Y610" i="2" a="1"/>
  <c r="X610" i="2"/>
  <c r="BC609" i="2"/>
  <c r="BB609" i="2"/>
  <c r="BA609" i="2"/>
  <c r="AZ609" i="2"/>
  <c r="AY609" i="2"/>
  <c r="AS609" i="2"/>
  <c r="AQ609" i="2"/>
  <c r="AP609" i="2"/>
  <c r="AO609" i="2"/>
  <c r="AN609" i="2"/>
  <c r="AI609" i="2"/>
  <c r="AF609" i="2"/>
  <c r="AC609" i="2"/>
  <c r="AC609" i="2" a="1"/>
  <c r="AA609" i="2"/>
  <c r="AA609" i="2" a="1"/>
  <c r="Z609" i="2"/>
  <c r="Z609" i="2" a="1"/>
  <c r="Y609" i="2"/>
  <c r="Y609" i="2" a="1"/>
  <c r="X609" i="2"/>
  <c r="BC608" i="2"/>
  <c r="BB608" i="2"/>
  <c r="BA608" i="2"/>
  <c r="AZ608" i="2"/>
  <c r="AY608" i="2"/>
  <c r="AS608" i="2"/>
  <c r="AQ608" i="2"/>
  <c r="AP608" i="2"/>
  <c r="AO608" i="2"/>
  <c r="AN608" i="2"/>
  <c r="AI608" i="2"/>
  <c r="AF608" i="2"/>
  <c r="AC608" i="2"/>
  <c r="AC608" i="2" a="1"/>
  <c r="AA608" i="2"/>
  <c r="AA608" i="2" a="1"/>
  <c r="Z608" i="2"/>
  <c r="Z608" i="2" a="1"/>
  <c r="Y608" i="2"/>
  <c r="Y608" i="2" a="1"/>
  <c r="X608" i="2"/>
  <c r="BC607" i="2"/>
  <c r="BB607" i="2"/>
  <c r="BA607" i="2"/>
  <c r="AZ607" i="2"/>
  <c r="AY607" i="2"/>
  <c r="AS607" i="2"/>
  <c r="AQ607" i="2"/>
  <c r="AP607" i="2"/>
  <c r="AO607" i="2"/>
  <c r="AN607" i="2"/>
  <c r="AI607" i="2"/>
  <c r="AF607" i="2"/>
  <c r="AC607" i="2"/>
  <c r="AC607" i="2" a="1"/>
  <c r="AA607" i="2"/>
  <c r="AA607" i="2" a="1"/>
  <c r="Z607" i="2"/>
  <c r="Z607" i="2" a="1"/>
  <c r="Y607" i="2"/>
  <c r="Y607" i="2" a="1"/>
  <c r="X607" i="2"/>
  <c r="BC606" i="2"/>
  <c r="BB606" i="2"/>
  <c r="BA606" i="2"/>
  <c r="AZ606" i="2"/>
  <c r="AY606" i="2"/>
  <c r="AS606" i="2"/>
  <c r="AQ606" i="2"/>
  <c r="AP606" i="2"/>
  <c r="AO606" i="2"/>
  <c r="AN606" i="2"/>
  <c r="AI606" i="2"/>
  <c r="AF606" i="2"/>
  <c r="AC606" i="2"/>
  <c r="AC606" i="2" a="1"/>
  <c r="AA606" i="2"/>
  <c r="AA606" i="2" a="1"/>
  <c r="Z606" i="2"/>
  <c r="Z606" i="2" a="1"/>
  <c r="Y606" i="2"/>
  <c r="Y606" i="2" a="1"/>
  <c r="X606" i="2"/>
  <c r="BC605" i="2"/>
  <c r="BB605" i="2"/>
  <c r="BA605" i="2"/>
  <c r="AZ605" i="2"/>
  <c r="AY605" i="2"/>
  <c r="AS605" i="2"/>
  <c r="AR605" i="2"/>
  <c r="AQ605" i="2"/>
  <c r="AP605" i="2"/>
  <c r="AO605" i="2"/>
  <c r="AN605" i="2"/>
  <c r="AI605" i="2"/>
  <c r="AF605" i="2"/>
  <c r="AC605" i="2"/>
  <c r="AC605" i="2" a="1"/>
  <c r="AA605" i="2"/>
  <c r="AA605" i="2" a="1"/>
  <c r="Z605" i="2"/>
  <c r="Z605" i="2" a="1"/>
  <c r="Y605" i="2"/>
  <c r="Y605" i="2" a="1"/>
  <c r="X605" i="2"/>
  <c r="BC604" i="2"/>
  <c r="BB604" i="2"/>
  <c r="BA604" i="2"/>
  <c r="AZ604" i="2"/>
  <c r="AY604" i="2"/>
  <c r="AS604" i="2"/>
  <c r="AR604" i="2"/>
  <c r="AQ604" i="2"/>
  <c r="AP604" i="2"/>
  <c r="AO604" i="2"/>
  <c r="AN604" i="2"/>
  <c r="AI604" i="2"/>
  <c r="AF604" i="2"/>
  <c r="AC604" i="2"/>
  <c r="AC604" i="2" a="1"/>
  <c r="AA604" i="2"/>
  <c r="AA604" i="2" a="1"/>
  <c r="Z604" i="2"/>
  <c r="Z604" i="2" a="1"/>
  <c r="Y604" i="2"/>
  <c r="Y604" i="2" a="1"/>
  <c r="X604" i="2"/>
  <c r="BC603" i="2"/>
  <c r="BB603" i="2"/>
  <c r="BA603" i="2"/>
  <c r="AZ603" i="2"/>
  <c r="AY603" i="2"/>
  <c r="AS603" i="2"/>
  <c r="AR603" i="2"/>
  <c r="AQ603" i="2"/>
  <c r="AP603" i="2"/>
  <c r="AO603" i="2"/>
  <c r="AN603" i="2"/>
  <c r="AI603" i="2"/>
  <c r="AF603" i="2"/>
  <c r="AC603" i="2"/>
  <c r="AC603" i="2" a="1"/>
  <c r="AA603" i="2"/>
  <c r="AA603" i="2" a="1"/>
  <c r="Z603" i="2"/>
  <c r="Z603" i="2" a="1"/>
  <c r="Y603" i="2"/>
  <c r="Y603" i="2" a="1"/>
  <c r="X603" i="2"/>
  <c r="BC602" i="2"/>
  <c r="BB602" i="2"/>
  <c r="BA602" i="2"/>
  <c r="AZ602" i="2"/>
  <c r="AY602" i="2"/>
  <c r="AS602" i="2"/>
  <c r="AR602" i="2"/>
  <c r="AQ602" i="2"/>
  <c r="AP602" i="2"/>
  <c r="AO602" i="2"/>
  <c r="AN602" i="2"/>
  <c r="AI602" i="2"/>
  <c r="AF602" i="2"/>
  <c r="AC602" i="2"/>
  <c r="AC602" i="2" a="1"/>
  <c r="AA602" i="2"/>
  <c r="AA602" i="2" a="1"/>
  <c r="Z602" i="2"/>
  <c r="Z602" i="2" a="1"/>
  <c r="Y602" i="2"/>
  <c r="Y602" i="2" a="1"/>
  <c r="X602" i="2"/>
  <c r="BC601" i="2"/>
  <c r="BB601" i="2"/>
  <c r="BA601" i="2"/>
  <c r="AZ601" i="2"/>
  <c r="AY601" i="2"/>
  <c r="AS601" i="2"/>
  <c r="AR601" i="2"/>
  <c r="AQ601" i="2"/>
  <c r="AP601" i="2"/>
  <c r="AO601" i="2"/>
  <c r="AN601" i="2"/>
  <c r="AI601" i="2"/>
  <c r="AF601" i="2"/>
  <c r="AC601" i="2"/>
  <c r="AC601" i="2" a="1"/>
  <c r="AA601" i="2"/>
  <c r="AA601" i="2" a="1"/>
  <c r="Z601" i="2"/>
  <c r="Z601" i="2" a="1"/>
  <c r="Y601" i="2"/>
  <c r="Y601" i="2" a="1"/>
  <c r="X601" i="2"/>
  <c r="BC600" i="2"/>
  <c r="BB600" i="2"/>
  <c r="BA600" i="2"/>
  <c r="AZ600" i="2"/>
  <c r="AY600" i="2"/>
  <c r="AS600" i="2"/>
  <c r="AR600" i="2"/>
  <c r="AQ600" i="2"/>
  <c r="AP600" i="2"/>
  <c r="AO600" i="2"/>
  <c r="AN600" i="2"/>
  <c r="AI600" i="2"/>
  <c r="AF600" i="2"/>
  <c r="AC600" i="2"/>
  <c r="AC600" i="2" a="1"/>
  <c r="AA600" i="2"/>
  <c r="AA600" i="2" a="1"/>
  <c r="Z600" i="2"/>
  <c r="Z600" i="2" a="1"/>
  <c r="Y600" i="2"/>
  <c r="Y600" i="2" a="1"/>
  <c r="X600" i="2"/>
  <c r="BC599" i="2"/>
  <c r="BB599" i="2"/>
  <c r="BA599" i="2"/>
  <c r="AZ599" i="2"/>
  <c r="AY599" i="2"/>
  <c r="AS599" i="2"/>
  <c r="AR599" i="2"/>
  <c r="AQ599" i="2"/>
  <c r="AP599" i="2"/>
  <c r="AO599" i="2"/>
  <c r="AN599" i="2"/>
  <c r="AI599" i="2"/>
  <c r="AF599" i="2"/>
  <c r="AC599" i="2"/>
  <c r="AC599" i="2" a="1"/>
  <c r="AA599" i="2"/>
  <c r="AA599" i="2" a="1"/>
  <c r="Z599" i="2"/>
  <c r="Z599" i="2" a="1"/>
  <c r="Y599" i="2"/>
  <c r="Y599" i="2" a="1"/>
  <c r="X599" i="2"/>
  <c r="BC598" i="2"/>
  <c r="BB598" i="2"/>
  <c r="BA598" i="2"/>
  <c r="AZ598" i="2"/>
  <c r="AY598" i="2"/>
  <c r="AS598" i="2"/>
  <c r="AR598" i="2"/>
  <c r="AQ598" i="2"/>
  <c r="AP598" i="2"/>
  <c r="AO598" i="2"/>
  <c r="AN598" i="2"/>
  <c r="AI598" i="2"/>
  <c r="AF598" i="2"/>
  <c r="AC598" i="2"/>
  <c r="AC598" i="2" a="1"/>
  <c r="AA598" i="2"/>
  <c r="AA598" i="2" a="1"/>
  <c r="Z598" i="2"/>
  <c r="Z598" i="2" a="1"/>
  <c r="Y598" i="2"/>
  <c r="Y598" i="2" a="1"/>
  <c r="X598" i="2"/>
  <c r="BC597" i="2"/>
  <c r="BB597" i="2"/>
  <c r="BA597" i="2"/>
  <c r="AZ597" i="2"/>
  <c r="AY597" i="2"/>
  <c r="AS597" i="2"/>
  <c r="AR597" i="2"/>
  <c r="AQ597" i="2"/>
  <c r="AP597" i="2"/>
  <c r="AO597" i="2"/>
  <c r="AN597" i="2"/>
  <c r="AI597" i="2"/>
  <c r="AF597" i="2"/>
  <c r="AC597" i="2"/>
  <c r="AC597" i="2" a="1"/>
  <c r="AA597" i="2"/>
  <c r="AA597" i="2" a="1"/>
  <c r="Z597" i="2"/>
  <c r="Z597" i="2" a="1"/>
  <c r="Y597" i="2"/>
  <c r="Y597" i="2" a="1"/>
  <c r="X597" i="2"/>
  <c r="BC596" i="2"/>
  <c r="BB596" i="2"/>
  <c r="BA596" i="2"/>
  <c r="AZ596" i="2"/>
  <c r="AY596" i="2"/>
  <c r="AS596" i="2"/>
  <c r="AR596" i="2"/>
  <c r="AQ596" i="2"/>
  <c r="AP596" i="2"/>
  <c r="AO596" i="2"/>
  <c r="AN596" i="2"/>
  <c r="AI596" i="2"/>
  <c r="AF596" i="2"/>
  <c r="AC596" i="2"/>
  <c r="AC596" i="2" a="1"/>
  <c r="AA596" i="2"/>
  <c r="AA596" i="2" a="1"/>
  <c r="Z596" i="2"/>
  <c r="Z596" i="2" a="1"/>
  <c r="Y596" i="2"/>
  <c r="Y596" i="2" a="1"/>
  <c r="X596" i="2"/>
  <c r="BC595" i="2"/>
  <c r="BB595" i="2"/>
  <c r="BA595" i="2"/>
  <c r="AZ595" i="2"/>
  <c r="AY595" i="2"/>
  <c r="AS595" i="2"/>
  <c r="AR595" i="2"/>
  <c r="AQ595" i="2"/>
  <c r="AP595" i="2"/>
  <c r="AO595" i="2"/>
  <c r="AN595" i="2"/>
  <c r="AI595" i="2"/>
  <c r="AF595" i="2"/>
  <c r="AC595" i="2"/>
  <c r="AC595" i="2" a="1"/>
  <c r="AA595" i="2"/>
  <c r="AA595" i="2" a="1"/>
  <c r="Z595" i="2"/>
  <c r="Z595" i="2" a="1"/>
  <c r="Y595" i="2"/>
  <c r="Y595" i="2" a="1"/>
  <c r="X595" i="2"/>
  <c r="BC594" i="2"/>
  <c r="BB594" i="2"/>
  <c r="BA594" i="2"/>
  <c r="AZ594" i="2"/>
  <c r="AY594" i="2"/>
  <c r="AS594" i="2"/>
  <c r="AR594" i="2"/>
  <c r="AQ594" i="2"/>
  <c r="AP594" i="2"/>
  <c r="AO594" i="2"/>
  <c r="AN594" i="2"/>
  <c r="AI594" i="2"/>
  <c r="AF594" i="2"/>
  <c r="AC594" i="2"/>
  <c r="AC594" i="2" a="1"/>
  <c r="AA594" i="2"/>
  <c r="AA594" i="2" a="1"/>
  <c r="Z594" i="2"/>
  <c r="Z594" i="2" a="1"/>
  <c r="Y594" i="2"/>
  <c r="Y594" i="2" a="1"/>
  <c r="X594" i="2"/>
  <c r="BC593" i="2"/>
  <c r="BB593" i="2"/>
  <c r="BA593" i="2"/>
  <c r="AZ593" i="2"/>
  <c r="AY593" i="2"/>
  <c r="AS593" i="2"/>
  <c r="AR593" i="2"/>
  <c r="AQ593" i="2"/>
  <c r="AP593" i="2"/>
  <c r="AO593" i="2"/>
  <c r="AN593" i="2"/>
  <c r="AI593" i="2"/>
  <c r="AF593" i="2"/>
  <c r="AC593" i="2"/>
  <c r="AC593" i="2" a="1"/>
  <c r="AA593" i="2"/>
  <c r="AA593" i="2" a="1"/>
  <c r="Z593" i="2"/>
  <c r="Z593" i="2" a="1"/>
  <c r="Y593" i="2"/>
  <c r="Y593" i="2" a="1"/>
  <c r="X593" i="2"/>
  <c r="BC592" i="2"/>
  <c r="BB592" i="2"/>
  <c r="BA592" i="2"/>
  <c r="AZ592" i="2"/>
  <c r="AY592" i="2"/>
  <c r="AS592" i="2"/>
  <c r="AR592" i="2"/>
  <c r="AQ592" i="2"/>
  <c r="AP592" i="2"/>
  <c r="AO592" i="2"/>
  <c r="AN592" i="2"/>
  <c r="AI592" i="2"/>
  <c r="AF592" i="2"/>
  <c r="AC592" i="2"/>
  <c r="AC592" i="2" a="1"/>
  <c r="AA592" i="2"/>
  <c r="AA592" i="2" a="1"/>
  <c r="Z592" i="2"/>
  <c r="Z592" i="2" a="1"/>
  <c r="Y592" i="2"/>
  <c r="Y592" i="2" a="1"/>
  <c r="X592" i="2"/>
  <c r="BC591" i="2"/>
  <c r="BB591" i="2"/>
  <c r="BA591" i="2"/>
  <c r="AZ591" i="2"/>
  <c r="AY591" i="2"/>
  <c r="AS591" i="2"/>
  <c r="AR591" i="2"/>
  <c r="AQ591" i="2"/>
  <c r="AP591" i="2"/>
  <c r="AO591" i="2"/>
  <c r="AN591" i="2"/>
  <c r="AI591" i="2"/>
  <c r="AF591" i="2"/>
  <c r="AC591" i="2"/>
  <c r="AC591" i="2" a="1"/>
  <c r="AA591" i="2"/>
  <c r="AA591" i="2" a="1"/>
  <c r="Z591" i="2"/>
  <c r="Z591" i="2" a="1"/>
  <c r="Y591" i="2"/>
  <c r="Y591" i="2" a="1"/>
  <c r="X591" i="2"/>
  <c r="BC590" i="2"/>
  <c r="BB590" i="2"/>
  <c r="BA590" i="2"/>
  <c r="AZ590" i="2"/>
  <c r="AY590" i="2"/>
  <c r="AS590" i="2"/>
  <c r="AR590" i="2"/>
  <c r="AQ590" i="2"/>
  <c r="AP590" i="2"/>
  <c r="AO590" i="2"/>
  <c r="AN590" i="2"/>
  <c r="AI590" i="2"/>
  <c r="AF590" i="2"/>
  <c r="AC590" i="2"/>
  <c r="AC590" i="2" a="1"/>
  <c r="AA590" i="2"/>
  <c r="AA590" i="2" a="1"/>
  <c r="Z590" i="2"/>
  <c r="Z590" i="2" a="1"/>
  <c r="Y590" i="2"/>
  <c r="Y590" i="2" a="1"/>
  <c r="X590" i="2"/>
  <c r="BC589" i="2"/>
  <c r="BB589" i="2"/>
  <c r="BA589" i="2"/>
  <c r="AZ589" i="2"/>
  <c r="AY589" i="2"/>
  <c r="AS589" i="2"/>
  <c r="AQ589" i="2"/>
  <c r="AP589" i="2"/>
  <c r="AO589" i="2"/>
  <c r="AN589" i="2"/>
  <c r="AI589" i="2"/>
  <c r="AF589" i="2"/>
  <c r="AC589" i="2"/>
  <c r="AC589" i="2" a="1"/>
  <c r="AA589" i="2"/>
  <c r="AA589" i="2" a="1"/>
  <c r="Z589" i="2"/>
  <c r="Z589" i="2" a="1"/>
  <c r="Y589" i="2"/>
  <c r="Y589" i="2" a="1"/>
  <c r="X589" i="2"/>
  <c r="BC588" i="2"/>
  <c r="BB588" i="2"/>
  <c r="BA588" i="2"/>
  <c r="AZ588" i="2"/>
  <c r="AY588" i="2"/>
  <c r="AS588" i="2"/>
  <c r="AQ588" i="2"/>
  <c r="AP588" i="2"/>
  <c r="AO588" i="2"/>
  <c r="AN588" i="2"/>
  <c r="AI588" i="2"/>
  <c r="AF588" i="2"/>
  <c r="AC588" i="2"/>
  <c r="AC588" i="2" a="1"/>
  <c r="AA588" i="2"/>
  <c r="AA588" i="2" a="1"/>
  <c r="Z588" i="2"/>
  <c r="Z588" i="2" a="1"/>
  <c r="Y588" i="2"/>
  <c r="Y588" i="2" a="1"/>
  <c r="X588" i="2"/>
  <c r="BC587" i="2"/>
  <c r="BB587" i="2"/>
  <c r="BA587" i="2"/>
  <c r="AZ587" i="2"/>
  <c r="AY587" i="2"/>
  <c r="AS587" i="2"/>
  <c r="AQ587" i="2"/>
  <c r="AP587" i="2"/>
  <c r="AO587" i="2"/>
  <c r="AN587" i="2"/>
  <c r="AI587" i="2"/>
  <c r="AF587" i="2"/>
  <c r="AC587" i="2"/>
  <c r="AC587" i="2" a="1"/>
  <c r="AA587" i="2"/>
  <c r="AA587" i="2" a="1"/>
  <c r="Z587" i="2"/>
  <c r="Z587" i="2" a="1"/>
  <c r="Y587" i="2"/>
  <c r="Y587" i="2" a="1"/>
  <c r="X587" i="2"/>
  <c r="BC586" i="2"/>
  <c r="BB586" i="2"/>
  <c r="BA586" i="2"/>
  <c r="AZ586" i="2"/>
  <c r="AY586" i="2"/>
  <c r="AS586" i="2"/>
  <c r="AQ586" i="2"/>
  <c r="AP586" i="2"/>
  <c r="AO586" i="2"/>
  <c r="AN586" i="2"/>
  <c r="AI586" i="2"/>
  <c r="AF586" i="2"/>
  <c r="AC586" i="2"/>
  <c r="AC586" i="2" a="1"/>
  <c r="AA586" i="2"/>
  <c r="AA586" i="2" a="1"/>
  <c r="Z586" i="2"/>
  <c r="Z586" i="2" a="1"/>
  <c r="Y586" i="2"/>
  <c r="Y586" i="2" a="1"/>
  <c r="X586" i="2"/>
  <c r="BC585" i="2"/>
  <c r="BB585" i="2"/>
  <c r="BA585" i="2"/>
  <c r="AZ585" i="2"/>
  <c r="AY585" i="2"/>
  <c r="AS585" i="2"/>
  <c r="AQ585" i="2"/>
  <c r="AP585" i="2"/>
  <c r="AO585" i="2"/>
  <c r="AN585" i="2"/>
  <c r="AI585" i="2"/>
  <c r="AF585" i="2"/>
  <c r="AC585" i="2"/>
  <c r="AC585" i="2" a="1"/>
  <c r="AA585" i="2"/>
  <c r="AA585" i="2" a="1"/>
  <c r="Z585" i="2"/>
  <c r="Z585" i="2" a="1"/>
  <c r="Y585" i="2"/>
  <c r="Y585" i="2" a="1"/>
  <c r="X585" i="2"/>
  <c r="BC584" i="2"/>
  <c r="BB584" i="2"/>
  <c r="BA584" i="2"/>
  <c r="AZ584" i="2"/>
  <c r="AY584" i="2"/>
  <c r="AS584" i="2"/>
  <c r="AQ584" i="2"/>
  <c r="AP584" i="2"/>
  <c r="AO584" i="2"/>
  <c r="AN584" i="2"/>
  <c r="AI584" i="2"/>
  <c r="AF584" i="2"/>
  <c r="AC584" i="2"/>
  <c r="AC584" i="2" a="1"/>
  <c r="AA584" i="2"/>
  <c r="AA584" i="2" a="1"/>
  <c r="Z584" i="2"/>
  <c r="Z584" i="2" a="1"/>
  <c r="Y584" i="2"/>
  <c r="Y584" i="2" a="1"/>
  <c r="X584" i="2"/>
  <c r="BC583" i="2"/>
  <c r="BB583" i="2"/>
  <c r="BA583" i="2"/>
  <c r="AZ583" i="2"/>
  <c r="AY583" i="2"/>
  <c r="AS583" i="2"/>
  <c r="AQ583" i="2"/>
  <c r="AP583" i="2"/>
  <c r="AO583" i="2"/>
  <c r="AN583" i="2"/>
  <c r="AI583" i="2"/>
  <c r="AF583" i="2"/>
  <c r="AC583" i="2"/>
  <c r="AC583" i="2" a="1"/>
  <c r="AA583" i="2"/>
  <c r="AA583" i="2" a="1"/>
  <c r="Z583" i="2"/>
  <c r="Z583" i="2" a="1"/>
  <c r="Y583" i="2"/>
  <c r="Y583" i="2" a="1"/>
  <c r="X583" i="2"/>
  <c r="BC582" i="2"/>
  <c r="BB582" i="2"/>
  <c r="BA582" i="2"/>
  <c r="AZ582" i="2"/>
  <c r="AY582" i="2"/>
  <c r="AS582" i="2"/>
  <c r="AQ582" i="2"/>
  <c r="AP582" i="2"/>
  <c r="AO582" i="2"/>
  <c r="AN582" i="2"/>
  <c r="AI582" i="2"/>
  <c r="AF582" i="2"/>
  <c r="AC582" i="2"/>
  <c r="AC582" i="2" a="1"/>
  <c r="AA582" i="2"/>
  <c r="AA582" i="2" a="1"/>
  <c r="Z582" i="2"/>
  <c r="Z582" i="2" a="1"/>
  <c r="Y582" i="2"/>
  <c r="Y582" i="2" a="1"/>
  <c r="X582" i="2"/>
  <c r="BC581" i="2"/>
  <c r="BB581" i="2"/>
  <c r="BA581" i="2"/>
  <c r="AZ581" i="2"/>
  <c r="AY581" i="2"/>
  <c r="AS581" i="2"/>
  <c r="AQ581" i="2"/>
  <c r="AP581" i="2"/>
  <c r="AO581" i="2"/>
  <c r="AN581" i="2"/>
  <c r="AI581" i="2"/>
  <c r="AF581" i="2"/>
  <c r="AC581" i="2"/>
  <c r="AC581" i="2" a="1"/>
  <c r="AA581" i="2"/>
  <c r="AA581" i="2" a="1"/>
  <c r="Z581" i="2"/>
  <c r="Z581" i="2" a="1"/>
  <c r="Y581" i="2"/>
  <c r="Y581" i="2" a="1"/>
  <c r="X581" i="2"/>
  <c r="BC580" i="2"/>
  <c r="BB580" i="2"/>
  <c r="BA580" i="2"/>
  <c r="AZ580" i="2"/>
  <c r="AY580" i="2"/>
  <c r="AS580" i="2"/>
  <c r="AQ580" i="2"/>
  <c r="AP580" i="2"/>
  <c r="AO580" i="2"/>
  <c r="AN580" i="2"/>
  <c r="AI580" i="2"/>
  <c r="AF580" i="2"/>
  <c r="AC580" i="2"/>
  <c r="AC580" i="2" a="1"/>
  <c r="AA580" i="2"/>
  <c r="AA580" i="2" a="1"/>
  <c r="Z580" i="2"/>
  <c r="Z580" i="2" a="1"/>
  <c r="Y580" i="2"/>
  <c r="Y580" i="2" a="1"/>
  <c r="X580" i="2"/>
  <c r="BC579" i="2"/>
  <c r="BB579" i="2"/>
  <c r="BA579" i="2"/>
  <c r="AZ579" i="2"/>
  <c r="AY579" i="2"/>
  <c r="AS579" i="2"/>
  <c r="AQ579" i="2"/>
  <c r="AP579" i="2"/>
  <c r="AO579" i="2"/>
  <c r="AN579" i="2"/>
  <c r="AI579" i="2"/>
  <c r="AF579" i="2"/>
  <c r="AC579" i="2"/>
  <c r="AC579" i="2" a="1"/>
  <c r="AA579" i="2"/>
  <c r="AA579" i="2" a="1"/>
  <c r="Z579" i="2"/>
  <c r="Z579" i="2" a="1"/>
  <c r="Y579" i="2"/>
  <c r="Y579" i="2" a="1"/>
  <c r="X579" i="2"/>
  <c r="BC578" i="2"/>
  <c r="BB578" i="2"/>
  <c r="BA578" i="2"/>
  <c r="AZ578" i="2"/>
  <c r="AY578" i="2"/>
  <c r="AS578" i="2"/>
  <c r="AQ578" i="2"/>
  <c r="AP578" i="2"/>
  <c r="AO578" i="2"/>
  <c r="AN578" i="2"/>
  <c r="AI578" i="2"/>
  <c r="AF578" i="2"/>
  <c r="AC578" i="2"/>
  <c r="AC578" i="2" a="1"/>
  <c r="AA578" i="2"/>
  <c r="AA578" i="2" a="1"/>
  <c r="Z578" i="2"/>
  <c r="Z578" i="2" a="1"/>
  <c r="Y578" i="2"/>
  <c r="Y578" i="2" a="1"/>
  <c r="X578" i="2"/>
  <c r="BC577" i="2"/>
  <c r="BB577" i="2"/>
  <c r="BA577" i="2"/>
  <c r="AZ577" i="2"/>
  <c r="AY577" i="2"/>
  <c r="AS577" i="2"/>
  <c r="AQ577" i="2"/>
  <c r="AP577" i="2"/>
  <c r="AO577" i="2"/>
  <c r="AN577" i="2"/>
  <c r="AI577" i="2"/>
  <c r="AF577" i="2"/>
  <c r="AC577" i="2"/>
  <c r="AC577" i="2" a="1"/>
  <c r="AA577" i="2"/>
  <c r="AA577" i="2" a="1"/>
  <c r="Z577" i="2"/>
  <c r="Z577" i="2" a="1"/>
  <c r="Y577" i="2"/>
  <c r="Y577" i="2" a="1"/>
  <c r="X577" i="2"/>
  <c r="BC576" i="2"/>
  <c r="BB576" i="2"/>
  <c r="BA576" i="2"/>
  <c r="AZ576" i="2"/>
  <c r="AY576" i="2"/>
  <c r="AS576" i="2"/>
  <c r="AQ576" i="2"/>
  <c r="AP576" i="2"/>
  <c r="AO576" i="2"/>
  <c r="AN576" i="2"/>
  <c r="AI576" i="2"/>
  <c r="AF576" i="2"/>
  <c r="AC576" i="2"/>
  <c r="AC576" i="2" a="1"/>
  <c r="AA576" i="2"/>
  <c r="AA576" i="2" a="1"/>
  <c r="Z576" i="2"/>
  <c r="Z576" i="2" a="1"/>
  <c r="Y576" i="2"/>
  <c r="Y576" i="2" a="1"/>
  <c r="X576" i="2"/>
  <c r="BC575" i="2"/>
  <c r="BB575" i="2"/>
  <c r="BA575" i="2"/>
  <c r="AZ575" i="2"/>
  <c r="AY575" i="2"/>
  <c r="AS575" i="2"/>
  <c r="AQ575" i="2"/>
  <c r="AP575" i="2"/>
  <c r="AO575" i="2"/>
  <c r="AN575" i="2"/>
  <c r="AI575" i="2"/>
  <c r="AF575" i="2"/>
  <c r="AC575" i="2"/>
  <c r="AC575" i="2" a="1"/>
  <c r="AA575" i="2"/>
  <c r="AA575" i="2" a="1"/>
  <c r="Z575" i="2"/>
  <c r="Z575" i="2" a="1"/>
  <c r="Y575" i="2"/>
  <c r="Y575" i="2" a="1"/>
  <c r="X575" i="2"/>
  <c r="BC574" i="2"/>
  <c r="BB574" i="2"/>
  <c r="BA574" i="2"/>
  <c r="AZ574" i="2"/>
  <c r="AY574" i="2"/>
  <c r="AS574" i="2"/>
  <c r="AQ574" i="2"/>
  <c r="AP574" i="2"/>
  <c r="AO574" i="2"/>
  <c r="AN574" i="2"/>
  <c r="AI574" i="2"/>
  <c r="AF574" i="2"/>
  <c r="AC574" i="2"/>
  <c r="AC574" i="2" a="1"/>
  <c r="AA574" i="2"/>
  <c r="AA574" i="2" a="1"/>
  <c r="Z574" i="2"/>
  <c r="Z574" i="2" a="1"/>
  <c r="Y574" i="2"/>
  <c r="Y574" i="2" a="1"/>
  <c r="X574" i="2"/>
  <c r="BC573" i="2"/>
  <c r="BB573" i="2"/>
  <c r="BA573" i="2"/>
  <c r="AZ573" i="2"/>
  <c r="AY573" i="2"/>
  <c r="AS573" i="2"/>
  <c r="AQ573" i="2"/>
  <c r="AP573" i="2"/>
  <c r="AO573" i="2"/>
  <c r="AN573" i="2"/>
  <c r="AI573" i="2"/>
  <c r="AF573" i="2"/>
  <c r="AC573" i="2"/>
  <c r="AC573" i="2" a="1"/>
  <c r="AA573" i="2"/>
  <c r="AA573" i="2" a="1"/>
  <c r="Z573" i="2"/>
  <c r="Z573" i="2" a="1"/>
  <c r="Y573" i="2"/>
  <c r="Y573" i="2" a="1"/>
  <c r="X573" i="2"/>
  <c r="BC572" i="2"/>
  <c r="BB572" i="2"/>
  <c r="BA572" i="2"/>
  <c r="AZ572" i="2"/>
  <c r="AY572" i="2"/>
  <c r="AS572" i="2"/>
  <c r="AR572" i="2"/>
  <c r="AQ572" i="2"/>
  <c r="AP572" i="2"/>
  <c r="AO572" i="2"/>
  <c r="AN572" i="2"/>
  <c r="AI572" i="2"/>
  <c r="AF572" i="2"/>
  <c r="AC572" i="2"/>
  <c r="AC572" i="2" a="1"/>
  <c r="AA572" i="2"/>
  <c r="AA572" i="2" a="1"/>
  <c r="Z572" i="2"/>
  <c r="Z572" i="2" a="1"/>
  <c r="Y572" i="2"/>
  <c r="Y572" i="2" a="1"/>
  <c r="X572" i="2"/>
  <c r="BB571" i="2"/>
  <c r="BA571" i="2"/>
  <c r="AZ571" i="2"/>
  <c r="AY571" i="2"/>
  <c r="AS571" i="2"/>
  <c r="AR571" i="2"/>
  <c r="AQ571" i="2"/>
  <c r="AP571" i="2"/>
  <c r="AO571" i="2"/>
  <c r="AN571" i="2"/>
  <c r="AI571" i="2"/>
  <c r="AF571" i="2"/>
  <c r="AC571" i="2"/>
  <c r="AC571" i="2" a="1"/>
  <c r="AA571" i="2"/>
  <c r="AA571" i="2" a="1"/>
  <c r="Z571" i="2"/>
  <c r="Z571" i="2" a="1"/>
  <c r="Y571" i="2"/>
  <c r="Y571" i="2" a="1"/>
  <c r="X571" i="2"/>
  <c r="BB570" i="2"/>
  <c r="BA570" i="2"/>
  <c r="AZ570" i="2"/>
  <c r="AY570" i="2"/>
  <c r="AS570" i="2"/>
  <c r="AR570" i="2"/>
  <c r="AQ570" i="2"/>
  <c r="AP570" i="2"/>
  <c r="AO570" i="2"/>
  <c r="AN570" i="2"/>
  <c r="AI570" i="2"/>
  <c r="AF570" i="2"/>
  <c r="AC570" i="2"/>
  <c r="AC570" i="2" a="1"/>
  <c r="AA570" i="2"/>
  <c r="AA570" i="2" a="1"/>
  <c r="Z570" i="2"/>
  <c r="Z570" i="2" a="1"/>
  <c r="Y570" i="2"/>
  <c r="Y570" i="2" a="1"/>
  <c r="X570" i="2"/>
  <c r="BB569" i="2"/>
  <c r="BA569" i="2"/>
  <c r="AZ569" i="2"/>
  <c r="AY569" i="2"/>
  <c r="AS569" i="2"/>
  <c r="AR569" i="2"/>
  <c r="AQ569" i="2"/>
  <c r="AP569" i="2"/>
  <c r="AO569" i="2"/>
  <c r="AN569" i="2"/>
  <c r="AI569" i="2"/>
  <c r="AF569" i="2"/>
  <c r="AC569" i="2"/>
  <c r="AC569" i="2" a="1"/>
  <c r="AA569" i="2"/>
  <c r="AA569" i="2" a="1"/>
  <c r="Z569" i="2"/>
  <c r="Z569" i="2" a="1"/>
  <c r="Y569" i="2"/>
  <c r="Y569" i="2" a="1"/>
  <c r="X569" i="2"/>
  <c r="BB568" i="2"/>
  <c r="BA568" i="2"/>
  <c r="AZ568" i="2"/>
  <c r="AY568" i="2"/>
  <c r="AS568" i="2"/>
  <c r="AR568" i="2"/>
  <c r="AQ568" i="2"/>
  <c r="AP568" i="2"/>
  <c r="AO568" i="2"/>
  <c r="AN568" i="2"/>
  <c r="AI568" i="2"/>
  <c r="AF568" i="2"/>
  <c r="AC568" i="2"/>
  <c r="AC568" i="2" a="1"/>
  <c r="AA568" i="2"/>
  <c r="AA568" i="2" a="1"/>
  <c r="Z568" i="2"/>
  <c r="Z568" i="2" a="1"/>
  <c r="Y568" i="2"/>
  <c r="Y568" i="2" a="1"/>
  <c r="X568" i="2"/>
  <c r="BB567" i="2"/>
  <c r="BA567" i="2"/>
  <c r="AZ567" i="2"/>
  <c r="AY567" i="2"/>
  <c r="AS567" i="2"/>
  <c r="AR567" i="2"/>
  <c r="AQ567" i="2"/>
  <c r="AP567" i="2"/>
  <c r="AO567" i="2"/>
  <c r="AN567" i="2"/>
  <c r="AI567" i="2"/>
  <c r="AF567" i="2"/>
  <c r="AC567" i="2"/>
  <c r="AC567" i="2" a="1"/>
  <c r="AA567" i="2"/>
  <c r="AA567" i="2" a="1"/>
  <c r="Z567" i="2"/>
  <c r="Z567" i="2" a="1"/>
  <c r="Y567" i="2"/>
  <c r="Y567" i="2" a="1"/>
  <c r="X567" i="2"/>
  <c r="BB566" i="2"/>
  <c r="BA566" i="2"/>
  <c r="AZ566" i="2"/>
  <c r="AY566" i="2"/>
  <c r="AS566" i="2"/>
  <c r="AR566" i="2"/>
  <c r="AQ566" i="2"/>
  <c r="AP566" i="2"/>
  <c r="AO566" i="2"/>
  <c r="AN566" i="2"/>
  <c r="AI566" i="2"/>
  <c r="AF566" i="2"/>
  <c r="AC566" i="2"/>
  <c r="AC566" i="2" a="1"/>
  <c r="AA566" i="2"/>
  <c r="AA566" i="2" a="1"/>
  <c r="Z566" i="2"/>
  <c r="Z566" i="2" a="1"/>
  <c r="Y566" i="2"/>
  <c r="Y566" i="2" a="1"/>
  <c r="X566" i="2"/>
  <c r="BA565" i="2"/>
  <c r="AZ565" i="2"/>
  <c r="AY565" i="2"/>
  <c r="AS565" i="2"/>
  <c r="AR565" i="2"/>
  <c r="AQ565" i="2"/>
  <c r="AP565" i="2"/>
  <c r="AO565" i="2"/>
  <c r="AN565" i="2"/>
  <c r="AI565" i="2"/>
  <c r="AF565" i="2"/>
  <c r="AC565" i="2"/>
  <c r="AC565" i="2" a="1"/>
  <c r="AA565" i="2"/>
  <c r="AA565" i="2" a="1"/>
  <c r="Z565" i="2"/>
  <c r="Z565" i="2" a="1"/>
  <c r="Y565" i="2"/>
  <c r="Y565" i="2" a="1"/>
  <c r="X565" i="2"/>
  <c r="BA564" i="2"/>
  <c r="AZ564" i="2"/>
  <c r="AY564" i="2"/>
  <c r="AS564" i="2"/>
  <c r="AR564" i="2"/>
  <c r="AQ564" i="2"/>
  <c r="AP564" i="2"/>
  <c r="AO564" i="2"/>
  <c r="AN564" i="2"/>
  <c r="AI564" i="2"/>
  <c r="AF564" i="2"/>
  <c r="AC564" i="2"/>
  <c r="AC564" i="2" a="1"/>
  <c r="AA564" i="2"/>
  <c r="AA564" i="2" a="1"/>
  <c r="Z564" i="2"/>
  <c r="Z564" i="2" a="1"/>
  <c r="Y564" i="2"/>
  <c r="Y564" i="2" a="1"/>
  <c r="X564" i="2"/>
  <c r="BA563" i="2"/>
  <c r="AZ563" i="2"/>
  <c r="AY563" i="2"/>
  <c r="AS563" i="2"/>
  <c r="AR563" i="2"/>
  <c r="AQ563" i="2"/>
  <c r="AP563" i="2"/>
  <c r="AO563" i="2"/>
  <c r="AN563" i="2"/>
  <c r="AI563" i="2"/>
  <c r="AF563" i="2"/>
  <c r="AC563" i="2"/>
  <c r="AC563" i="2" a="1"/>
  <c r="AA563" i="2"/>
  <c r="AA563" i="2" a="1"/>
  <c r="Z563" i="2"/>
  <c r="Z563" i="2" a="1"/>
  <c r="Y563" i="2"/>
  <c r="Y563" i="2" a="1"/>
  <c r="X563" i="2"/>
  <c r="BA562" i="2"/>
  <c r="AZ562" i="2"/>
  <c r="AY562" i="2"/>
  <c r="AS562" i="2"/>
  <c r="AR562" i="2"/>
  <c r="AQ562" i="2"/>
  <c r="AP562" i="2"/>
  <c r="AO562" i="2"/>
  <c r="AN562" i="2"/>
  <c r="AI562" i="2"/>
  <c r="AF562" i="2"/>
  <c r="AC562" i="2"/>
  <c r="AC562" i="2" a="1"/>
  <c r="AA562" i="2"/>
  <c r="AA562" i="2" a="1"/>
  <c r="Z562" i="2"/>
  <c r="Z562" i="2" a="1"/>
  <c r="Y562" i="2"/>
  <c r="Y562" i="2" a="1"/>
  <c r="X562" i="2"/>
  <c r="BA561" i="2"/>
  <c r="AZ561" i="2"/>
  <c r="AY561" i="2"/>
  <c r="AS561" i="2"/>
  <c r="AR561" i="2"/>
  <c r="AQ561" i="2"/>
  <c r="AP561" i="2"/>
  <c r="AO561" i="2"/>
  <c r="AN561" i="2"/>
  <c r="AI561" i="2"/>
  <c r="AF561" i="2"/>
  <c r="AC561" i="2"/>
  <c r="AC561" i="2" a="1"/>
  <c r="AA561" i="2"/>
  <c r="AA561" i="2" a="1"/>
  <c r="Z561" i="2"/>
  <c r="Z561" i="2" a="1"/>
  <c r="Y561" i="2"/>
  <c r="Y561" i="2" a="1"/>
  <c r="X561" i="2"/>
  <c r="BA560" i="2"/>
  <c r="AZ560" i="2"/>
  <c r="AY560" i="2"/>
  <c r="AS560" i="2"/>
  <c r="AR560" i="2"/>
  <c r="AQ560" i="2"/>
  <c r="AP560" i="2"/>
  <c r="AO560" i="2"/>
  <c r="AN560" i="2"/>
  <c r="AI560" i="2"/>
  <c r="AF560" i="2"/>
  <c r="AC560" i="2"/>
  <c r="AC560" i="2" a="1"/>
  <c r="AA560" i="2"/>
  <c r="AA560" i="2" a="1"/>
  <c r="Z560" i="2"/>
  <c r="Z560" i="2" a="1"/>
  <c r="Y560" i="2"/>
  <c r="Y560" i="2" a="1"/>
  <c r="X560" i="2"/>
  <c r="BA559" i="2"/>
  <c r="AZ559" i="2"/>
  <c r="AY559" i="2"/>
  <c r="AS559" i="2"/>
  <c r="AR559" i="2"/>
  <c r="AQ559" i="2"/>
  <c r="AP559" i="2"/>
  <c r="AO559" i="2"/>
  <c r="AN559" i="2"/>
  <c r="AI559" i="2"/>
  <c r="AF559" i="2"/>
  <c r="AC559" i="2"/>
  <c r="AC559" i="2" a="1"/>
  <c r="AA559" i="2"/>
  <c r="AA559" i="2" a="1"/>
  <c r="Z559" i="2"/>
  <c r="Z559" i="2" a="1"/>
  <c r="Y559" i="2"/>
  <c r="Y559" i="2" a="1"/>
  <c r="X559" i="2"/>
  <c r="BA558" i="2"/>
  <c r="AZ558" i="2"/>
  <c r="AY558" i="2"/>
  <c r="AS558" i="2"/>
  <c r="AR558" i="2"/>
  <c r="AQ558" i="2"/>
  <c r="AP558" i="2"/>
  <c r="AO558" i="2"/>
  <c r="AN558" i="2"/>
  <c r="AI558" i="2"/>
  <c r="AF558" i="2"/>
  <c r="AC558" i="2"/>
  <c r="AC558" i="2" a="1"/>
  <c r="AA558" i="2"/>
  <c r="AA558" i="2" a="1"/>
  <c r="Z558" i="2"/>
  <c r="Z558" i="2" a="1"/>
  <c r="Y558" i="2"/>
  <c r="Y558" i="2" a="1"/>
  <c r="X558" i="2"/>
  <c r="BA557" i="2"/>
  <c r="AZ557" i="2"/>
  <c r="AY557" i="2"/>
  <c r="AS557" i="2"/>
  <c r="AR557" i="2"/>
  <c r="AQ557" i="2"/>
  <c r="AP557" i="2"/>
  <c r="AO557" i="2"/>
  <c r="AN557" i="2"/>
  <c r="AI557" i="2"/>
  <c r="AF557" i="2"/>
  <c r="AC557" i="2"/>
  <c r="AC557" i="2" a="1"/>
  <c r="AA557" i="2"/>
  <c r="AA557" i="2" a="1"/>
  <c r="Z557" i="2"/>
  <c r="Z557" i="2" a="1"/>
  <c r="Y557" i="2"/>
  <c r="Y557" i="2" a="1"/>
  <c r="X557" i="2"/>
  <c r="BA556" i="2"/>
  <c r="AZ556" i="2"/>
  <c r="AY556" i="2"/>
  <c r="AS556" i="2"/>
  <c r="AR556" i="2"/>
  <c r="AQ556" i="2"/>
  <c r="AP556" i="2"/>
  <c r="AO556" i="2"/>
  <c r="AN556" i="2"/>
  <c r="AI556" i="2"/>
  <c r="AF556" i="2"/>
  <c r="AC556" i="2"/>
  <c r="AC556" i="2" a="1"/>
  <c r="AA556" i="2"/>
  <c r="AA556" i="2" a="1"/>
  <c r="Z556" i="2"/>
  <c r="Z556" i="2" a="1"/>
  <c r="Y556" i="2"/>
  <c r="Y556" i="2" a="1"/>
  <c r="X556" i="2"/>
  <c r="BA555" i="2"/>
  <c r="AZ555" i="2"/>
  <c r="AY555" i="2"/>
  <c r="AS555" i="2"/>
  <c r="AR555" i="2"/>
  <c r="AQ555" i="2"/>
  <c r="AP555" i="2"/>
  <c r="AO555" i="2"/>
  <c r="AN555" i="2"/>
  <c r="AI555" i="2"/>
  <c r="AF555" i="2"/>
  <c r="AC555" i="2"/>
  <c r="AC555" i="2" a="1"/>
  <c r="AA555" i="2"/>
  <c r="AA555" i="2" a="1"/>
  <c r="Z555" i="2"/>
  <c r="Z555" i="2" a="1"/>
  <c r="Y555" i="2"/>
  <c r="Y555" i="2" a="1"/>
  <c r="X555" i="2"/>
  <c r="BA554" i="2"/>
  <c r="AZ554" i="2"/>
  <c r="AY554" i="2"/>
  <c r="AS554" i="2"/>
  <c r="AR554" i="2"/>
  <c r="AQ554" i="2"/>
  <c r="AP554" i="2"/>
  <c r="AO554" i="2"/>
  <c r="AN554" i="2"/>
  <c r="AI554" i="2"/>
  <c r="AF554" i="2"/>
  <c r="AC554" i="2"/>
  <c r="AC554" i="2" a="1"/>
  <c r="AA554" i="2"/>
  <c r="AA554" i="2" a="1"/>
  <c r="Z554" i="2"/>
  <c r="Z554" i="2" a="1"/>
  <c r="Y554" i="2"/>
  <c r="Y554" i="2" a="1"/>
  <c r="X554" i="2"/>
  <c r="BB553" i="2"/>
  <c r="BA553" i="2"/>
  <c r="AZ553" i="2"/>
  <c r="AY553" i="2"/>
  <c r="AS553" i="2"/>
  <c r="AR553" i="2"/>
  <c r="AQ553" i="2"/>
  <c r="AP553" i="2"/>
  <c r="AO553" i="2"/>
  <c r="AN553" i="2"/>
  <c r="AI553" i="2"/>
  <c r="AF553" i="2"/>
  <c r="AC553" i="2"/>
  <c r="AC553" i="2" a="1"/>
  <c r="AA553" i="2"/>
  <c r="AA553" i="2" a="1"/>
  <c r="Z553" i="2"/>
  <c r="Z553" i="2" a="1"/>
  <c r="Y553" i="2"/>
  <c r="Y553" i="2" a="1"/>
  <c r="X553" i="2"/>
  <c r="BB552" i="2"/>
  <c r="BA552" i="2"/>
  <c r="AZ552" i="2"/>
  <c r="AY552" i="2"/>
  <c r="AS552" i="2"/>
  <c r="AR552" i="2"/>
  <c r="AQ552" i="2"/>
  <c r="AP552" i="2"/>
  <c r="AO552" i="2"/>
  <c r="AN552" i="2"/>
  <c r="AI552" i="2"/>
  <c r="AF552" i="2"/>
  <c r="AC552" i="2"/>
  <c r="AC552" i="2" a="1"/>
  <c r="AA552" i="2"/>
  <c r="AA552" i="2" a="1"/>
  <c r="Z552" i="2"/>
  <c r="Z552" i="2" a="1"/>
  <c r="Y552" i="2"/>
  <c r="Y552" i="2" a="1"/>
  <c r="X552" i="2"/>
  <c r="BB551" i="2"/>
  <c r="BA551" i="2"/>
  <c r="AZ551" i="2"/>
  <c r="AY551" i="2"/>
  <c r="AS551" i="2"/>
  <c r="AR551" i="2"/>
  <c r="AQ551" i="2"/>
  <c r="AP551" i="2"/>
  <c r="AO551" i="2"/>
  <c r="AN551" i="2"/>
  <c r="AI551" i="2"/>
  <c r="AF551" i="2"/>
  <c r="AC551" i="2"/>
  <c r="AC551" i="2" a="1"/>
  <c r="AA551" i="2"/>
  <c r="AA551" i="2" a="1"/>
  <c r="Z551" i="2"/>
  <c r="Z551" i="2" a="1"/>
  <c r="Y551" i="2"/>
  <c r="Y551" i="2" a="1"/>
  <c r="X551" i="2"/>
  <c r="BC550" i="2"/>
  <c r="BB550" i="2"/>
  <c r="BA550" i="2"/>
  <c r="AZ550" i="2"/>
  <c r="AY550" i="2"/>
  <c r="AS550" i="2"/>
  <c r="AR550" i="2"/>
  <c r="AQ550" i="2"/>
  <c r="AP550" i="2"/>
  <c r="AO550" i="2"/>
  <c r="AN550" i="2"/>
  <c r="AI550" i="2"/>
  <c r="AF550" i="2"/>
  <c r="AC550" i="2"/>
  <c r="AC550" i="2" a="1"/>
  <c r="AA550" i="2"/>
  <c r="AA550" i="2" a="1"/>
  <c r="Z550" i="2"/>
  <c r="Z550" i="2" a="1"/>
  <c r="Y550" i="2"/>
  <c r="Y550" i="2" a="1"/>
  <c r="X550" i="2"/>
  <c r="BC549" i="2"/>
  <c r="BB549" i="2"/>
  <c r="BA549" i="2"/>
  <c r="AZ549" i="2"/>
  <c r="AY549" i="2"/>
  <c r="AS549" i="2"/>
  <c r="AR549" i="2"/>
  <c r="AQ549" i="2"/>
  <c r="AP549" i="2"/>
  <c r="AO549" i="2"/>
  <c r="AN549" i="2"/>
  <c r="AI549" i="2"/>
  <c r="AF549" i="2"/>
  <c r="AC549" i="2"/>
  <c r="AC549" i="2" a="1"/>
  <c r="AA549" i="2"/>
  <c r="AA549" i="2" a="1"/>
  <c r="Z549" i="2"/>
  <c r="Z549" i="2" a="1"/>
  <c r="Y549" i="2"/>
  <c r="Y549" i="2" a="1"/>
  <c r="X549" i="2"/>
  <c r="BC548" i="2"/>
  <c r="BB548" i="2"/>
  <c r="BA548" i="2"/>
  <c r="AZ548" i="2"/>
  <c r="AY548" i="2"/>
  <c r="AS548" i="2"/>
  <c r="AR548" i="2"/>
  <c r="AQ548" i="2"/>
  <c r="AP548" i="2"/>
  <c r="AO548" i="2"/>
  <c r="AN548" i="2"/>
  <c r="AI548" i="2"/>
  <c r="AF548" i="2"/>
  <c r="AC548" i="2"/>
  <c r="AC548" i="2" a="1"/>
  <c r="AA548" i="2"/>
  <c r="AA548" i="2" a="1"/>
  <c r="Z548" i="2"/>
  <c r="Z548" i="2" a="1"/>
  <c r="Y548" i="2"/>
  <c r="Y548" i="2" a="1"/>
  <c r="X548" i="2"/>
  <c r="BC547" i="2"/>
  <c r="BB547" i="2"/>
  <c r="BA547" i="2"/>
  <c r="AZ547" i="2"/>
  <c r="AY547" i="2"/>
  <c r="AS547" i="2"/>
  <c r="AR547" i="2"/>
  <c r="AQ547" i="2"/>
  <c r="AP547" i="2"/>
  <c r="AO547" i="2"/>
  <c r="AN547" i="2"/>
  <c r="AI547" i="2"/>
  <c r="AF547" i="2"/>
  <c r="AC547" i="2"/>
  <c r="AC547" i="2" a="1"/>
  <c r="AA547" i="2"/>
  <c r="AA547" i="2" a="1"/>
  <c r="Z547" i="2"/>
  <c r="Z547" i="2" a="1"/>
  <c r="Y547" i="2"/>
  <c r="Y547" i="2" a="1"/>
  <c r="X547" i="2"/>
  <c r="BC546" i="2"/>
  <c r="BB546" i="2"/>
  <c r="BA546" i="2"/>
  <c r="AZ546" i="2"/>
  <c r="AY546" i="2"/>
  <c r="AS546" i="2"/>
  <c r="AR546" i="2"/>
  <c r="AQ546" i="2"/>
  <c r="AP546" i="2"/>
  <c r="AO546" i="2"/>
  <c r="AN546" i="2"/>
  <c r="AI546" i="2"/>
  <c r="AF546" i="2"/>
  <c r="AC546" i="2"/>
  <c r="AC546" i="2" a="1"/>
  <c r="AA546" i="2"/>
  <c r="AA546" i="2" a="1"/>
  <c r="Z546" i="2"/>
  <c r="Z546" i="2" a="1"/>
  <c r="Y546" i="2"/>
  <c r="Y546" i="2" a="1"/>
  <c r="X546" i="2"/>
  <c r="BC545" i="2"/>
  <c r="BB545" i="2"/>
  <c r="BA545" i="2"/>
  <c r="AZ545" i="2"/>
  <c r="AY545" i="2"/>
  <c r="AS545" i="2"/>
  <c r="AR545" i="2"/>
  <c r="AQ545" i="2"/>
  <c r="AP545" i="2"/>
  <c r="AO545" i="2"/>
  <c r="AN545" i="2"/>
  <c r="AI545" i="2"/>
  <c r="AF545" i="2"/>
  <c r="AC545" i="2"/>
  <c r="AC545" i="2" a="1"/>
  <c r="AA545" i="2"/>
  <c r="AA545" i="2" a="1"/>
  <c r="Z545" i="2"/>
  <c r="Z545" i="2" a="1"/>
  <c r="Y545" i="2"/>
  <c r="Y545" i="2" a="1"/>
  <c r="X545" i="2"/>
  <c r="BC544" i="2"/>
  <c r="BB544" i="2"/>
  <c r="BA544" i="2"/>
  <c r="AZ544" i="2"/>
  <c r="AY544" i="2"/>
  <c r="AS544" i="2"/>
  <c r="AR544" i="2"/>
  <c r="AQ544" i="2"/>
  <c r="AP544" i="2"/>
  <c r="AO544" i="2"/>
  <c r="AN544" i="2"/>
  <c r="AI544" i="2"/>
  <c r="AF544" i="2"/>
  <c r="AC544" i="2"/>
  <c r="AC544" i="2" a="1"/>
  <c r="AA544" i="2"/>
  <c r="AA544" i="2" a="1"/>
  <c r="Z544" i="2"/>
  <c r="Z544" i="2" a="1"/>
  <c r="Y544" i="2"/>
  <c r="Y544" i="2" a="1"/>
  <c r="X544" i="2"/>
  <c r="BC543" i="2"/>
  <c r="BB543" i="2"/>
  <c r="BA543" i="2"/>
  <c r="AZ543" i="2"/>
  <c r="AY543" i="2"/>
  <c r="AS543" i="2"/>
  <c r="AR543" i="2"/>
  <c r="AQ543" i="2"/>
  <c r="AP543" i="2"/>
  <c r="AO543" i="2"/>
  <c r="AN543" i="2"/>
  <c r="AI543" i="2"/>
  <c r="AF543" i="2"/>
  <c r="AC543" i="2"/>
  <c r="AC543" i="2" a="1"/>
  <c r="AA543" i="2"/>
  <c r="AA543" i="2" a="1"/>
  <c r="Z543" i="2"/>
  <c r="Z543" i="2" a="1"/>
  <c r="Y543" i="2"/>
  <c r="Y543" i="2" a="1"/>
  <c r="X543" i="2"/>
  <c r="BC542" i="2"/>
  <c r="BB542" i="2"/>
  <c r="BA542" i="2"/>
  <c r="AZ542" i="2"/>
  <c r="AY542" i="2"/>
  <c r="AS542" i="2"/>
  <c r="AR542" i="2"/>
  <c r="AQ542" i="2"/>
  <c r="AP542" i="2"/>
  <c r="AO542" i="2"/>
  <c r="AN542" i="2"/>
  <c r="AI542" i="2"/>
  <c r="AF542" i="2"/>
  <c r="AC542" i="2"/>
  <c r="AC542" i="2" a="1"/>
  <c r="AA542" i="2"/>
  <c r="AA542" i="2" a="1"/>
  <c r="Z542" i="2"/>
  <c r="Z542" i="2" a="1"/>
  <c r="Y542" i="2"/>
  <c r="Y542" i="2" a="1"/>
  <c r="X542" i="2"/>
  <c r="BC541" i="2"/>
  <c r="BB541" i="2"/>
  <c r="BA541" i="2"/>
  <c r="AZ541" i="2"/>
  <c r="AY541" i="2"/>
  <c r="AS541" i="2"/>
  <c r="AR541" i="2"/>
  <c r="AQ541" i="2"/>
  <c r="AP541" i="2"/>
  <c r="AO541" i="2"/>
  <c r="AN541" i="2"/>
  <c r="AI541" i="2"/>
  <c r="AF541" i="2"/>
  <c r="AC541" i="2"/>
  <c r="AC541" i="2" a="1"/>
  <c r="AA541" i="2"/>
  <c r="AA541" i="2" a="1"/>
  <c r="Z541" i="2"/>
  <c r="Z541" i="2" a="1"/>
  <c r="Y541" i="2"/>
  <c r="Y541" i="2" a="1"/>
  <c r="X541" i="2"/>
  <c r="BC540" i="2"/>
  <c r="BB540" i="2"/>
  <c r="BA540" i="2"/>
  <c r="AZ540" i="2"/>
  <c r="AY540" i="2"/>
  <c r="AS540" i="2"/>
  <c r="AR540" i="2"/>
  <c r="AQ540" i="2"/>
  <c r="AP540" i="2"/>
  <c r="AO540" i="2"/>
  <c r="AN540" i="2"/>
  <c r="AI540" i="2"/>
  <c r="AF540" i="2"/>
  <c r="AC540" i="2"/>
  <c r="AC540" i="2" a="1"/>
  <c r="AA540" i="2"/>
  <c r="AA540" i="2" a="1"/>
  <c r="Z540" i="2"/>
  <c r="Z540" i="2" a="1"/>
  <c r="Y540" i="2"/>
  <c r="Y540" i="2" a="1"/>
  <c r="X540" i="2"/>
  <c r="BC539" i="2"/>
  <c r="BB539" i="2"/>
  <c r="BA539" i="2"/>
  <c r="AZ539" i="2"/>
  <c r="AY539" i="2"/>
  <c r="AS539" i="2"/>
  <c r="AR539" i="2"/>
  <c r="AQ539" i="2"/>
  <c r="AP539" i="2"/>
  <c r="AO539" i="2"/>
  <c r="AN539" i="2"/>
  <c r="AI539" i="2"/>
  <c r="AF539" i="2"/>
  <c r="AC539" i="2"/>
  <c r="AC539" i="2" a="1"/>
  <c r="AA539" i="2"/>
  <c r="AA539" i="2" a="1"/>
  <c r="Z539" i="2"/>
  <c r="Z539" i="2" a="1"/>
  <c r="Y539" i="2"/>
  <c r="Y539" i="2" a="1"/>
  <c r="X539" i="2"/>
  <c r="BC538" i="2"/>
  <c r="BB538" i="2"/>
  <c r="BA538" i="2"/>
  <c r="AZ538" i="2"/>
  <c r="AY538" i="2"/>
  <c r="AS538" i="2"/>
  <c r="AR538" i="2"/>
  <c r="AQ538" i="2"/>
  <c r="AP538" i="2"/>
  <c r="AO538" i="2"/>
  <c r="AN538" i="2"/>
  <c r="AI538" i="2"/>
  <c r="AF538" i="2"/>
  <c r="AC538" i="2"/>
  <c r="AC538" i="2" a="1"/>
  <c r="AA538" i="2"/>
  <c r="AA538" i="2" a="1"/>
  <c r="Z538" i="2"/>
  <c r="Z538" i="2" a="1"/>
  <c r="Y538" i="2"/>
  <c r="Y538" i="2" a="1"/>
  <c r="X538" i="2"/>
  <c r="BC537" i="2"/>
  <c r="BB537" i="2"/>
  <c r="BA537" i="2"/>
  <c r="AZ537" i="2"/>
  <c r="AY537" i="2"/>
  <c r="AS537" i="2"/>
  <c r="AR537" i="2"/>
  <c r="AQ537" i="2"/>
  <c r="AP537" i="2"/>
  <c r="AO537" i="2"/>
  <c r="AN537" i="2"/>
  <c r="AI537" i="2"/>
  <c r="AF537" i="2"/>
  <c r="AC537" i="2"/>
  <c r="AC537" i="2" a="1"/>
  <c r="AA537" i="2"/>
  <c r="AA537" i="2" a="1"/>
  <c r="Z537" i="2"/>
  <c r="Z537" i="2" a="1"/>
  <c r="Y537" i="2"/>
  <c r="Y537" i="2" a="1"/>
  <c r="X537" i="2"/>
  <c r="BC536" i="2"/>
  <c r="BB536" i="2"/>
  <c r="BA536" i="2"/>
  <c r="AZ536" i="2"/>
  <c r="AY536" i="2"/>
  <c r="AS536" i="2"/>
  <c r="AR536" i="2"/>
  <c r="AQ536" i="2"/>
  <c r="AP536" i="2"/>
  <c r="AO536" i="2"/>
  <c r="AN536" i="2"/>
  <c r="AI536" i="2"/>
  <c r="AF536" i="2"/>
  <c r="AC536" i="2"/>
  <c r="AC536" i="2" a="1"/>
  <c r="AA536" i="2"/>
  <c r="AA536" i="2" a="1"/>
  <c r="Z536" i="2"/>
  <c r="Z536" i="2" a="1"/>
  <c r="Y536" i="2"/>
  <c r="Y536" i="2" a="1"/>
  <c r="X536" i="2"/>
  <c r="BC535" i="2"/>
  <c r="BB535" i="2"/>
  <c r="BA535" i="2"/>
  <c r="AZ535" i="2"/>
  <c r="AY535" i="2"/>
  <c r="AS535" i="2"/>
  <c r="AR535" i="2"/>
  <c r="AQ535" i="2"/>
  <c r="AP535" i="2"/>
  <c r="AO535" i="2"/>
  <c r="AN535" i="2"/>
  <c r="AI535" i="2"/>
  <c r="AF535" i="2"/>
  <c r="AC535" i="2"/>
  <c r="AC535" i="2" a="1"/>
  <c r="AA535" i="2"/>
  <c r="AA535" i="2" a="1"/>
  <c r="Z535" i="2"/>
  <c r="Z535" i="2" a="1"/>
  <c r="Y535" i="2"/>
  <c r="Y535" i="2" a="1"/>
  <c r="X535" i="2"/>
  <c r="BC534" i="2"/>
  <c r="BB534" i="2"/>
  <c r="BA534" i="2"/>
  <c r="AZ534" i="2"/>
  <c r="AY534" i="2"/>
  <c r="AS534" i="2"/>
  <c r="AR534" i="2"/>
  <c r="AQ534" i="2"/>
  <c r="AP534" i="2"/>
  <c r="AO534" i="2"/>
  <c r="AN534" i="2"/>
  <c r="AI534" i="2"/>
  <c r="AF534" i="2"/>
  <c r="AC534" i="2"/>
  <c r="AC534" i="2" a="1"/>
  <c r="AA534" i="2"/>
  <c r="AA534" i="2" a="1"/>
  <c r="Z534" i="2"/>
  <c r="Z534" i="2" a="1"/>
  <c r="Y534" i="2"/>
  <c r="Y534" i="2" a="1"/>
  <c r="X534" i="2"/>
  <c r="BC533" i="2"/>
  <c r="BB533" i="2"/>
  <c r="BA533" i="2"/>
  <c r="AZ533" i="2"/>
  <c r="AY533" i="2"/>
  <c r="AS533" i="2"/>
  <c r="AR533" i="2"/>
  <c r="AQ533" i="2"/>
  <c r="AP533" i="2"/>
  <c r="AO533" i="2"/>
  <c r="AN533" i="2"/>
  <c r="AI533" i="2"/>
  <c r="AF533" i="2"/>
  <c r="AC533" i="2"/>
  <c r="AC533" i="2" a="1"/>
  <c r="AA533" i="2"/>
  <c r="AA533" i="2" a="1"/>
  <c r="Z533" i="2"/>
  <c r="Z533" i="2" a="1"/>
  <c r="Y533" i="2"/>
  <c r="Y533" i="2" a="1"/>
  <c r="X533" i="2"/>
  <c r="BC532" i="2"/>
  <c r="BB532" i="2"/>
  <c r="BA532" i="2"/>
  <c r="AZ532" i="2"/>
  <c r="AY532" i="2"/>
  <c r="AS532" i="2"/>
  <c r="AR532" i="2"/>
  <c r="AQ532" i="2"/>
  <c r="AP532" i="2"/>
  <c r="AO532" i="2"/>
  <c r="AN532" i="2"/>
  <c r="AI532" i="2"/>
  <c r="AF532" i="2"/>
  <c r="AC532" i="2"/>
  <c r="AC532" i="2" a="1"/>
  <c r="AA532" i="2"/>
  <c r="AA532" i="2" a="1"/>
  <c r="Z532" i="2"/>
  <c r="Z532" i="2" a="1"/>
  <c r="Y532" i="2"/>
  <c r="Y532" i="2" a="1"/>
  <c r="X532" i="2"/>
  <c r="BC531" i="2"/>
  <c r="BB531" i="2"/>
  <c r="BA531" i="2"/>
  <c r="AZ531" i="2"/>
  <c r="AY531" i="2"/>
  <c r="AS531" i="2"/>
  <c r="AR531" i="2"/>
  <c r="AQ531" i="2"/>
  <c r="AP531" i="2"/>
  <c r="AO531" i="2"/>
  <c r="AN531" i="2"/>
  <c r="AI531" i="2"/>
  <c r="AF531" i="2"/>
  <c r="AC531" i="2"/>
  <c r="AC531" i="2" a="1"/>
  <c r="AA531" i="2"/>
  <c r="AA531" i="2" a="1"/>
  <c r="Z531" i="2"/>
  <c r="Z531" i="2" a="1"/>
  <c r="Y531" i="2"/>
  <c r="Y531" i="2" a="1"/>
  <c r="X531" i="2"/>
  <c r="BC530" i="2"/>
  <c r="BB530" i="2"/>
  <c r="BA530" i="2"/>
  <c r="AZ530" i="2"/>
  <c r="AY530" i="2"/>
  <c r="AS530" i="2"/>
  <c r="AR530" i="2"/>
  <c r="AQ530" i="2"/>
  <c r="AP530" i="2"/>
  <c r="AO530" i="2"/>
  <c r="AN530" i="2"/>
  <c r="AI530" i="2"/>
  <c r="AF530" i="2"/>
  <c r="AC530" i="2"/>
  <c r="AC530" i="2" a="1"/>
  <c r="AA530" i="2"/>
  <c r="AA530" i="2" a="1"/>
  <c r="Z530" i="2"/>
  <c r="Z530" i="2" a="1"/>
  <c r="Y530" i="2"/>
  <c r="Y530" i="2" a="1"/>
  <c r="X530" i="2"/>
  <c r="BC529" i="2"/>
  <c r="BB529" i="2"/>
  <c r="BA529" i="2"/>
  <c r="AZ529" i="2"/>
  <c r="AY529" i="2"/>
  <c r="AS529" i="2"/>
  <c r="AR529" i="2"/>
  <c r="AQ529" i="2"/>
  <c r="AP529" i="2"/>
  <c r="AO529" i="2"/>
  <c r="AN529" i="2"/>
  <c r="AI529" i="2"/>
  <c r="AF529" i="2"/>
  <c r="AC529" i="2"/>
  <c r="AC529" i="2" a="1"/>
  <c r="AA529" i="2"/>
  <c r="AA529" i="2" a="1"/>
  <c r="Z529" i="2"/>
  <c r="Z529" i="2" a="1"/>
  <c r="Y529" i="2"/>
  <c r="Y529" i="2" a="1"/>
  <c r="X529" i="2"/>
  <c r="BC528" i="2"/>
  <c r="BB528" i="2"/>
  <c r="BA528" i="2"/>
  <c r="AZ528" i="2"/>
  <c r="AY528" i="2"/>
  <c r="AS528" i="2"/>
  <c r="AR528" i="2"/>
  <c r="AQ528" i="2"/>
  <c r="AP528" i="2"/>
  <c r="AO528" i="2"/>
  <c r="AN528" i="2"/>
  <c r="AI528" i="2"/>
  <c r="AF528" i="2"/>
  <c r="AC528" i="2"/>
  <c r="AC528" i="2" a="1"/>
  <c r="AA528" i="2"/>
  <c r="AA528" i="2" a="1"/>
  <c r="Z528" i="2"/>
  <c r="Z528" i="2" a="1"/>
  <c r="Y528" i="2"/>
  <c r="Y528" i="2" a="1"/>
  <c r="X528" i="2"/>
  <c r="BC527" i="2"/>
  <c r="BB527" i="2"/>
  <c r="BA527" i="2"/>
  <c r="AZ527" i="2"/>
  <c r="AY527" i="2"/>
  <c r="AS527" i="2"/>
  <c r="AR527" i="2"/>
  <c r="AQ527" i="2"/>
  <c r="AP527" i="2"/>
  <c r="AO527" i="2"/>
  <c r="AN527" i="2"/>
  <c r="AI527" i="2"/>
  <c r="AF527" i="2"/>
  <c r="AC527" i="2"/>
  <c r="AC527" i="2" a="1"/>
  <c r="AA527" i="2"/>
  <c r="AA527" i="2" a="1"/>
  <c r="Z527" i="2"/>
  <c r="Z527" i="2" a="1"/>
  <c r="Y527" i="2"/>
  <c r="Y527" i="2" a="1"/>
  <c r="X527" i="2"/>
  <c r="BC526" i="2"/>
  <c r="BB526" i="2"/>
  <c r="BA526" i="2"/>
  <c r="AZ526" i="2"/>
  <c r="AY526" i="2"/>
  <c r="AS526" i="2"/>
  <c r="AR526" i="2"/>
  <c r="AQ526" i="2"/>
  <c r="AP526" i="2"/>
  <c r="AO526" i="2"/>
  <c r="AN526" i="2"/>
  <c r="AI526" i="2"/>
  <c r="AF526" i="2"/>
  <c r="AC526" i="2"/>
  <c r="AC526" i="2" a="1"/>
  <c r="AA526" i="2"/>
  <c r="AA526" i="2" a="1"/>
  <c r="Z526" i="2"/>
  <c r="Z526" i="2" a="1"/>
  <c r="Y526" i="2"/>
  <c r="Y526" i="2" a="1"/>
  <c r="X526" i="2"/>
  <c r="BC525" i="2"/>
  <c r="BB525" i="2"/>
  <c r="BA525" i="2"/>
  <c r="AZ525" i="2"/>
  <c r="AY525" i="2"/>
  <c r="AS525" i="2"/>
  <c r="AR525" i="2"/>
  <c r="AQ525" i="2"/>
  <c r="AP525" i="2"/>
  <c r="AO525" i="2"/>
  <c r="AN525" i="2"/>
  <c r="AI525" i="2"/>
  <c r="AF525" i="2"/>
  <c r="AC525" i="2"/>
  <c r="AC525" i="2" a="1"/>
  <c r="AA525" i="2"/>
  <c r="AA525" i="2" a="1"/>
  <c r="Z525" i="2"/>
  <c r="Z525" i="2" a="1"/>
  <c r="Y525" i="2"/>
  <c r="Y525" i="2" a="1"/>
  <c r="X525" i="2"/>
  <c r="BC524" i="2"/>
  <c r="BB524" i="2"/>
  <c r="BA524" i="2"/>
  <c r="AZ524" i="2"/>
  <c r="AY524" i="2"/>
  <c r="AS524" i="2"/>
  <c r="AR524" i="2"/>
  <c r="AQ524" i="2"/>
  <c r="AP524" i="2"/>
  <c r="AO524" i="2"/>
  <c r="AN524" i="2"/>
  <c r="AI524" i="2"/>
  <c r="AF524" i="2"/>
  <c r="AC524" i="2"/>
  <c r="AC524" i="2" a="1"/>
  <c r="AA524" i="2"/>
  <c r="AA524" i="2" a="1"/>
  <c r="Z524" i="2"/>
  <c r="Z524" i="2" a="1"/>
  <c r="Y524" i="2"/>
  <c r="Y524" i="2" a="1"/>
  <c r="X524" i="2"/>
  <c r="BC523" i="2"/>
  <c r="BB523" i="2"/>
  <c r="BA523" i="2"/>
  <c r="AZ523" i="2"/>
  <c r="AY523" i="2"/>
  <c r="AS523" i="2"/>
  <c r="AR523" i="2"/>
  <c r="AQ523" i="2"/>
  <c r="AP523" i="2"/>
  <c r="AO523" i="2"/>
  <c r="AN523" i="2"/>
  <c r="AI523" i="2"/>
  <c r="AF523" i="2"/>
  <c r="AC523" i="2"/>
  <c r="AC523" i="2" a="1"/>
  <c r="AA523" i="2"/>
  <c r="AA523" i="2" a="1"/>
  <c r="Z523" i="2"/>
  <c r="Z523" i="2" a="1"/>
  <c r="Y523" i="2"/>
  <c r="Y523" i="2" a="1"/>
  <c r="X523" i="2"/>
  <c r="BC522" i="2"/>
  <c r="BB522" i="2"/>
  <c r="BA522" i="2"/>
  <c r="AZ522" i="2"/>
  <c r="AY522" i="2"/>
  <c r="AS522" i="2"/>
  <c r="AR522" i="2"/>
  <c r="AQ522" i="2"/>
  <c r="AP522" i="2"/>
  <c r="AO522" i="2"/>
  <c r="AN522" i="2"/>
  <c r="AI522" i="2"/>
  <c r="AF522" i="2"/>
  <c r="AC522" i="2"/>
  <c r="AC522" i="2" a="1"/>
  <c r="AA522" i="2"/>
  <c r="AA522" i="2" a="1"/>
  <c r="Z522" i="2"/>
  <c r="Z522" i="2" a="1"/>
  <c r="Y522" i="2"/>
  <c r="Y522" i="2" a="1"/>
  <c r="X522" i="2"/>
  <c r="BC521" i="2"/>
  <c r="BB521" i="2"/>
  <c r="BA521" i="2"/>
  <c r="AZ521" i="2"/>
  <c r="AY521" i="2"/>
  <c r="AS521" i="2"/>
  <c r="AR521" i="2"/>
  <c r="AQ521" i="2"/>
  <c r="AP521" i="2"/>
  <c r="AO521" i="2"/>
  <c r="AN521" i="2"/>
  <c r="AI521" i="2"/>
  <c r="AF521" i="2"/>
  <c r="AC521" i="2"/>
  <c r="AC521" i="2" a="1"/>
  <c r="AA521" i="2"/>
  <c r="AA521" i="2" a="1"/>
  <c r="Z521" i="2"/>
  <c r="Z521" i="2" a="1"/>
  <c r="Y521" i="2"/>
  <c r="Y521" i="2" a="1"/>
  <c r="X521" i="2"/>
  <c r="BC520" i="2"/>
  <c r="BB520" i="2"/>
  <c r="BA520" i="2"/>
  <c r="AZ520" i="2"/>
  <c r="AY520" i="2"/>
  <c r="AS520" i="2"/>
  <c r="AR520" i="2"/>
  <c r="AQ520" i="2"/>
  <c r="AP520" i="2"/>
  <c r="AO520" i="2"/>
  <c r="AN520" i="2"/>
  <c r="AI520" i="2"/>
  <c r="AF520" i="2"/>
  <c r="AC520" i="2"/>
  <c r="AC520" i="2" a="1"/>
  <c r="AA520" i="2"/>
  <c r="AA520" i="2" a="1"/>
  <c r="Z520" i="2"/>
  <c r="Z520" i="2" a="1"/>
  <c r="Y520" i="2"/>
  <c r="Y520" i="2" a="1"/>
  <c r="X520" i="2"/>
  <c r="BC519" i="2"/>
  <c r="BB519" i="2"/>
  <c r="BA519" i="2"/>
  <c r="AZ519" i="2"/>
  <c r="AY519" i="2"/>
  <c r="AS519" i="2"/>
  <c r="AR519" i="2"/>
  <c r="AQ519" i="2"/>
  <c r="AP519" i="2"/>
  <c r="AO519" i="2"/>
  <c r="AN519" i="2"/>
  <c r="AI519" i="2"/>
  <c r="AF519" i="2"/>
  <c r="AC519" i="2"/>
  <c r="AC519" i="2" a="1"/>
  <c r="AA519" i="2"/>
  <c r="AA519" i="2" a="1"/>
  <c r="Z519" i="2"/>
  <c r="Z519" i="2" a="1"/>
  <c r="Y519" i="2"/>
  <c r="Y519" i="2" a="1"/>
  <c r="X519" i="2"/>
  <c r="BC518" i="2"/>
  <c r="BB518" i="2"/>
  <c r="BA518" i="2"/>
  <c r="AZ518" i="2"/>
  <c r="AY518" i="2"/>
  <c r="AS518" i="2"/>
  <c r="AR518" i="2"/>
  <c r="AQ518" i="2"/>
  <c r="AP518" i="2"/>
  <c r="AO518" i="2"/>
  <c r="AN518" i="2"/>
  <c r="AI518" i="2"/>
  <c r="AF518" i="2"/>
  <c r="AC518" i="2"/>
  <c r="AC518" i="2" a="1"/>
  <c r="AA518" i="2"/>
  <c r="AA518" i="2" a="1"/>
  <c r="Z518" i="2"/>
  <c r="Z518" i="2" a="1"/>
  <c r="Y518" i="2"/>
  <c r="Y518" i="2" a="1"/>
  <c r="X518" i="2"/>
  <c r="BC517" i="2"/>
  <c r="BB517" i="2"/>
  <c r="BA517" i="2"/>
  <c r="AZ517" i="2"/>
  <c r="AY517" i="2"/>
  <c r="AS517" i="2"/>
  <c r="AR517" i="2"/>
  <c r="AQ517" i="2"/>
  <c r="AP517" i="2"/>
  <c r="AO517" i="2"/>
  <c r="AN517" i="2"/>
  <c r="AI517" i="2"/>
  <c r="AF517" i="2"/>
  <c r="AC517" i="2"/>
  <c r="AC517" i="2" a="1"/>
  <c r="AA517" i="2"/>
  <c r="AA517" i="2" a="1"/>
  <c r="Z517" i="2"/>
  <c r="Z517" i="2" a="1"/>
  <c r="Y517" i="2"/>
  <c r="Y517" i="2" a="1"/>
  <c r="X517" i="2"/>
  <c r="BC516" i="2"/>
  <c r="BB516" i="2"/>
  <c r="BA516" i="2"/>
  <c r="AZ516" i="2"/>
  <c r="AY516" i="2"/>
  <c r="AS516" i="2"/>
  <c r="AR516" i="2"/>
  <c r="AQ516" i="2"/>
  <c r="AP516" i="2"/>
  <c r="AO516" i="2"/>
  <c r="AN516" i="2"/>
  <c r="AI516" i="2"/>
  <c r="AF516" i="2"/>
  <c r="AC516" i="2"/>
  <c r="AC516" i="2" a="1"/>
  <c r="AA516" i="2"/>
  <c r="AA516" i="2" a="1"/>
  <c r="Z516" i="2"/>
  <c r="Z516" i="2" a="1"/>
  <c r="Y516" i="2"/>
  <c r="Y516" i="2" a="1"/>
  <c r="X516" i="2"/>
  <c r="BC515" i="2"/>
  <c r="BB515" i="2"/>
  <c r="BA515" i="2"/>
  <c r="AZ515" i="2"/>
  <c r="AY515" i="2"/>
  <c r="AS515" i="2"/>
  <c r="AR515" i="2"/>
  <c r="AQ515" i="2"/>
  <c r="AP515" i="2"/>
  <c r="AO515" i="2"/>
  <c r="AN515" i="2"/>
  <c r="AI515" i="2"/>
  <c r="AF515" i="2"/>
  <c r="AC515" i="2"/>
  <c r="AC515" i="2" a="1"/>
  <c r="AA515" i="2"/>
  <c r="AA515" i="2" a="1"/>
  <c r="Z515" i="2"/>
  <c r="Z515" i="2" a="1"/>
  <c r="Y515" i="2"/>
  <c r="Y515" i="2" a="1"/>
  <c r="X515" i="2"/>
  <c r="BC514" i="2"/>
  <c r="BB514" i="2"/>
  <c r="BA514" i="2"/>
  <c r="AZ514" i="2"/>
  <c r="AY514" i="2"/>
  <c r="AS514" i="2"/>
  <c r="AR514" i="2"/>
  <c r="AQ514" i="2"/>
  <c r="AP514" i="2"/>
  <c r="AO514" i="2"/>
  <c r="AN514" i="2"/>
  <c r="AI514" i="2"/>
  <c r="AF514" i="2"/>
  <c r="AC514" i="2"/>
  <c r="AC514" i="2" a="1"/>
  <c r="AA514" i="2"/>
  <c r="AA514" i="2" a="1"/>
  <c r="Z514" i="2"/>
  <c r="Z514" i="2" a="1"/>
  <c r="Y514" i="2"/>
  <c r="Y514" i="2" a="1"/>
  <c r="X514" i="2"/>
  <c r="BC513" i="2"/>
  <c r="BB513" i="2"/>
  <c r="BA513" i="2"/>
  <c r="AZ513" i="2"/>
  <c r="AY513" i="2"/>
  <c r="AS513" i="2"/>
  <c r="AR513" i="2"/>
  <c r="AQ513" i="2"/>
  <c r="AP513" i="2"/>
  <c r="AO513" i="2"/>
  <c r="AN513" i="2"/>
  <c r="AI513" i="2"/>
  <c r="AF513" i="2"/>
  <c r="AC513" i="2"/>
  <c r="AC513" i="2" a="1"/>
  <c r="AA513" i="2"/>
  <c r="AA513" i="2" a="1"/>
  <c r="Z513" i="2"/>
  <c r="Z513" i="2" a="1"/>
  <c r="Y513" i="2"/>
  <c r="Y513" i="2" a="1"/>
  <c r="X513" i="2"/>
  <c r="BC512" i="2"/>
  <c r="BB512" i="2"/>
  <c r="BA512" i="2"/>
  <c r="AZ512" i="2"/>
  <c r="AY512" i="2"/>
  <c r="AS512" i="2"/>
  <c r="AR512" i="2"/>
  <c r="AQ512" i="2"/>
  <c r="AP512" i="2"/>
  <c r="AO512" i="2"/>
  <c r="AN512" i="2"/>
  <c r="AI512" i="2"/>
  <c r="AF512" i="2"/>
  <c r="AC512" i="2"/>
  <c r="AC512" i="2" a="1"/>
  <c r="AA512" i="2"/>
  <c r="AA512" i="2" a="1"/>
  <c r="Z512" i="2"/>
  <c r="Z512" i="2" a="1"/>
  <c r="Y512" i="2"/>
  <c r="Y512" i="2" a="1"/>
  <c r="X512" i="2"/>
  <c r="BC511" i="2"/>
  <c r="BB511" i="2"/>
  <c r="BA511" i="2"/>
  <c r="AZ511" i="2"/>
  <c r="AY511" i="2"/>
  <c r="AS511" i="2"/>
  <c r="AR511" i="2"/>
  <c r="AQ511" i="2"/>
  <c r="AP511" i="2"/>
  <c r="AO511" i="2"/>
  <c r="AN511" i="2"/>
  <c r="AI511" i="2"/>
  <c r="AF511" i="2"/>
  <c r="AC511" i="2"/>
  <c r="AC511" i="2" a="1"/>
  <c r="AA511" i="2"/>
  <c r="AA511" i="2" a="1"/>
  <c r="Z511" i="2"/>
  <c r="Z511" i="2" a="1"/>
  <c r="Y511" i="2"/>
  <c r="Y511" i="2" a="1"/>
  <c r="X511" i="2"/>
  <c r="BC510" i="2"/>
  <c r="BB510" i="2"/>
  <c r="BA510" i="2"/>
  <c r="AZ510" i="2"/>
  <c r="AY510" i="2"/>
  <c r="AS510" i="2"/>
  <c r="AR510" i="2"/>
  <c r="AQ510" i="2"/>
  <c r="AP510" i="2"/>
  <c r="AO510" i="2"/>
  <c r="AN510" i="2"/>
  <c r="AI510" i="2"/>
  <c r="AF510" i="2"/>
  <c r="AC510" i="2"/>
  <c r="AC510" i="2" a="1"/>
  <c r="AA510" i="2"/>
  <c r="AA510" i="2" a="1"/>
  <c r="Z510" i="2"/>
  <c r="Z510" i="2" a="1"/>
  <c r="Y510" i="2"/>
  <c r="Y510" i="2" a="1"/>
  <c r="X510" i="2"/>
  <c r="BC509" i="2"/>
  <c r="BB509" i="2"/>
  <c r="BA509" i="2"/>
  <c r="AZ509" i="2"/>
  <c r="AY509" i="2"/>
  <c r="AS509" i="2"/>
  <c r="AR509" i="2"/>
  <c r="AQ509" i="2"/>
  <c r="AP509" i="2"/>
  <c r="AO509" i="2"/>
  <c r="AN509" i="2"/>
  <c r="AI509" i="2"/>
  <c r="AF509" i="2"/>
  <c r="AC509" i="2"/>
  <c r="AC509" i="2" a="1"/>
  <c r="AA509" i="2"/>
  <c r="AA509" i="2" a="1"/>
  <c r="Z509" i="2"/>
  <c r="Z509" i="2" a="1"/>
  <c r="Y509" i="2"/>
  <c r="Y509" i="2" a="1"/>
  <c r="X509" i="2"/>
  <c r="BC508" i="2"/>
  <c r="BB508" i="2"/>
  <c r="BA508" i="2"/>
  <c r="AZ508" i="2"/>
  <c r="AY508" i="2"/>
  <c r="AS508" i="2"/>
  <c r="AR508" i="2"/>
  <c r="AQ508" i="2"/>
  <c r="AP508" i="2"/>
  <c r="AO508" i="2"/>
  <c r="AN508" i="2"/>
  <c r="AI508" i="2"/>
  <c r="AF508" i="2"/>
  <c r="AC508" i="2"/>
  <c r="AC508" i="2" a="1"/>
  <c r="AA508" i="2"/>
  <c r="AA508" i="2" a="1"/>
  <c r="Z508" i="2"/>
  <c r="Z508" i="2" a="1"/>
  <c r="Y508" i="2"/>
  <c r="Y508" i="2" a="1"/>
  <c r="X508" i="2"/>
  <c r="BI507" i="2"/>
  <c r="BI507" i="2" a="1"/>
  <c r="BC507" i="2"/>
  <c r="BB507" i="2"/>
  <c r="BA507" i="2"/>
  <c r="AZ507" i="2"/>
  <c r="AY507" i="2"/>
  <c r="AS507" i="2"/>
  <c r="AR507" i="2"/>
  <c r="AQ507" i="2"/>
  <c r="AP507" i="2"/>
  <c r="AO507" i="2"/>
  <c r="AN507" i="2"/>
  <c r="AI507" i="2"/>
  <c r="AF507" i="2"/>
  <c r="AC507" i="2"/>
  <c r="AC507" i="2" a="1"/>
  <c r="AA507" i="2"/>
  <c r="AA507" i="2" a="1"/>
  <c r="Z507" i="2"/>
  <c r="Z507" i="2" a="1"/>
  <c r="Y507" i="2"/>
  <c r="Y507" i="2" a="1"/>
  <c r="X507" i="2"/>
  <c r="BI506" i="2"/>
  <c r="BI506" i="2" a="1"/>
  <c r="BC506" i="2"/>
  <c r="BB506" i="2"/>
  <c r="BA506" i="2"/>
  <c r="AZ506" i="2"/>
  <c r="AY506" i="2"/>
  <c r="AS506" i="2"/>
  <c r="AR506" i="2"/>
  <c r="AQ506" i="2"/>
  <c r="AP506" i="2"/>
  <c r="AO506" i="2"/>
  <c r="AN506" i="2"/>
  <c r="AI506" i="2"/>
  <c r="AF506" i="2"/>
  <c r="AC506" i="2"/>
  <c r="AC506" i="2" a="1"/>
  <c r="AA506" i="2"/>
  <c r="AA506" i="2" a="1"/>
  <c r="Z506" i="2"/>
  <c r="Z506" i="2" a="1"/>
  <c r="Y506" i="2"/>
  <c r="Y506" i="2" a="1"/>
  <c r="X506" i="2"/>
  <c r="BC505" i="2"/>
  <c r="BB505" i="2"/>
  <c r="BA505" i="2"/>
  <c r="AZ505" i="2"/>
  <c r="AY505" i="2"/>
  <c r="AS505" i="2"/>
  <c r="AR505" i="2"/>
  <c r="AQ505" i="2"/>
  <c r="AP505" i="2"/>
  <c r="AO505" i="2"/>
  <c r="AN505" i="2"/>
  <c r="AI505" i="2"/>
  <c r="AF505" i="2"/>
  <c r="AC505" i="2"/>
  <c r="AC505" i="2" a="1"/>
  <c r="AA505" i="2"/>
  <c r="AA505" i="2" a="1"/>
  <c r="Z505" i="2"/>
  <c r="Z505" i="2" a="1"/>
  <c r="Y505" i="2"/>
  <c r="Y505" i="2" a="1"/>
  <c r="X505" i="2"/>
  <c r="BC504" i="2"/>
  <c r="BB504" i="2"/>
  <c r="BA504" i="2"/>
  <c r="AZ504" i="2"/>
  <c r="AY504" i="2"/>
  <c r="AS504" i="2"/>
  <c r="AR504" i="2"/>
  <c r="AQ504" i="2"/>
  <c r="AP504" i="2"/>
  <c r="AO504" i="2"/>
  <c r="AN504" i="2"/>
  <c r="AI504" i="2"/>
  <c r="AF504" i="2"/>
  <c r="AC504" i="2"/>
  <c r="AC504" i="2" a="1"/>
  <c r="AA504" i="2"/>
  <c r="AA504" i="2" a="1"/>
  <c r="Z504" i="2"/>
  <c r="Z504" i="2" a="1"/>
  <c r="Y504" i="2"/>
  <c r="Y504" i="2" a="1"/>
  <c r="X504" i="2"/>
  <c r="BC503" i="2"/>
  <c r="BB503" i="2"/>
  <c r="BA503" i="2"/>
  <c r="AZ503" i="2"/>
  <c r="AY503" i="2"/>
  <c r="AS503" i="2"/>
  <c r="AR503" i="2"/>
  <c r="AQ503" i="2"/>
  <c r="AP503" i="2"/>
  <c r="AO503" i="2"/>
  <c r="AN503" i="2"/>
  <c r="AI503" i="2"/>
  <c r="AF503" i="2"/>
  <c r="AC503" i="2"/>
  <c r="AC503" i="2" a="1"/>
  <c r="AA503" i="2"/>
  <c r="AA503" i="2" a="1"/>
  <c r="Z503" i="2"/>
  <c r="Z503" i="2" a="1"/>
  <c r="Y503" i="2"/>
  <c r="Y503" i="2" a="1"/>
  <c r="X503" i="2"/>
  <c r="BC502" i="2"/>
  <c r="BB502" i="2"/>
  <c r="BA502" i="2"/>
  <c r="AZ502" i="2"/>
  <c r="AY502" i="2"/>
  <c r="AS502" i="2"/>
  <c r="AR502" i="2"/>
  <c r="AQ502" i="2"/>
  <c r="AP502" i="2"/>
  <c r="AO502" i="2"/>
  <c r="AN502" i="2"/>
  <c r="AI502" i="2"/>
  <c r="AF502" i="2"/>
  <c r="AC502" i="2"/>
  <c r="AC502" i="2" a="1"/>
  <c r="AA502" i="2"/>
  <c r="AA502" i="2" a="1"/>
  <c r="Z502" i="2"/>
  <c r="Z502" i="2" a="1"/>
  <c r="Y502" i="2"/>
  <c r="Y502" i="2" a="1"/>
  <c r="X502" i="2"/>
  <c r="BC501" i="2"/>
  <c r="BB501" i="2"/>
  <c r="BA501" i="2"/>
  <c r="AZ501" i="2"/>
  <c r="AY501" i="2"/>
  <c r="AS501" i="2"/>
  <c r="AR501" i="2"/>
  <c r="AQ501" i="2"/>
  <c r="AP501" i="2"/>
  <c r="AO501" i="2"/>
  <c r="AN501" i="2"/>
  <c r="AI501" i="2"/>
  <c r="AF501" i="2"/>
  <c r="AC501" i="2"/>
  <c r="AC501" i="2" a="1"/>
  <c r="AA501" i="2"/>
  <c r="AA501" i="2" a="1"/>
  <c r="Z501" i="2"/>
  <c r="Z501" i="2" a="1"/>
  <c r="Y501" i="2"/>
  <c r="Y501" i="2" a="1"/>
  <c r="X501" i="2"/>
  <c r="BC500" i="2"/>
  <c r="BB500" i="2"/>
  <c r="BA500" i="2"/>
  <c r="AZ500" i="2"/>
  <c r="AY500" i="2"/>
  <c r="AS500" i="2"/>
  <c r="AR500" i="2"/>
  <c r="AQ500" i="2"/>
  <c r="AP500" i="2"/>
  <c r="AO500" i="2"/>
  <c r="AN500" i="2"/>
  <c r="AI500" i="2"/>
  <c r="AF500" i="2"/>
  <c r="AC500" i="2"/>
  <c r="AC500" i="2" a="1"/>
  <c r="AA500" i="2"/>
  <c r="AA500" i="2" a="1"/>
  <c r="Z500" i="2"/>
  <c r="Z500" i="2" a="1"/>
  <c r="Y500" i="2"/>
  <c r="Y500" i="2" a="1"/>
  <c r="X500" i="2"/>
  <c r="BC499" i="2"/>
  <c r="BB499" i="2"/>
  <c r="BA499" i="2"/>
  <c r="AZ499" i="2"/>
  <c r="AY499" i="2"/>
  <c r="AS499" i="2"/>
  <c r="AR499" i="2"/>
  <c r="AQ499" i="2"/>
  <c r="AP499" i="2"/>
  <c r="AO499" i="2"/>
  <c r="AN499" i="2"/>
  <c r="AI499" i="2"/>
  <c r="AF499" i="2"/>
  <c r="AC499" i="2"/>
  <c r="AC499" i="2" a="1"/>
  <c r="AA499" i="2"/>
  <c r="AA499" i="2" a="1"/>
  <c r="Z499" i="2"/>
  <c r="Z499" i="2" a="1"/>
  <c r="Y499" i="2"/>
  <c r="Y499" i="2" a="1"/>
  <c r="X499" i="2"/>
  <c r="BC498" i="2"/>
  <c r="BB498" i="2"/>
  <c r="BA498" i="2"/>
  <c r="AZ498" i="2"/>
  <c r="AY498" i="2"/>
  <c r="AS498" i="2"/>
  <c r="AR498" i="2"/>
  <c r="AQ498" i="2"/>
  <c r="AP498" i="2"/>
  <c r="AO498" i="2"/>
  <c r="AN498" i="2"/>
  <c r="AI498" i="2"/>
  <c r="AF498" i="2"/>
  <c r="AC498" i="2"/>
  <c r="AC498" i="2" a="1"/>
  <c r="AA498" i="2"/>
  <c r="AA498" i="2" a="1"/>
  <c r="Z498" i="2"/>
  <c r="Z498" i="2" a="1"/>
  <c r="Y498" i="2"/>
  <c r="Y498" i="2" a="1"/>
  <c r="X498" i="2"/>
  <c r="BC497" i="2"/>
  <c r="BB497" i="2"/>
  <c r="BA497" i="2"/>
  <c r="AZ497" i="2"/>
  <c r="AY497" i="2"/>
  <c r="AS497" i="2"/>
  <c r="AR497" i="2"/>
  <c r="AQ497" i="2"/>
  <c r="AP497" i="2"/>
  <c r="AO497" i="2"/>
  <c r="AN497" i="2"/>
  <c r="AI497" i="2"/>
  <c r="AF497" i="2"/>
  <c r="AC497" i="2"/>
  <c r="AC497" i="2" a="1"/>
  <c r="AA497" i="2"/>
  <c r="AA497" i="2" a="1"/>
  <c r="Z497" i="2"/>
  <c r="Z497" i="2" a="1"/>
  <c r="Y497" i="2"/>
  <c r="Y497" i="2" a="1"/>
  <c r="X497" i="2"/>
  <c r="BC496" i="2"/>
  <c r="BB496" i="2"/>
  <c r="BA496" i="2"/>
  <c r="AZ496" i="2"/>
  <c r="AY496" i="2"/>
  <c r="AS496" i="2"/>
  <c r="AR496" i="2"/>
  <c r="AQ496" i="2"/>
  <c r="AP496" i="2"/>
  <c r="AO496" i="2"/>
  <c r="AN496" i="2"/>
  <c r="AI496" i="2"/>
  <c r="AF496" i="2"/>
  <c r="AC496" i="2"/>
  <c r="AC496" i="2" a="1"/>
  <c r="AA496" i="2"/>
  <c r="AA496" i="2" a="1"/>
  <c r="Z496" i="2"/>
  <c r="Z496" i="2" a="1"/>
  <c r="Y496" i="2"/>
  <c r="Y496" i="2" a="1"/>
  <c r="X496" i="2"/>
  <c r="BC495" i="2"/>
  <c r="BB495" i="2"/>
  <c r="BA495" i="2"/>
  <c r="AZ495" i="2"/>
  <c r="AY495" i="2"/>
  <c r="AS495" i="2"/>
  <c r="AR495" i="2"/>
  <c r="AQ495" i="2"/>
  <c r="AP495" i="2"/>
  <c r="AO495" i="2"/>
  <c r="AN495" i="2"/>
  <c r="AI495" i="2"/>
  <c r="AF495" i="2"/>
  <c r="AC495" i="2"/>
  <c r="AC495" i="2" a="1"/>
  <c r="AA495" i="2"/>
  <c r="AA495" i="2" a="1"/>
  <c r="Z495" i="2"/>
  <c r="Z495" i="2" a="1"/>
  <c r="Y495" i="2"/>
  <c r="Y495" i="2" a="1"/>
  <c r="X495" i="2"/>
  <c r="BC494" i="2"/>
  <c r="BB494" i="2"/>
  <c r="BA494" i="2"/>
  <c r="AZ494" i="2"/>
  <c r="AY494" i="2"/>
  <c r="AS494" i="2"/>
  <c r="AR494" i="2"/>
  <c r="AQ494" i="2"/>
  <c r="AP494" i="2"/>
  <c r="AO494" i="2"/>
  <c r="AN494" i="2"/>
  <c r="AI494" i="2"/>
  <c r="AF494" i="2"/>
  <c r="AC494" i="2"/>
  <c r="AC494" i="2" a="1"/>
  <c r="AA494" i="2"/>
  <c r="AA494" i="2" a="1"/>
  <c r="Z494" i="2"/>
  <c r="Z494" i="2" a="1"/>
  <c r="Y494" i="2"/>
  <c r="Y494" i="2" a="1"/>
  <c r="X494" i="2"/>
  <c r="BC493" i="2"/>
  <c r="BB493" i="2"/>
  <c r="BA493" i="2"/>
  <c r="AZ493" i="2"/>
  <c r="AY493" i="2"/>
  <c r="AS493" i="2"/>
  <c r="AR493" i="2"/>
  <c r="AQ493" i="2"/>
  <c r="AP493" i="2"/>
  <c r="AO493" i="2"/>
  <c r="AN493" i="2"/>
  <c r="AI493" i="2"/>
  <c r="AF493" i="2"/>
  <c r="AC493" i="2"/>
  <c r="AC493" i="2" a="1"/>
  <c r="AA493" i="2"/>
  <c r="AA493" i="2" a="1"/>
  <c r="Z493" i="2"/>
  <c r="Z493" i="2" a="1"/>
  <c r="Y493" i="2"/>
  <c r="Y493" i="2" a="1"/>
  <c r="X493" i="2"/>
  <c r="BC492" i="2"/>
  <c r="BB492" i="2"/>
  <c r="BA492" i="2"/>
  <c r="AZ492" i="2"/>
  <c r="AY492" i="2"/>
  <c r="AS492" i="2"/>
  <c r="AR492" i="2"/>
  <c r="AQ492" i="2"/>
  <c r="AP492" i="2"/>
  <c r="AO492" i="2"/>
  <c r="AN492" i="2"/>
  <c r="AI492" i="2"/>
  <c r="AF492" i="2"/>
  <c r="AC492" i="2"/>
  <c r="AC492" i="2" a="1"/>
  <c r="AA492" i="2"/>
  <c r="AA492" i="2" a="1"/>
  <c r="Z492" i="2"/>
  <c r="Z492" i="2" a="1"/>
  <c r="Y492" i="2"/>
  <c r="Y492" i="2" a="1"/>
  <c r="X492" i="2"/>
  <c r="BC491" i="2"/>
  <c r="BB491" i="2"/>
  <c r="BA491" i="2"/>
  <c r="AZ491" i="2"/>
  <c r="AY491" i="2"/>
  <c r="AS491" i="2"/>
  <c r="AR491" i="2"/>
  <c r="AQ491" i="2"/>
  <c r="AP491" i="2"/>
  <c r="AO491" i="2"/>
  <c r="AN491" i="2"/>
  <c r="AI491" i="2"/>
  <c r="AF491" i="2"/>
  <c r="AC491" i="2"/>
  <c r="AC491" i="2" a="1"/>
  <c r="AA491" i="2"/>
  <c r="AA491" i="2" a="1"/>
  <c r="Z491" i="2"/>
  <c r="Z491" i="2" a="1"/>
  <c r="Y491" i="2"/>
  <c r="Y491" i="2" a="1"/>
  <c r="X491" i="2"/>
  <c r="BC490" i="2"/>
  <c r="BB490" i="2"/>
  <c r="BA490" i="2"/>
  <c r="AZ490" i="2"/>
  <c r="AY490" i="2"/>
  <c r="AS490" i="2"/>
  <c r="AR490" i="2"/>
  <c r="AQ490" i="2"/>
  <c r="AP490" i="2"/>
  <c r="AO490" i="2"/>
  <c r="AN490" i="2"/>
  <c r="AI490" i="2"/>
  <c r="AF490" i="2"/>
  <c r="AC490" i="2"/>
  <c r="AC490" i="2" a="1"/>
  <c r="AA490" i="2"/>
  <c r="AA490" i="2" a="1"/>
  <c r="Z490" i="2"/>
  <c r="Z490" i="2" a="1"/>
  <c r="Y490" i="2"/>
  <c r="Y490" i="2" a="1"/>
  <c r="X490" i="2"/>
  <c r="BC489" i="2"/>
  <c r="BB489" i="2"/>
  <c r="BA489" i="2"/>
  <c r="AZ489" i="2"/>
  <c r="AY489" i="2"/>
  <c r="AS489" i="2"/>
  <c r="AR489" i="2"/>
  <c r="AQ489" i="2"/>
  <c r="AP489" i="2"/>
  <c r="AO489" i="2"/>
  <c r="AN489" i="2"/>
  <c r="AI489" i="2"/>
  <c r="AF489" i="2"/>
  <c r="AC489" i="2"/>
  <c r="AC489" i="2" a="1"/>
  <c r="AA489" i="2"/>
  <c r="AA489" i="2" a="1"/>
  <c r="Z489" i="2"/>
  <c r="Z489" i="2" a="1"/>
  <c r="Y489" i="2"/>
  <c r="Y489" i="2" a="1"/>
  <c r="X489" i="2"/>
  <c r="BC488" i="2"/>
  <c r="BB488" i="2"/>
  <c r="BA488" i="2"/>
  <c r="AZ488" i="2"/>
  <c r="AY488" i="2"/>
  <c r="AS488" i="2"/>
  <c r="AR488" i="2"/>
  <c r="AQ488" i="2"/>
  <c r="AP488" i="2"/>
  <c r="AO488" i="2"/>
  <c r="AN488" i="2"/>
  <c r="AI488" i="2"/>
  <c r="AF488" i="2"/>
  <c r="AC488" i="2"/>
  <c r="AC488" i="2" a="1"/>
  <c r="AA488" i="2"/>
  <c r="AA488" i="2" a="1"/>
  <c r="Z488" i="2"/>
  <c r="Z488" i="2" a="1"/>
  <c r="Y488" i="2"/>
  <c r="Y488" i="2" a="1"/>
  <c r="X488" i="2"/>
  <c r="BI487" i="2"/>
  <c r="BI487" i="2" a="1"/>
  <c r="BC487" i="2"/>
  <c r="BB487" i="2"/>
  <c r="BA487" i="2"/>
  <c r="AZ487" i="2"/>
  <c r="AY487" i="2"/>
  <c r="AS487" i="2"/>
  <c r="AR487" i="2"/>
  <c r="AQ487" i="2"/>
  <c r="AP487" i="2"/>
  <c r="AO487" i="2"/>
  <c r="AN487" i="2"/>
  <c r="AI487" i="2"/>
  <c r="AF487" i="2"/>
  <c r="AC487" i="2"/>
  <c r="AC487" i="2" a="1"/>
  <c r="AA487" i="2"/>
  <c r="AA487" i="2" a="1"/>
  <c r="Z487" i="2"/>
  <c r="Z487" i="2" a="1"/>
  <c r="Y487" i="2"/>
  <c r="Y487" i="2" a="1"/>
  <c r="X487" i="2"/>
  <c r="BH486" i="2"/>
  <c r="BC486" i="2"/>
  <c r="BB486" i="2"/>
  <c r="BA486" i="2"/>
  <c r="AZ486" i="2"/>
  <c r="AY486" i="2"/>
  <c r="AS486" i="2"/>
  <c r="AR486" i="2"/>
  <c r="AQ486" i="2"/>
  <c r="AP486" i="2"/>
  <c r="AO486" i="2"/>
  <c r="AN486" i="2"/>
  <c r="AI486" i="2"/>
  <c r="AF486" i="2"/>
  <c r="AC486" i="2"/>
  <c r="AC486" i="2" a="1"/>
  <c r="AA486" i="2"/>
  <c r="AA486" i="2" a="1"/>
  <c r="Z486" i="2"/>
  <c r="Z486" i="2" a="1"/>
  <c r="Y486" i="2"/>
  <c r="Y486" i="2" a="1"/>
  <c r="X486" i="2"/>
  <c r="BH485" i="2"/>
  <c r="BC485" i="2"/>
  <c r="BB485" i="2"/>
  <c r="BA485" i="2"/>
  <c r="AZ485" i="2"/>
  <c r="AY485" i="2"/>
  <c r="AS485" i="2"/>
  <c r="AR485" i="2"/>
  <c r="AQ485" i="2"/>
  <c r="AP485" i="2"/>
  <c r="AO485" i="2"/>
  <c r="AN485" i="2"/>
  <c r="AI485" i="2"/>
  <c r="AF485" i="2"/>
  <c r="AC485" i="2"/>
  <c r="AC485" i="2" a="1"/>
  <c r="AA485" i="2"/>
  <c r="AA485" i="2" a="1"/>
  <c r="Z485" i="2"/>
  <c r="Z485" i="2" a="1"/>
  <c r="Y485" i="2"/>
  <c r="Y485" i="2" a="1"/>
  <c r="X485" i="2"/>
  <c r="BH484" i="2"/>
  <c r="BC484" i="2"/>
  <c r="BB484" i="2"/>
  <c r="BA484" i="2"/>
  <c r="AZ484" i="2"/>
  <c r="AY484" i="2"/>
  <c r="AS484" i="2"/>
  <c r="AR484" i="2"/>
  <c r="AQ484" i="2"/>
  <c r="AP484" i="2"/>
  <c r="AO484" i="2"/>
  <c r="AN484" i="2"/>
  <c r="AI484" i="2"/>
  <c r="AF484" i="2"/>
  <c r="AC484" i="2"/>
  <c r="AC484" i="2" a="1"/>
  <c r="AA484" i="2"/>
  <c r="AA484" i="2" a="1"/>
  <c r="Z484" i="2"/>
  <c r="Z484" i="2" a="1"/>
  <c r="Y484" i="2"/>
  <c r="Y484" i="2" a="1"/>
  <c r="X484" i="2"/>
  <c r="BH483" i="2"/>
  <c r="BC483" i="2"/>
  <c r="BB483" i="2"/>
  <c r="BA483" i="2"/>
  <c r="AZ483" i="2"/>
  <c r="AY483" i="2"/>
  <c r="AS483" i="2"/>
  <c r="AR483" i="2"/>
  <c r="AQ483" i="2"/>
  <c r="AP483" i="2"/>
  <c r="AO483" i="2"/>
  <c r="AN483" i="2"/>
  <c r="AI483" i="2"/>
  <c r="AF483" i="2"/>
  <c r="AC483" i="2"/>
  <c r="AC483" i="2" a="1"/>
  <c r="AA483" i="2"/>
  <c r="AA483" i="2" a="1"/>
  <c r="Z483" i="2"/>
  <c r="Z483" i="2" a="1"/>
  <c r="Y483" i="2"/>
  <c r="Y483" i="2" a="1"/>
  <c r="X483" i="2"/>
  <c r="BH482" i="2"/>
  <c r="BC482" i="2"/>
  <c r="BB482" i="2"/>
  <c r="BA482" i="2"/>
  <c r="AZ482" i="2"/>
  <c r="AY482" i="2"/>
  <c r="AS482" i="2"/>
  <c r="AR482" i="2"/>
  <c r="AQ482" i="2"/>
  <c r="AP482" i="2"/>
  <c r="AO482" i="2"/>
  <c r="AN482" i="2"/>
  <c r="AI482" i="2"/>
  <c r="AF482" i="2"/>
  <c r="AC482" i="2"/>
  <c r="AC482" i="2" a="1"/>
  <c r="AA482" i="2"/>
  <c r="AA482" i="2" a="1"/>
  <c r="Z482" i="2"/>
  <c r="Z482" i="2" a="1"/>
  <c r="Y482" i="2"/>
  <c r="Y482" i="2" a="1"/>
  <c r="X482" i="2"/>
  <c r="BH481" i="2"/>
  <c r="BC481" i="2"/>
  <c r="BB481" i="2"/>
  <c r="BA481" i="2"/>
  <c r="AZ481" i="2"/>
  <c r="AY481" i="2"/>
  <c r="AS481" i="2"/>
  <c r="AR481" i="2"/>
  <c r="AQ481" i="2"/>
  <c r="AP481" i="2"/>
  <c r="AO481" i="2"/>
  <c r="AN481" i="2"/>
  <c r="AI481" i="2"/>
  <c r="AF481" i="2"/>
  <c r="AC481" i="2"/>
  <c r="AC481" i="2" a="1"/>
  <c r="AA481" i="2"/>
  <c r="AA481" i="2" a="1"/>
  <c r="Z481" i="2"/>
  <c r="Z481" i="2" a="1"/>
  <c r="Y481" i="2"/>
  <c r="Y481" i="2" a="1"/>
  <c r="X481" i="2"/>
  <c r="BH480" i="2"/>
  <c r="BC480" i="2"/>
  <c r="BB480" i="2"/>
  <c r="BA480" i="2"/>
  <c r="AZ480" i="2"/>
  <c r="AY480" i="2"/>
  <c r="AS480" i="2"/>
  <c r="AR480" i="2"/>
  <c r="AQ480" i="2"/>
  <c r="AP480" i="2"/>
  <c r="AO480" i="2"/>
  <c r="AN480" i="2"/>
  <c r="AI480" i="2"/>
  <c r="AF480" i="2"/>
  <c r="AC480" i="2"/>
  <c r="AC480" i="2" a="1"/>
  <c r="AA480" i="2"/>
  <c r="AA480" i="2" a="1"/>
  <c r="Z480" i="2"/>
  <c r="Z480" i="2" a="1"/>
  <c r="Y480" i="2"/>
  <c r="Y480" i="2" a="1"/>
  <c r="X480" i="2"/>
  <c r="BH479" i="2"/>
  <c r="BC479" i="2"/>
  <c r="BB479" i="2"/>
  <c r="BA479" i="2"/>
  <c r="AZ479" i="2"/>
  <c r="AY479" i="2"/>
  <c r="AS479" i="2"/>
  <c r="AR479" i="2"/>
  <c r="AQ479" i="2"/>
  <c r="AP479" i="2"/>
  <c r="AO479" i="2"/>
  <c r="AN479" i="2"/>
  <c r="AI479" i="2"/>
  <c r="AF479" i="2"/>
  <c r="AC479" i="2"/>
  <c r="AC479" i="2" a="1"/>
  <c r="AA479" i="2"/>
  <c r="AA479" i="2" a="1"/>
  <c r="Z479" i="2"/>
  <c r="Z479" i="2" a="1"/>
  <c r="Y479" i="2"/>
  <c r="Y479" i="2" a="1"/>
  <c r="X479" i="2"/>
  <c r="BH478" i="2"/>
  <c r="BC478" i="2"/>
  <c r="BB478" i="2"/>
  <c r="BA478" i="2"/>
  <c r="AZ478" i="2"/>
  <c r="AY478" i="2"/>
  <c r="AS478" i="2"/>
  <c r="AR478" i="2"/>
  <c r="AQ478" i="2"/>
  <c r="AP478" i="2"/>
  <c r="AO478" i="2"/>
  <c r="AN478" i="2"/>
  <c r="AI478" i="2"/>
  <c r="AF478" i="2"/>
  <c r="AC478" i="2"/>
  <c r="AC478" i="2" a="1"/>
  <c r="AA478" i="2"/>
  <c r="AA478" i="2" a="1"/>
  <c r="Z478" i="2"/>
  <c r="Z478" i="2" a="1"/>
  <c r="Y478" i="2"/>
  <c r="Y478" i="2" a="1"/>
  <c r="X478" i="2"/>
  <c r="BH477" i="2"/>
  <c r="BC477" i="2"/>
  <c r="BB477" i="2"/>
  <c r="BA477" i="2"/>
  <c r="AZ477" i="2"/>
  <c r="AY477" i="2"/>
  <c r="AS477" i="2"/>
  <c r="AR477" i="2"/>
  <c r="AQ477" i="2"/>
  <c r="AP477" i="2"/>
  <c r="AO477" i="2"/>
  <c r="AN477" i="2"/>
  <c r="AI477" i="2"/>
  <c r="AF477" i="2"/>
  <c r="AC477" i="2"/>
  <c r="AC477" i="2" a="1"/>
  <c r="AA477" i="2"/>
  <c r="AA477" i="2" a="1"/>
  <c r="Z477" i="2"/>
  <c r="Z477" i="2" a="1"/>
  <c r="Y477" i="2"/>
  <c r="Y477" i="2" a="1"/>
  <c r="X477" i="2"/>
  <c r="BH476" i="2"/>
  <c r="BC476" i="2"/>
  <c r="BB476" i="2"/>
  <c r="BA476" i="2"/>
  <c r="AZ476" i="2"/>
  <c r="AY476" i="2"/>
  <c r="AS476" i="2"/>
  <c r="AR476" i="2"/>
  <c r="AQ476" i="2"/>
  <c r="AP476" i="2"/>
  <c r="AO476" i="2"/>
  <c r="AN476" i="2"/>
  <c r="AI476" i="2"/>
  <c r="AF476" i="2"/>
  <c r="AC476" i="2"/>
  <c r="AC476" i="2" a="1"/>
  <c r="AA476" i="2"/>
  <c r="AA476" i="2" a="1"/>
  <c r="Z476" i="2"/>
  <c r="Z476" i="2" a="1"/>
  <c r="Y476" i="2"/>
  <c r="Y476" i="2" a="1"/>
  <c r="X476" i="2"/>
  <c r="BH475" i="2"/>
  <c r="BC475" i="2"/>
  <c r="BB475" i="2"/>
  <c r="BA475" i="2"/>
  <c r="AZ475" i="2"/>
  <c r="AY475" i="2"/>
  <c r="AS475" i="2"/>
  <c r="AR475" i="2"/>
  <c r="AQ475" i="2"/>
  <c r="AP475" i="2"/>
  <c r="AO475" i="2"/>
  <c r="AN475" i="2"/>
  <c r="AI475" i="2"/>
  <c r="AF475" i="2"/>
  <c r="AC475" i="2"/>
  <c r="AC475" i="2" a="1"/>
  <c r="AA475" i="2"/>
  <c r="AA475" i="2" a="1"/>
  <c r="Z475" i="2"/>
  <c r="Z475" i="2" a="1"/>
  <c r="Y475" i="2"/>
  <c r="Y475" i="2" a="1"/>
  <c r="X475" i="2"/>
  <c r="BH474" i="2"/>
  <c r="BC474" i="2"/>
  <c r="BB474" i="2"/>
  <c r="BA474" i="2"/>
  <c r="AZ474" i="2"/>
  <c r="AY474" i="2"/>
  <c r="AS474" i="2"/>
  <c r="AR474" i="2"/>
  <c r="AQ474" i="2"/>
  <c r="AP474" i="2"/>
  <c r="AO474" i="2"/>
  <c r="AN474" i="2"/>
  <c r="AI474" i="2"/>
  <c r="AF474" i="2"/>
  <c r="AC474" i="2"/>
  <c r="AC474" i="2" a="1"/>
  <c r="AA474" i="2"/>
  <c r="AA474" i="2" a="1"/>
  <c r="Z474" i="2"/>
  <c r="Z474" i="2" a="1"/>
  <c r="Y474" i="2"/>
  <c r="Y474" i="2" a="1"/>
  <c r="X474" i="2"/>
  <c r="BH473" i="2"/>
  <c r="BC473" i="2"/>
  <c r="BB473" i="2"/>
  <c r="BA473" i="2"/>
  <c r="AZ473" i="2"/>
  <c r="AY473" i="2"/>
  <c r="AS473" i="2"/>
  <c r="AR473" i="2"/>
  <c r="AQ473" i="2"/>
  <c r="AP473" i="2"/>
  <c r="AO473" i="2"/>
  <c r="AN473" i="2"/>
  <c r="AI473" i="2"/>
  <c r="AF473" i="2"/>
  <c r="AC473" i="2"/>
  <c r="AC473" i="2" a="1"/>
  <c r="AA473" i="2"/>
  <c r="AA473" i="2" a="1"/>
  <c r="Z473" i="2"/>
  <c r="Z473" i="2" a="1"/>
  <c r="Y473" i="2"/>
  <c r="Y473" i="2" a="1"/>
  <c r="X473" i="2"/>
  <c r="BH472" i="2"/>
  <c r="BC472" i="2"/>
  <c r="BB472" i="2"/>
  <c r="BA472" i="2"/>
  <c r="AZ472" i="2"/>
  <c r="AY472" i="2"/>
  <c r="AS472" i="2"/>
  <c r="AR472" i="2"/>
  <c r="AQ472" i="2"/>
  <c r="AP472" i="2"/>
  <c r="AO472" i="2"/>
  <c r="AN472" i="2"/>
  <c r="AI472" i="2"/>
  <c r="AF472" i="2"/>
  <c r="AC472" i="2"/>
  <c r="AC472" i="2" a="1"/>
  <c r="AA472" i="2"/>
  <c r="AA472" i="2" a="1"/>
  <c r="Z472" i="2"/>
  <c r="Z472" i="2" a="1"/>
  <c r="Y472" i="2"/>
  <c r="Y472" i="2" a="1"/>
  <c r="X472" i="2"/>
  <c r="BH471" i="2"/>
  <c r="BC471" i="2"/>
  <c r="BB471" i="2"/>
  <c r="BA471" i="2"/>
  <c r="AZ471" i="2"/>
  <c r="AY471" i="2"/>
  <c r="AS471" i="2"/>
  <c r="AR471" i="2"/>
  <c r="AQ471" i="2"/>
  <c r="AP471" i="2"/>
  <c r="AO471" i="2"/>
  <c r="AN471" i="2"/>
  <c r="AI471" i="2"/>
  <c r="AF471" i="2"/>
  <c r="AC471" i="2"/>
  <c r="AC471" i="2" a="1"/>
  <c r="AA471" i="2"/>
  <c r="AA471" i="2" a="1"/>
  <c r="Z471" i="2"/>
  <c r="Z471" i="2" a="1"/>
  <c r="Y471" i="2"/>
  <c r="Y471" i="2" a="1"/>
  <c r="X471" i="2"/>
  <c r="BH470" i="2"/>
  <c r="BC470" i="2"/>
  <c r="BB470" i="2"/>
  <c r="BA470" i="2"/>
  <c r="AZ470" i="2"/>
  <c r="AY470" i="2"/>
  <c r="AS470" i="2"/>
  <c r="AR470" i="2"/>
  <c r="AQ470" i="2"/>
  <c r="AP470" i="2"/>
  <c r="AO470" i="2"/>
  <c r="AN470" i="2"/>
  <c r="AI470" i="2"/>
  <c r="AF470" i="2"/>
  <c r="AC470" i="2"/>
  <c r="AC470" i="2" a="1"/>
  <c r="AA470" i="2"/>
  <c r="AA470" i="2" a="1"/>
  <c r="Z470" i="2"/>
  <c r="Z470" i="2" a="1"/>
  <c r="Y470" i="2"/>
  <c r="Y470" i="2" a="1"/>
  <c r="X470" i="2"/>
  <c r="BH469" i="2"/>
  <c r="BC469" i="2"/>
  <c r="BB469" i="2"/>
  <c r="BA469" i="2"/>
  <c r="AZ469" i="2"/>
  <c r="AY469" i="2"/>
  <c r="AS469" i="2"/>
  <c r="AR469" i="2"/>
  <c r="AQ469" i="2"/>
  <c r="AP469" i="2"/>
  <c r="AO469" i="2"/>
  <c r="AN469" i="2"/>
  <c r="AI469" i="2"/>
  <c r="AF469" i="2"/>
  <c r="AC469" i="2"/>
  <c r="AC469" i="2" a="1"/>
  <c r="AA469" i="2"/>
  <c r="AA469" i="2" a="1"/>
  <c r="Z469" i="2"/>
  <c r="Z469" i="2" a="1"/>
  <c r="Y469" i="2"/>
  <c r="Y469" i="2" a="1"/>
  <c r="X469" i="2"/>
  <c r="BH468" i="2"/>
  <c r="BC468" i="2"/>
  <c r="BB468" i="2"/>
  <c r="BA468" i="2"/>
  <c r="AZ468" i="2"/>
  <c r="AY468" i="2"/>
  <c r="AS468" i="2"/>
  <c r="AR468" i="2"/>
  <c r="AQ468" i="2"/>
  <c r="AP468" i="2"/>
  <c r="AO468" i="2"/>
  <c r="AN468" i="2"/>
  <c r="AI468" i="2"/>
  <c r="AF468" i="2"/>
  <c r="AC468" i="2"/>
  <c r="AC468" i="2" a="1"/>
  <c r="AA468" i="2"/>
  <c r="AA468" i="2" a="1"/>
  <c r="Z468" i="2"/>
  <c r="Z468" i="2" a="1"/>
  <c r="Y468" i="2"/>
  <c r="Y468" i="2" a="1"/>
  <c r="X468" i="2"/>
  <c r="BH467" i="2"/>
  <c r="BC467" i="2"/>
  <c r="BB467" i="2"/>
  <c r="BA467" i="2"/>
  <c r="AZ467" i="2"/>
  <c r="AY467" i="2"/>
  <c r="AS467" i="2"/>
  <c r="AR467" i="2"/>
  <c r="AQ467" i="2"/>
  <c r="AP467" i="2"/>
  <c r="AO467" i="2"/>
  <c r="AN467" i="2"/>
  <c r="AI467" i="2"/>
  <c r="AF467" i="2"/>
  <c r="AC467" i="2"/>
  <c r="AC467" i="2" a="1"/>
  <c r="AA467" i="2"/>
  <c r="AA467" i="2" a="1"/>
  <c r="Z467" i="2"/>
  <c r="Z467" i="2" a="1"/>
  <c r="Y467" i="2"/>
  <c r="Y467" i="2" a="1"/>
  <c r="X467" i="2"/>
  <c r="BH466" i="2"/>
  <c r="BC466" i="2"/>
  <c r="BB466" i="2"/>
  <c r="BA466" i="2"/>
  <c r="AZ466" i="2"/>
  <c r="AY466" i="2"/>
  <c r="AS466" i="2"/>
  <c r="AR466" i="2"/>
  <c r="AQ466" i="2"/>
  <c r="AP466" i="2"/>
  <c r="AO466" i="2"/>
  <c r="AN466" i="2"/>
  <c r="AI466" i="2"/>
  <c r="AF466" i="2"/>
  <c r="AC466" i="2"/>
  <c r="AC466" i="2" a="1"/>
  <c r="AA466" i="2"/>
  <c r="AA466" i="2" a="1"/>
  <c r="Z466" i="2"/>
  <c r="Z466" i="2" a="1"/>
  <c r="Y466" i="2"/>
  <c r="Y466" i="2" a="1"/>
  <c r="X466" i="2"/>
  <c r="BH465" i="2"/>
  <c r="BC465" i="2"/>
  <c r="BB465" i="2"/>
  <c r="BA465" i="2"/>
  <c r="AZ465" i="2"/>
  <c r="AY465" i="2"/>
  <c r="AS465" i="2"/>
  <c r="AR465" i="2"/>
  <c r="AQ465" i="2"/>
  <c r="AP465" i="2"/>
  <c r="AO465" i="2"/>
  <c r="AN465" i="2"/>
  <c r="AI465" i="2"/>
  <c r="AF465" i="2"/>
  <c r="AC465" i="2"/>
  <c r="AC465" i="2" a="1"/>
  <c r="AA465" i="2"/>
  <c r="AA465" i="2" a="1"/>
  <c r="Z465" i="2"/>
  <c r="Z465" i="2" a="1"/>
  <c r="Y465" i="2"/>
  <c r="Y465" i="2" a="1"/>
  <c r="X465" i="2"/>
  <c r="BH464" i="2"/>
  <c r="BC464" i="2"/>
  <c r="BB464" i="2"/>
  <c r="BA464" i="2"/>
  <c r="AZ464" i="2"/>
  <c r="AY464" i="2"/>
  <c r="AS464" i="2"/>
  <c r="AR464" i="2"/>
  <c r="AQ464" i="2"/>
  <c r="AP464" i="2"/>
  <c r="AO464" i="2"/>
  <c r="AN464" i="2"/>
  <c r="AI464" i="2"/>
  <c r="AF464" i="2"/>
  <c r="AC464" i="2"/>
  <c r="AC464" i="2" a="1"/>
  <c r="AA464" i="2"/>
  <c r="AA464" i="2" a="1"/>
  <c r="Z464" i="2"/>
  <c r="Z464" i="2" a="1"/>
  <c r="Y464" i="2"/>
  <c r="Y464" i="2" a="1"/>
  <c r="X464" i="2"/>
  <c r="BH463" i="2"/>
  <c r="BC463" i="2"/>
  <c r="BB463" i="2"/>
  <c r="BA463" i="2"/>
  <c r="AZ463" i="2"/>
  <c r="AY463" i="2"/>
  <c r="AS463" i="2"/>
  <c r="AR463" i="2"/>
  <c r="AQ463" i="2"/>
  <c r="AP463" i="2"/>
  <c r="AO463" i="2"/>
  <c r="AN463" i="2"/>
  <c r="AM463" i="2"/>
  <c r="AI463" i="2"/>
  <c r="AF463" i="2"/>
  <c r="AC463" i="2"/>
  <c r="AC463" i="2" a="1"/>
  <c r="AA463" i="2"/>
  <c r="AA463" i="2" a="1"/>
  <c r="Z463" i="2"/>
  <c r="Z463" i="2" a="1"/>
  <c r="Y463" i="2"/>
  <c r="Y463" i="2" a="1"/>
  <c r="X463" i="2"/>
  <c r="BH462" i="2"/>
  <c r="BC462" i="2"/>
  <c r="BB462" i="2"/>
  <c r="BA462" i="2"/>
  <c r="AZ462" i="2"/>
  <c r="AY462" i="2"/>
  <c r="AS462" i="2"/>
  <c r="AR462" i="2"/>
  <c r="AQ462" i="2"/>
  <c r="AP462" i="2"/>
  <c r="AO462" i="2"/>
  <c r="AN462" i="2"/>
  <c r="AM462" i="2"/>
  <c r="AI462" i="2"/>
  <c r="AF462" i="2"/>
  <c r="AC462" i="2"/>
  <c r="AC462" i="2" a="1"/>
  <c r="AA462" i="2"/>
  <c r="AA462" i="2" a="1"/>
  <c r="Z462" i="2"/>
  <c r="Z462" i="2" a="1"/>
  <c r="Y462" i="2"/>
  <c r="Y462" i="2" a="1"/>
  <c r="X462" i="2"/>
  <c r="BH461" i="2"/>
  <c r="BC461" i="2"/>
  <c r="BB461" i="2"/>
  <c r="BA461" i="2"/>
  <c r="AZ461" i="2"/>
  <c r="AY461" i="2"/>
  <c r="AS461" i="2"/>
  <c r="AR461" i="2"/>
  <c r="AQ461" i="2"/>
  <c r="AP461" i="2"/>
  <c r="AO461" i="2"/>
  <c r="AN461" i="2"/>
  <c r="AM461" i="2"/>
  <c r="AI461" i="2"/>
  <c r="AF461" i="2"/>
  <c r="AC461" i="2"/>
  <c r="AC461" i="2" a="1"/>
  <c r="AA461" i="2"/>
  <c r="AA461" i="2" a="1"/>
  <c r="Z461" i="2"/>
  <c r="Z461" i="2" a="1"/>
  <c r="Y461" i="2"/>
  <c r="Y461" i="2" a="1"/>
  <c r="X461" i="2"/>
  <c r="BH460" i="2"/>
  <c r="BC460" i="2"/>
  <c r="BB460" i="2"/>
  <c r="BA460" i="2"/>
  <c r="AZ460" i="2"/>
  <c r="AY460" i="2"/>
  <c r="AS460" i="2"/>
  <c r="AR460" i="2"/>
  <c r="AQ460" i="2"/>
  <c r="AP460" i="2"/>
  <c r="AO460" i="2"/>
  <c r="AN460" i="2"/>
  <c r="AM460" i="2"/>
  <c r="AI460" i="2"/>
  <c r="AF460" i="2"/>
  <c r="AC460" i="2"/>
  <c r="AC460" i="2" a="1"/>
  <c r="AA460" i="2"/>
  <c r="AA460" i="2" a="1"/>
  <c r="Z460" i="2"/>
  <c r="Z460" i="2" a="1"/>
  <c r="Y460" i="2"/>
  <c r="Y460" i="2" a="1"/>
  <c r="X460" i="2"/>
  <c r="BH459" i="2"/>
  <c r="BC459" i="2"/>
  <c r="BB459" i="2"/>
  <c r="BA459" i="2"/>
  <c r="AZ459" i="2"/>
  <c r="AY459" i="2"/>
  <c r="AS459" i="2"/>
  <c r="AR459" i="2"/>
  <c r="AQ459" i="2"/>
  <c r="AP459" i="2"/>
  <c r="AO459" i="2"/>
  <c r="AN459" i="2"/>
  <c r="AM459" i="2"/>
  <c r="AI459" i="2"/>
  <c r="AF459" i="2"/>
  <c r="AC459" i="2"/>
  <c r="AC459" i="2" a="1"/>
  <c r="AA459" i="2"/>
  <c r="AA459" i="2" a="1"/>
  <c r="Z459" i="2"/>
  <c r="Z459" i="2" a="1"/>
  <c r="Y459" i="2"/>
  <c r="Y459" i="2" a="1"/>
  <c r="X459" i="2"/>
  <c r="BH458" i="2"/>
  <c r="BC458" i="2"/>
  <c r="BB458" i="2"/>
  <c r="BA458" i="2"/>
  <c r="AZ458" i="2"/>
  <c r="AY458" i="2"/>
  <c r="AS458" i="2"/>
  <c r="AR458" i="2"/>
  <c r="AQ458" i="2"/>
  <c r="AP458" i="2"/>
  <c r="AO458" i="2"/>
  <c r="AN458" i="2"/>
  <c r="AM458" i="2"/>
  <c r="AI458" i="2"/>
  <c r="AF458" i="2"/>
  <c r="AC458" i="2"/>
  <c r="AC458" i="2" a="1"/>
  <c r="AA458" i="2"/>
  <c r="AA458" i="2" a="1"/>
  <c r="Z458" i="2"/>
  <c r="Z458" i="2" a="1"/>
  <c r="Y458" i="2"/>
  <c r="Y458" i="2" a="1"/>
  <c r="X458" i="2"/>
  <c r="BH457" i="2"/>
  <c r="BC457" i="2"/>
  <c r="BB457" i="2"/>
  <c r="BA457" i="2"/>
  <c r="AZ457" i="2"/>
  <c r="AY457" i="2"/>
  <c r="AS457" i="2"/>
  <c r="AR457" i="2"/>
  <c r="AQ457" i="2"/>
  <c r="AP457" i="2"/>
  <c r="AO457" i="2"/>
  <c r="AN457" i="2"/>
  <c r="AM457" i="2"/>
  <c r="AI457" i="2"/>
  <c r="AF457" i="2"/>
  <c r="AC457" i="2"/>
  <c r="AC457" i="2" a="1"/>
  <c r="AA457" i="2"/>
  <c r="AA457" i="2" a="1"/>
  <c r="Z457" i="2"/>
  <c r="Z457" i="2" a="1"/>
  <c r="Y457" i="2"/>
  <c r="Y457" i="2" a="1"/>
  <c r="X457" i="2"/>
  <c r="BH456" i="2"/>
  <c r="BC456" i="2"/>
  <c r="BB456" i="2"/>
  <c r="BA456" i="2"/>
  <c r="AZ456" i="2"/>
  <c r="AY456" i="2"/>
  <c r="AS456" i="2"/>
  <c r="AR456" i="2"/>
  <c r="AQ456" i="2"/>
  <c r="AP456" i="2"/>
  <c r="AO456" i="2"/>
  <c r="AN456" i="2"/>
  <c r="AM456" i="2"/>
  <c r="AI456" i="2"/>
  <c r="AF456" i="2"/>
  <c r="AC456" i="2"/>
  <c r="AC456" i="2" a="1"/>
  <c r="AA456" i="2"/>
  <c r="AA456" i="2" a="1"/>
  <c r="Z456" i="2"/>
  <c r="Z456" i="2" a="1"/>
  <c r="Y456" i="2"/>
  <c r="Y456" i="2" a="1"/>
  <c r="X456" i="2"/>
  <c r="BH455" i="2"/>
  <c r="BC455" i="2"/>
  <c r="BB455" i="2"/>
  <c r="BA455" i="2"/>
  <c r="AZ455" i="2"/>
  <c r="AY455" i="2"/>
  <c r="AS455" i="2"/>
  <c r="AR455" i="2"/>
  <c r="AQ455" i="2"/>
  <c r="AP455" i="2"/>
  <c r="AO455" i="2"/>
  <c r="AN455" i="2"/>
  <c r="AI455" i="2"/>
  <c r="AF455" i="2"/>
  <c r="AC455" i="2"/>
  <c r="AC455" i="2" a="1"/>
  <c r="AA455" i="2"/>
  <c r="AA455" i="2" a="1"/>
  <c r="Z455" i="2"/>
  <c r="Z455" i="2" a="1"/>
  <c r="Y455" i="2"/>
  <c r="Y455" i="2" a="1"/>
  <c r="X455" i="2"/>
  <c r="BH454" i="2"/>
  <c r="BC454" i="2"/>
  <c r="BB454" i="2"/>
  <c r="BA454" i="2"/>
  <c r="AZ454" i="2"/>
  <c r="AY454" i="2"/>
  <c r="AS454" i="2"/>
  <c r="AR454" i="2"/>
  <c r="AQ454" i="2"/>
  <c r="AP454" i="2"/>
  <c r="AO454" i="2"/>
  <c r="AN454" i="2"/>
  <c r="AI454" i="2"/>
  <c r="AF454" i="2"/>
  <c r="AC454" i="2"/>
  <c r="AC454" i="2" a="1"/>
  <c r="AA454" i="2"/>
  <c r="AA454" i="2" a="1"/>
  <c r="Z454" i="2"/>
  <c r="Z454" i="2" a="1"/>
  <c r="Y454" i="2"/>
  <c r="Y454" i="2" a="1"/>
  <c r="X454" i="2"/>
  <c r="BH453" i="2"/>
  <c r="BC453" i="2"/>
  <c r="BB453" i="2"/>
  <c r="BA453" i="2"/>
  <c r="AZ453" i="2"/>
  <c r="AY453" i="2"/>
  <c r="AS453" i="2"/>
  <c r="AR453" i="2"/>
  <c r="AQ453" i="2"/>
  <c r="AP453" i="2"/>
  <c r="AO453" i="2"/>
  <c r="AN453" i="2"/>
  <c r="AI453" i="2"/>
  <c r="AF453" i="2"/>
  <c r="AC453" i="2"/>
  <c r="AC453" i="2" a="1"/>
  <c r="AA453" i="2"/>
  <c r="AA453" i="2" a="1"/>
  <c r="Z453" i="2"/>
  <c r="Z453" i="2" a="1"/>
  <c r="Y453" i="2"/>
  <c r="Y453" i="2" a="1"/>
  <c r="X453" i="2"/>
  <c r="BH452" i="2"/>
  <c r="BC452" i="2"/>
  <c r="BB452" i="2"/>
  <c r="BA452" i="2"/>
  <c r="AZ452" i="2"/>
  <c r="AY452" i="2"/>
  <c r="AS452" i="2"/>
  <c r="AR452" i="2"/>
  <c r="AQ452" i="2"/>
  <c r="AP452" i="2"/>
  <c r="AO452" i="2"/>
  <c r="AN452" i="2"/>
  <c r="AI452" i="2"/>
  <c r="AF452" i="2"/>
  <c r="AC452" i="2"/>
  <c r="AC452" i="2" a="1"/>
  <c r="AA452" i="2"/>
  <c r="AA452" i="2" a="1"/>
  <c r="Z452" i="2"/>
  <c r="Z452" i="2" a="1"/>
  <c r="Y452" i="2"/>
  <c r="Y452" i="2" a="1"/>
  <c r="X452" i="2"/>
  <c r="BH451" i="2"/>
  <c r="BC451" i="2"/>
  <c r="BB451" i="2"/>
  <c r="BA451" i="2"/>
  <c r="AZ451" i="2"/>
  <c r="AY451" i="2"/>
  <c r="AS451" i="2"/>
  <c r="AR451" i="2"/>
  <c r="AQ451" i="2"/>
  <c r="AP451" i="2"/>
  <c r="AO451" i="2"/>
  <c r="AN451" i="2"/>
  <c r="AI451" i="2"/>
  <c r="AF451" i="2"/>
  <c r="AC451" i="2"/>
  <c r="AC451" i="2" a="1"/>
  <c r="AA451" i="2"/>
  <c r="AA451" i="2" a="1"/>
  <c r="Z451" i="2"/>
  <c r="Z451" i="2" a="1"/>
  <c r="Y451" i="2"/>
  <c r="Y451" i="2" a="1"/>
  <c r="X451" i="2"/>
  <c r="BH450" i="2"/>
  <c r="BC450" i="2"/>
  <c r="BB450" i="2"/>
  <c r="BA450" i="2"/>
  <c r="AZ450" i="2"/>
  <c r="AY450" i="2"/>
  <c r="AS450" i="2"/>
  <c r="AR450" i="2"/>
  <c r="AQ450" i="2"/>
  <c r="AP450" i="2"/>
  <c r="AO450" i="2"/>
  <c r="AN450" i="2"/>
  <c r="AI450" i="2"/>
  <c r="AF450" i="2"/>
  <c r="AC450" i="2"/>
  <c r="AC450" i="2" a="1"/>
  <c r="AA450" i="2"/>
  <c r="AA450" i="2" a="1"/>
  <c r="Z450" i="2"/>
  <c r="Z450" i="2" a="1"/>
  <c r="Y450" i="2"/>
  <c r="Y450" i="2" a="1"/>
  <c r="X450" i="2"/>
  <c r="BH449" i="2"/>
  <c r="BC449" i="2"/>
  <c r="BB449" i="2"/>
  <c r="BA449" i="2"/>
  <c r="AZ449" i="2"/>
  <c r="AY449" i="2"/>
  <c r="AS449" i="2"/>
  <c r="AR449" i="2"/>
  <c r="AQ449" i="2"/>
  <c r="AP449" i="2"/>
  <c r="AO449" i="2"/>
  <c r="AN449" i="2"/>
  <c r="AI449" i="2"/>
  <c r="AF449" i="2"/>
  <c r="AC449" i="2"/>
  <c r="AC449" i="2" a="1"/>
  <c r="AA449" i="2"/>
  <c r="AA449" i="2" a="1"/>
  <c r="Z449" i="2"/>
  <c r="Z449" i="2" a="1"/>
  <c r="Y449" i="2"/>
  <c r="Y449" i="2" a="1"/>
  <c r="X449" i="2"/>
  <c r="BH448" i="2"/>
  <c r="BC448" i="2"/>
  <c r="BB448" i="2"/>
  <c r="BA448" i="2"/>
  <c r="AZ448" i="2"/>
  <c r="AY448" i="2"/>
  <c r="AS448" i="2"/>
  <c r="AR448" i="2"/>
  <c r="AQ448" i="2"/>
  <c r="AP448" i="2"/>
  <c r="AO448" i="2"/>
  <c r="AN448" i="2"/>
  <c r="AI448" i="2"/>
  <c r="AF448" i="2"/>
  <c r="AC448" i="2"/>
  <c r="AC448" i="2" a="1"/>
  <c r="AA448" i="2"/>
  <c r="AA448" i="2" a="1"/>
  <c r="Z448" i="2"/>
  <c r="Z448" i="2" a="1"/>
  <c r="Y448" i="2"/>
  <c r="Y448" i="2" a="1"/>
  <c r="X448" i="2"/>
  <c r="BH447" i="2"/>
  <c r="BC447" i="2"/>
  <c r="BB447" i="2"/>
  <c r="BA447" i="2"/>
  <c r="AZ447" i="2"/>
  <c r="AY447" i="2"/>
  <c r="AS447" i="2"/>
  <c r="AR447" i="2"/>
  <c r="AQ447" i="2"/>
  <c r="AP447" i="2"/>
  <c r="AO447" i="2"/>
  <c r="AN447" i="2"/>
  <c r="AI447" i="2"/>
  <c r="AF447" i="2"/>
  <c r="AC447" i="2"/>
  <c r="AC447" i="2" a="1"/>
  <c r="AA447" i="2"/>
  <c r="AA447" i="2" a="1"/>
  <c r="Z447" i="2"/>
  <c r="Z447" i="2" a="1"/>
  <c r="Y447" i="2"/>
  <c r="Y447" i="2" a="1"/>
  <c r="X447" i="2"/>
  <c r="BH446" i="2"/>
  <c r="BC446" i="2"/>
  <c r="BB446" i="2"/>
  <c r="BA446" i="2"/>
  <c r="AZ446" i="2"/>
  <c r="AY446" i="2"/>
  <c r="AS446" i="2"/>
  <c r="AR446" i="2"/>
  <c r="AQ446" i="2"/>
  <c r="AP446" i="2"/>
  <c r="AO446" i="2"/>
  <c r="AN446" i="2"/>
  <c r="AI446" i="2"/>
  <c r="AF446" i="2"/>
  <c r="AC446" i="2"/>
  <c r="AC446" i="2" a="1"/>
  <c r="AA446" i="2"/>
  <c r="AA446" i="2" a="1"/>
  <c r="Z446" i="2"/>
  <c r="Z446" i="2" a="1"/>
  <c r="Y446" i="2"/>
  <c r="Y446" i="2" a="1"/>
  <c r="X446" i="2"/>
  <c r="BH445" i="2"/>
  <c r="BC445" i="2"/>
  <c r="BB445" i="2"/>
  <c r="BA445" i="2"/>
  <c r="AZ445" i="2"/>
  <c r="AY445" i="2"/>
  <c r="AS445" i="2"/>
  <c r="AR445" i="2"/>
  <c r="AQ445" i="2"/>
  <c r="AP445" i="2"/>
  <c r="AO445" i="2"/>
  <c r="AN445" i="2"/>
  <c r="AI445" i="2"/>
  <c r="AF445" i="2"/>
  <c r="AC445" i="2"/>
  <c r="AC445" i="2" a="1"/>
  <c r="AA445" i="2"/>
  <c r="AA445" i="2" a="1"/>
  <c r="Z445" i="2"/>
  <c r="Z445" i="2" a="1"/>
  <c r="Y445" i="2"/>
  <c r="Y445" i="2" a="1"/>
  <c r="X445" i="2"/>
  <c r="BH444" i="2"/>
  <c r="BC444" i="2"/>
  <c r="BB444" i="2"/>
  <c r="BA444" i="2"/>
  <c r="AZ444" i="2"/>
  <c r="AY444" i="2"/>
  <c r="AS444" i="2"/>
  <c r="AR444" i="2"/>
  <c r="AQ444" i="2"/>
  <c r="AP444" i="2"/>
  <c r="AO444" i="2"/>
  <c r="AN444" i="2"/>
  <c r="AI444" i="2"/>
  <c r="AF444" i="2"/>
  <c r="AC444" i="2"/>
  <c r="AC444" i="2" a="1"/>
  <c r="AA444" i="2"/>
  <c r="AA444" i="2" a="1"/>
  <c r="Z444" i="2"/>
  <c r="Z444" i="2" a="1"/>
  <c r="Y444" i="2"/>
  <c r="Y444" i="2" a="1"/>
  <c r="X444" i="2"/>
  <c r="BH443" i="2"/>
  <c r="BC443" i="2"/>
  <c r="BB443" i="2"/>
  <c r="BA443" i="2"/>
  <c r="AZ443" i="2"/>
  <c r="AY443" i="2"/>
  <c r="AS443" i="2"/>
  <c r="AR443" i="2"/>
  <c r="AQ443" i="2"/>
  <c r="AP443" i="2"/>
  <c r="AO443" i="2"/>
  <c r="AN443" i="2"/>
  <c r="AI443" i="2"/>
  <c r="AF443" i="2"/>
  <c r="AC443" i="2"/>
  <c r="AC443" i="2" a="1"/>
  <c r="AA443" i="2"/>
  <c r="AA443" i="2" a="1"/>
  <c r="Z443" i="2"/>
  <c r="Z443" i="2" a="1"/>
  <c r="Y443" i="2"/>
  <c r="Y443" i="2" a="1"/>
  <c r="X443" i="2"/>
  <c r="BH442" i="2"/>
  <c r="BC442" i="2"/>
  <c r="BB442" i="2"/>
  <c r="BA442" i="2"/>
  <c r="AZ442" i="2"/>
  <c r="AY442" i="2"/>
  <c r="AS442" i="2"/>
  <c r="AR442" i="2"/>
  <c r="AQ442" i="2"/>
  <c r="AP442" i="2"/>
  <c r="AO442" i="2"/>
  <c r="AN442" i="2"/>
  <c r="AI442" i="2"/>
  <c r="AF442" i="2"/>
  <c r="AC442" i="2"/>
  <c r="AC442" i="2" a="1"/>
  <c r="AA442" i="2"/>
  <c r="AA442" i="2" a="1"/>
  <c r="Z442" i="2"/>
  <c r="Z442" i="2" a="1"/>
  <c r="Y442" i="2"/>
  <c r="Y442" i="2" a="1"/>
  <c r="X442" i="2"/>
  <c r="BH441" i="2"/>
  <c r="BC441" i="2"/>
  <c r="BB441" i="2"/>
  <c r="BA441" i="2"/>
  <c r="AZ441" i="2"/>
  <c r="AY441" i="2"/>
  <c r="AS441" i="2"/>
  <c r="AR441" i="2"/>
  <c r="AQ441" i="2"/>
  <c r="AP441" i="2"/>
  <c r="AO441" i="2"/>
  <c r="AN441" i="2"/>
  <c r="AI441" i="2"/>
  <c r="AF441" i="2"/>
  <c r="AC441" i="2"/>
  <c r="AC441" i="2" a="1"/>
  <c r="AA441" i="2"/>
  <c r="AA441" i="2" a="1"/>
  <c r="Z441" i="2"/>
  <c r="Z441" i="2" a="1"/>
  <c r="Y441" i="2"/>
  <c r="Y441" i="2" a="1"/>
  <c r="X441" i="2"/>
  <c r="BH440" i="2"/>
  <c r="BC440" i="2"/>
  <c r="BB440" i="2"/>
  <c r="BA440" i="2"/>
  <c r="AZ440" i="2"/>
  <c r="AY440" i="2"/>
  <c r="AS440" i="2"/>
  <c r="AR440" i="2"/>
  <c r="AQ440" i="2"/>
  <c r="AP440" i="2"/>
  <c r="AO440" i="2"/>
  <c r="AN440" i="2"/>
  <c r="AI440" i="2"/>
  <c r="AF440" i="2"/>
  <c r="AC440" i="2"/>
  <c r="AC440" i="2" a="1"/>
  <c r="AA440" i="2"/>
  <c r="AA440" i="2" a="1"/>
  <c r="Z440" i="2"/>
  <c r="Z440" i="2" a="1"/>
  <c r="Y440" i="2"/>
  <c r="Y440" i="2" a="1"/>
  <c r="X440" i="2"/>
  <c r="U440" i="2"/>
  <c r="BH439" i="2"/>
  <c r="BC439" i="2"/>
  <c r="BB439" i="2"/>
  <c r="BA439" i="2"/>
  <c r="AZ439" i="2"/>
  <c r="AY439" i="2"/>
  <c r="AS439" i="2"/>
  <c r="AR439" i="2"/>
  <c r="AQ439" i="2"/>
  <c r="AP439" i="2"/>
  <c r="AO439" i="2"/>
  <c r="AN439" i="2"/>
  <c r="AI439" i="2"/>
  <c r="AF439" i="2"/>
  <c r="AC439" i="2"/>
  <c r="AC439" i="2" a="1"/>
  <c r="AA439" i="2"/>
  <c r="AA439" i="2" a="1"/>
  <c r="Z439" i="2"/>
  <c r="Z439" i="2" a="1"/>
  <c r="Y439" i="2"/>
  <c r="Y439" i="2" a="1"/>
  <c r="X439" i="2"/>
  <c r="U439" i="2"/>
  <c r="BH438" i="2"/>
  <c r="BC438" i="2"/>
  <c r="BB438" i="2"/>
  <c r="BA438" i="2"/>
  <c r="AZ438" i="2"/>
  <c r="AY438" i="2"/>
  <c r="AS438" i="2"/>
  <c r="AR438" i="2"/>
  <c r="AQ438" i="2"/>
  <c r="AP438" i="2"/>
  <c r="AO438" i="2"/>
  <c r="AN438" i="2"/>
  <c r="AI438" i="2"/>
  <c r="AF438" i="2"/>
  <c r="AC438" i="2"/>
  <c r="AC438" i="2" a="1"/>
  <c r="AA438" i="2"/>
  <c r="AA438" i="2" a="1"/>
  <c r="Z438" i="2"/>
  <c r="Z438" i="2" a="1"/>
  <c r="Y438" i="2"/>
  <c r="Y438" i="2" a="1"/>
  <c r="X438" i="2"/>
  <c r="BH437" i="2"/>
  <c r="BC437" i="2"/>
  <c r="BB437" i="2"/>
  <c r="BA437" i="2"/>
  <c r="AZ437" i="2"/>
  <c r="AY437" i="2"/>
  <c r="AS437" i="2"/>
  <c r="AR437" i="2"/>
  <c r="AQ437" i="2"/>
  <c r="AP437" i="2"/>
  <c r="AO437" i="2"/>
  <c r="AN437" i="2"/>
  <c r="AI437" i="2"/>
  <c r="AF437" i="2"/>
  <c r="AC437" i="2"/>
  <c r="AC437" i="2" a="1"/>
  <c r="AA437" i="2"/>
  <c r="AA437" i="2" a="1"/>
  <c r="Z437" i="2"/>
  <c r="Z437" i="2" a="1"/>
  <c r="Y437" i="2"/>
  <c r="Y437" i="2" a="1"/>
  <c r="X437" i="2"/>
  <c r="BH436" i="2"/>
  <c r="BC436" i="2"/>
  <c r="BB436" i="2"/>
  <c r="BA436" i="2"/>
  <c r="AZ436" i="2"/>
  <c r="AY436" i="2"/>
  <c r="AS436" i="2"/>
  <c r="AR436" i="2"/>
  <c r="AQ436" i="2"/>
  <c r="AP436" i="2"/>
  <c r="AO436" i="2"/>
  <c r="AN436" i="2"/>
  <c r="AI436" i="2"/>
  <c r="AF436" i="2"/>
  <c r="AC436" i="2"/>
  <c r="AC436" i="2" a="1"/>
  <c r="AA436" i="2"/>
  <c r="AA436" i="2" a="1"/>
  <c r="Z436" i="2"/>
  <c r="Z436" i="2" a="1"/>
  <c r="Y436" i="2"/>
  <c r="Y436" i="2" a="1"/>
  <c r="X436" i="2"/>
  <c r="BH435" i="2"/>
  <c r="BC435" i="2"/>
  <c r="BB435" i="2"/>
  <c r="BA435" i="2"/>
  <c r="AZ435" i="2"/>
  <c r="AY435" i="2"/>
  <c r="AS435" i="2"/>
  <c r="AR435" i="2"/>
  <c r="AQ435" i="2"/>
  <c r="AP435" i="2"/>
  <c r="AO435" i="2"/>
  <c r="AN435" i="2"/>
  <c r="AI435" i="2"/>
  <c r="AF435" i="2"/>
  <c r="AC435" i="2"/>
  <c r="AC435" i="2" a="1"/>
  <c r="AA435" i="2"/>
  <c r="AA435" i="2" a="1"/>
  <c r="Z435" i="2"/>
  <c r="Z435" i="2" a="1"/>
  <c r="Y435" i="2"/>
  <c r="Y435" i="2" a="1"/>
  <c r="X435" i="2"/>
  <c r="BH434" i="2"/>
  <c r="BC434" i="2"/>
  <c r="BB434" i="2"/>
  <c r="BA434" i="2"/>
  <c r="AZ434" i="2"/>
  <c r="AY434" i="2"/>
  <c r="AS434" i="2"/>
  <c r="AR434" i="2"/>
  <c r="AQ434" i="2"/>
  <c r="AP434" i="2"/>
  <c r="AO434" i="2"/>
  <c r="AN434" i="2"/>
  <c r="AI434" i="2"/>
  <c r="AF434" i="2"/>
  <c r="AC434" i="2"/>
  <c r="AC434" i="2" a="1"/>
  <c r="AA434" i="2"/>
  <c r="AA434" i="2" a="1"/>
  <c r="Z434" i="2"/>
  <c r="Z434" i="2" a="1"/>
  <c r="Y434" i="2"/>
  <c r="Y434" i="2" a="1"/>
  <c r="X434" i="2"/>
  <c r="BH433" i="2"/>
  <c r="BC433" i="2"/>
  <c r="BB433" i="2"/>
  <c r="BA433" i="2"/>
  <c r="AZ433" i="2"/>
  <c r="AY433" i="2"/>
  <c r="AS433" i="2"/>
  <c r="AR433" i="2"/>
  <c r="AQ433" i="2"/>
  <c r="AP433" i="2"/>
  <c r="AO433" i="2"/>
  <c r="AN433" i="2"/>
  <c r="AI433" i="2"/>
  <c r="AF433" i="2"/>
  <c r="AC433" i="2"/>
  <c r="AC433" i="2" a="1"/>
  <c r="AA433" i="2"/>
  <c r="AA433" i="2" a="1"/>
  <c r="Z433" i="2"/>
  <c r="Z433" i="2" a="1"/>
  <c r="Y433" i="2"/>
  <c r="Y433" i="2" a="1"/>
  <c r="X433" i="2"/>
  <c r="BH432" i="2"/>
  <c r="BC432" i="2"/>
  <c r="BB432" i="2"/>
  <c r="BA432" i="2"/>
  <c r="AZ432" i="2"/>
  <c r="AY432" i="2"/>
  <c r="AS432" i="2"/>
  <c r="AR432" i="2"/>
  <c r="AQ432" i="2"/>
  <c r="AP432" i="2"/>
  <c r="AO432" i="2"/>
  <c r="AN432" i="2"/>
  <c r="AI432" i="2"/>
  <c r="AF432" i="2"/>
  <c r="AC432" i="2"/>
  <c r="AC432" i="2" a="1"/>
  <c r="AA432" i="2"/>
  <c r="AA432" i="2" a="1"/>
  <c r="Z432" i="2"/>
  <c r="Z432" i="2" a="1"/>
  <c r="Y432" i="2"/>
  <c r="Y432" i="2" a="1"/>
  <c r="X432" i="2"/>
  <c r="BH431" i="2"/>
  <c r="BC431" i="2"/>
  <c r="BB431" i="2"/>
  <c r="BA431" i="2"/>
  <c r="AZ431" i="2"/>
  <c r="AY431" i="2"/>
  <c r="AS431" i="2"/>
  <c r="AR431" i="2"/>
  <c r="AQ431" i="2"/>
  <c r="AP431" i="2"/>
  <c r="AO431" i="2"/>
  <c r="AN431" i="2"/>
  <c r="AI431" i="2"/>
  <c r="AF431" i="2"/>
  <c r="AC431" i="2"/>
  <c r="AC431" i="2" a="1"/>
  <c r="AA431" i="2"/>
  <c r="AA431" i="2" a="1"/>
  <c r="Z431" i="2"/>
  <c r="Z431" i="2" a="1"/>
  <c r="Y431" i="2"/>
  <c r="Y431" i="2" a="1"/>
  <c r="X431" i="2"/>
  <c r="BH430" i="2"/>
  <c r="BC430" i="2"/>
  <c r="BB430" i="2"/>
  <c r="BA430" i="2"/>
  <c r="AZ430" i="2"/>
  <c r="AY430" i="2"/>
  <c r="AS430" i="2"/>
  <c r="AR430" i="2"/>
  <c r="AQ430" i="2"/>
  <c r="AP430" i="2"/>
  <c r="AO430" i="2"/>
  <c r="AN430" i="2"/>
  <c r="AI430" i="2"/>
  <c r="AF430" i="2"/>
  <c r="AC430" i="2"/>
  <c r="AC430" i="2" a="1"/>
  <c r="AA430" i="2"/>
  <c r="AA430" i="2" a="1"/>
  <c r="Z430" i="2"/>
  <c r="Z430" i="2" a="1"/>
  <c r="Y430" i="2"/>
  <c r="Y430" i="2" a="1"/>
  <c r="X430" i="2"/>
  <c r="BH429" i="2"/>
  <c r="BC429" i="2"/>
  <c r="BB429" i="2"/>
  <c r="BA429" i="2"/>
  <c r="AZ429" i="2"/>
  <c r="AY429" i="2"/>
  <c r="AS429" i="2"/>
  <c r="AR429" i="2"/>
  <c r="AQ429" i="2"/>
  <c r="AP429" i="2"/>
  <c r="AO429" i="2"/>
  <c r="AN429" i="2"/>
  <c r="AI429" i="2"/>
  <c r="AF429" i="2"/>
  <c r="AC429" i="2"/>
  <c r="AC429" i="2" a="1"/>
  <c r="AA429" i="2"/>
  <c r="AA429" i="2" a="1"/>
  <c r="Z429" i="2"/>
  <c r="Z429" i="2" a="1"/>
  <c r="Y429" i="2"/>
  <c r="Y429" i="2" a="1"/>
  <c r="X429" i="2"/>
  <c r="BH428" i="2"/>
  <c r="BC428" i="2"/>
  <c r="BB428" i="2"/>
  <c r="BA428" i="2"/>
  <c r="AZ428" i="2"/>
  <c r="AY428" i="2"/>
  <c r="AS428" i="2"/>
  <c r="AR428" i="2"/>
  <c r="AQ428" i="2"/>
  <c r="AP428" i="2"/>
  <c r="AO428" i="2"/>
  <c r="AN428" i="2"/>
  <c r="AI428" i="2"/>
  <c r="AF428" i="2"/>
  <c r="AC428" i="2"/>
  <c r="AC428" i="2" a="1"/>
  <c r="AA428" i="2"/>
  <c r="AA428" i="2" a="1"/>
  <c r="Z428" i="2"/>
  <c r="Z428" i="2" a="1"/>
  <c r="Y428" i="2"/>
  <c r="Y428" i="2" a="1"/>
  <c r="X428" i="2"/>
  <c r="BH427" i="2"/>
  <c r="BC427" i="2"/>
  <c r="BB427" i="2"/>
  <c r="BA427" i="2"/>
  <c r="AZ427" i="2"/>
  <c r="AY427" i="2"/>
  <c r="AS427" i="2"/>
  <c r="AR427" i="2"/>
  <c r="AQ427" i="2"/>
  <c r="AP427" i="2"/>
  <c r="AO427" i="2"/>
  <c r="AN427" i="2"/>
  <c r="AI427" i="2"/>
  <c r="AF427" i="2"/>
  <c r="AC427" i="2"/>
  <c r="AC427" i="2" a="1"/>
  <c r="AA427" i="2"/>
  <c r="AA427" i="2" a="1"/>
  <c r="Z427" i="2"/>
  <c r="Z427" i="2" a="1"/>
  <c r="Y427" i="2"/>
  <c r="Y427" i="2" a="1"/>
  <c r="X427" i="2"/>
  <c r="BH426" i="2"/>
  <c r="BC426" i="2"/>
  <c r="BB426" i="2"/>
  <c r="BA426" i="2"/>
  <c r="AZ426" i="2"/>
  <c r="AY426" i="2"/>
  <c r="AS426" i="2"/>
  <c r="AR426" i="2"/>
  <c r="AQ426" i="2"/>
  <c r="AP426" i="2"/>
  <c r="AO426" i="2"/>
  <c r="AN426" i="2"/>
  <c r="AI426" i="2"/>
  <c r="AF426" i="2"/>
  <c r="AC426" i="2"/>
  <c r="AC426" i="2" a="1"/>
  <c r="AA426" i="2"/>
  <c r="AA426" i="2" a="1"/>
  <c r="Z426" i="2"/>
  <c r="Z426" i="2" a="1"/>
  <c r="Y426" i="2"/>
  <c r="Y426" i="2" a="1"/>
  <c r="X426" i="2"/>
  <c r="BH425" i="2"/>
  <c r="BC425" i="2"/>
  <c r="BB425" i="2"/>
  <c r="BA425" i="2"/>
  <c r="AZ425" i="2"/>
  <c r="AY425" i="2"/>
  <c r="AS425" i="2"/>
  <c r="AR425" i="2"/>
  <c r="AQ425" i="2"/>
  <c r="AP425" i="2"/>
  <c r="AO425" i="2"/>
  <c r="AN425" i="2"/>
  <c r="AI425" i="2"/>
  <c r="AF425" i="2"/>
  <c r="AC425" i="2"/>
  <c r="AC425" i="2" a="1"/>
  <c r="AA425" i="2"/>
  <c r="AA425" i="2" a="1"/>
  <c r="Z425" i="2"/>
  <c r="Z425" i="2" a="1"/>
  <c r="Y425" i="2"/>
  <c r="Y425" i="2" a="1"/>
  <c r="X425" i="2"/>
  <c r="BH424" i="2"/>
  <c r="BC424" i="2"/>
  <c r="BB424" i="2"/>
  <c r="BA424" i="2"/>
  <c r="AZ424" i="2"/>
  <c r="AY424" i="2"/>
  <c r="AS424" i="2"/>
  <c r="AR424" i="2"/>
  <c r="AQ424" i="2"/>
  <c r="AP424" i="2"/>
  <c r="AO424" i="2"/>
  <c r="AN424" i="2"/>
  <c r="AI424" i="2"/>
  <c r="AF424" i="2"/>
  <c r="AC424" i="2"/>
  <c r="AC424" i="2" a="1"/>
  <c r="AA424" i="2"/>
  <c r="AA424" i="2" a="1"/>
  <c r="Z424" i="2"/>
  <c r="Z424" i="2" a="1"/>
  <c r="Y424" i="2"/>
  <c r="Y424" i="2" a="1"/>
  <c r="X424" i="2"/>
  <c r="BH423" i="2"/>
  <c r="BC423" i="2"/>
  <c r="BB423" i="2"/>
  <c r="BA423" i="2"/>
  <c r="AZ423" i="2"/>
  <c r="AY423" i="2"/>
  <c r="AS423" i="2"/>
  <c r="AR423" i="2"/>
  <c r="AQ423" i="2"/>
  <c r="AP423" i="2"/>
  <c r="AO423" i="2"/>
  <c r="AN423" i="2"/>
  <c r="AI423" i="2"/>
  <c r="AF423" i="2"/>
  <c r="AC423" i="2"/>
  <c r="AC423" i="2" a="1"/>
  <c r="AA423" i="2"/>
  <c r="AA423" i="2" a="1"/>
  <c r="Z423" i="2"/>
  <c r="Z423" i="2" a="1"/>
  <c r="Y423" i="2"/>
  <c r="Y423" i="2" a="1"/>
  <c r="X423" i="2"/>
  <c r="BH422" i="2"/>
  <c r="BC422" i="2"/>
  <c r="BB422" i="2"/>
  <c r="BA422" i="2"/>
  <c r="AZ422" i="2"/>
  <c r="AY422" i="2"/>
  <c r="AS422" i="2"/>
  <c r="AR422" i="2"/>
  <c r="AQ422" i="2"/>
  <c r="AP422" i="2"/>
  <c r="AO422" i="2"/>
  <c r="AN422" i="2"/>
  <c r="AI422" i="2"/>
  <c r="AF422" i="2"/>
  <c r="AC422" i="2"/>
  <c r="AC422" i="2" a="1"/>
  <c r="AA422" i="2"/>
  <c r="AA422" i="2" a="1"/>
  <c r="Z422" i="2"/>
  <c r="Z422" i="2" a="1"/>
  <c r="Y422" i="2"/>
  <c r="Y422" i="2" a="1"/>
  <c r="X422" i="2"/>
  <c r="BH421" i="2"/>
  <c r="BC421" i="2"/>
  <c r="BB421" i="2"/>
  <c r="BA421" i="2"/>
  <c r="AZ421" i="2"/>
  <c r="AY421" i="2"/>
  <c r="AS421" i="2"/>
  <c r="AR421" i="2"/>
  <c r="AQ421" i="2"/>
  <c r="AP421" i="2"/>
  <c r="AO421" i="2"/>
  <c r="AN421" i="2"/>
  <c r="AI421" i="2"/>
  <c r="AF421" i="2"/>
  <c r="AC421" i="2"/>
  <c r="AC421" i="2" a="1"/>
  <c r="AA421" i="2"/>
  <c r="AA421" i="2" a="1"/>
  <c r="Z421" i="2"/>
  <c r="Z421" i="2" a="1"/>
  <c r="Y421" i="2"/>
  <c r="Y421" i="2" a="1"/>
  <c r="X421" i="2"/>
  <c r="BH420" i="2"/>
  <c r="BC420" i="2"/>
  <c r="BB420" i="2"/>
  <c r="BA420" i="2"/>
  <c r="AZ420" i="2"/>
  <c r="AY420" i="2"/>
  <c r="AS420" i="2"/>
  <c r="AR420" i="2"/>
  <c r="AQ420" i="2"/>
  <c r="AP420" i="2"/>
  <c r="AO420" i="2"/>
  <c r="AN420" i="2"/>
  <c r="AI420" i="2"/>
  <c r="AF420" i="2"/>
  <c r="AC420" i="2"/>
  <c r="AC420" i="2" a="1"/>
  <c r="AA420" i="2"/>
  <c r="AA420" i="2" a="1"/>
  <c r="Z420" i="2"/>
  <c r="Z420" i="2" a="1"/>
  <c r="Y420" i="2"/>
  <c r="Y420" i="2" a="1"/>
  <c r="X420" i="2"/>
  <c r="BH419" i="2"/>
  <c r="BC419" i="2"/>
  <c r="BB419" i="2"/>
  <c r="BA419" i="2"/>
  <c r="AZ419" i="2"/>
  <c r="AY419" i="2"/>
  <c r="AS419" i="2"/>
  <c r="AR419" i="2"/>
  <c r="AQ419" i="2"/>
  <c r="AP419" i="2"/>
  <c r="AO419" i="2"/>
  <c r="AN419" i="2"/>
  <c r="AI419" i="2"/>
  <c r="AF419" i="2"/>
  <c r="AC419" i="2"/>
  <c r="AC419" i="2" a="1"/>
  <c r="AA419" i="2"/>
  <c r="AA419" i="2" a="1"/>
  <c r="Z419" i="2"/>
  <c r="Z419" i="2" a="1"/>
  <c r="Y419" i="2"/>
  <c r="Y419" i="2" a="1"/>
  <c r="X419" i="2"/>
  <c r="BN418" i="2"/>
  <c r="BM418" i="2"/>
  <c r="BL418" i="2"/>
  <c r="BK418" i="2"/>
  <c r="BH418" i="2"/>
  <c r="BC418" i="2"/>
  <c r="BB418" i="2"/>
  <c r="BA418" i="2"/>
  <c r="AZ418" i="2"/>
  <c r="AY418" i="2"/>
  <c r="AS418" i="2"/>
  <c r="AR418" i="2"/>
  <c r="AQ418" i="2"/>
  <c r="AP418" i="2"/>
  <c r="AO418" i="2"/>
  <c r="AN418" i="2"/>
  <c r="AI418" i="2"/>
  <c r="AF418" i="2"/>
  <c r="AC418" i="2"/>
  <c r="AC418" i="2" a="1"/>
  <c r="AA418" i="2"/>
  <c r="AA418" i="2" a="1"/>
  <c r="Z418" i="2"/>
  <c r="Z418" i="2" a="1"/>
  <c r="Y418" i="2"/>
  <c r="Y418" i="2" a="1"/>
  <c r="X418" i="2"/>
  <c r="BN417" i="2"/>
  <c r="BM417" i="2"/>
  <c r="BL417" i="2"/>
  <c r="BK417" i="2"/>
  <c r="BH417" i="2"/>
  <c r="BC417" i="2"/>
  <c r="BB417" i="2"/>
  <c r="BA417" i="2"/>
  <c r="AZ417" i="2"/>
  <c r="AY417" i="2"/>
  <c r="AS417" i="2"/>
  <c r="AR417" i="2"/>
  <c r="AQ417" i="2"/>
  <c r="AP417" i="2"/>
  <c r="AO417" i="2"/>
  <c r="AN417" i="2"/>
  <c r="AI417" i="2"/>
  <c r="AF417" i="2"/>
  <c r="AC417" i="2"/>
  <c r="AC417" i="2" a="1"/>
  <c r="AA417" i="2"/>
  <c r="AA417" i="2" a="1"/>
  <c r="Z417" i="2"/>
  <c r="Z417" i="2" a="1"/>
  <c r="Y417" i="2"/>
  <c r="Y417" i="2" a="1"/>
  <c r="X417" i="2"/>
  <c r="BN416" i="2"/>
  <c r="BM416" i="2"/>
  <c r="BL416" i="2"/>
  <c r="BK416" i="2"/>
  <c r="BH416" i="2"/>
  <c r="BC416" i="2"/>
  <c r="BB416" i="2"/>
  <c r="BA416" i="2"/>
  <c r="AZ416" i="2"/>
  <c r="AY416" i="2"/>
  <c r="AS416" i="2"/>
  <c r="AR416" i="2"/>
  <c r="AQ416" i="2"/>
  <c r="AP416" i="2"/>
  <c r="AO416" i="2"/>
  <c r="AN416" i="2"/>
  <c r="AI416" i="2"/>
  <c r="AF416" i="2"/>
  <c r="AC416" i="2"/>
  <c r="AC416" i="2" a="1"/>
  <c r="AA416" i="2"/>
  <c r="AA416" i="2" a="1"/>
  <c r="Z416" i="2"/>
  <c r="Z416" i="2" a="1"/>
  <c r="Y416" i="2"/>
  <c r="Y416" i="2" a="1"/>
  <c r="X416" i="2"/>
  <c r="BN415" i="2"/>
  <c r="BM415" i="2"/>
  <c r="BL415" i="2"/>
  <c r="BK415" i="2"/>
  <c r="BH415" i="2"/>
  <c r="BC415" i="2"/>
  <c r="BB415" i="2"/>
  <c r="BA415" i="2"/>
  <c r="AZ415" i="2"/>
  <c r="AY415" i="2"/>
  <c r="AS415" i="2"/>
  <c r="AR415" i="2"/>
  <c r="AQ415" i="2"/>
  <c r="AP415" i="2"/>
  <c r="AO415" i="2"/>
  <c r="AN415" i="2"/>
  <c r="AI415" i="2"/>
  <c r="AF415" i="2"/>
  <c r="AC415" i="2"/>
  <c r="AC415" i="2" a="1"/>
  <c r="AA415" i="2"/>
  <c r="AA415" i="2" a="1"/>
  <c r="Z415" i="2"/>
  <c r="Z415" i="2" a="1"/>
  <c r="Y415" i="2"/>
  <c r="Y415" i="2" a="1"/>
  <c r="X415" i="2"/>
  <c r="BN414" i="2"/>
  <c r="BM414" i="2"/>
  <c r="BL414" i="2"/>
  <c r="BK414" i="2"/>
  <c r="BH414" i="2"/>
  <c r="BC414" i="2"/>
  <c r="BB414" i="2"/>
  <c r="BA414" i="2"/>
  <c r="AZ414" i="2"/>
  <c r="AY414" i="2"/>
  <c r="AS414" i="2"/>
  <c r="AR414" i="2"/>
  <c r="AQ414" i="2"/>
  <c r="AP414" i="2"/>
  <c r="AO414" i="2"/>
  <c r="AN414" i="2"/>
  <c r="AI414" i="2"/>
  <c r="AF414" i="2"/>
  <c r="AC414" i="2"/>
  <c r="AC414" i="2" a="1"/>
  <c r="AA414" i="2"/>
  <c r="AA414" i="2" a="1"/>
  <c r="Z414" i="2"/>
  <c r="Z414" i="2" a="1"/>
  <c r="Y414" i="2"/>
  <c r="Y414" i="2" a="1"/>
  <c r="X414" i="2"/>
  <c r="BN413" i="2"/>
  <c r="BM413" i="2"/>
  <c r="BL413" i="2"/>
  <c r="BK413" i="2"/>
  <c r="BH413" i="2"/>
  <c r="BC413" i="2"/>
  <c r="BB413" i="2"/>
  <c r="BA413" i="2"/>
  <c r="AZ413" i="2"/>
  <c r="AY413" i="2"/>
  <c r="AS413" i="2"/>
  <c r="AR413" i="2"/>
  <c r="AQ413" i="2"/>
  <c r="AP413" i="2"/>
  <c r="AO413" i="2"/>
  <c r="AN413" i="2"/>
  <c r="AI413" i="2"/>
  <c r="AF413" i="2"/>
  <c r="AC413" i="2"/>
  <c r="AC413" i="2" a="1"/>
  <c r="AA413" i="2"/>
  <c r="AA413" i="2" a="1"/>
  <c r="Z413" i="2"/>
  <c r="Z413" i="2" a="1"/>
  <c r="Y413" i="2"/>
  <c r="Y413" i="2" a="1"/>
  <c r="X413" i="2"/>
  <c r="BN412" i="2"/>
  <c r="BM412" i="2"/>
  <c r="BL412" i="2"/>
  <c r="BK412" i="2"/>
  <c r="BH412" i="2"/>
  <c r="BC412" i="2"/>
  <c r="BB412" i="2"/>
  <c r="BA412" i="2"/>
  <c r="AZ412" i="2"/>
  <c r="AY412" i="2"/>
  <c r="AS412" i="2"/>
  <c r="AR412" i="2"/>
  <c r="AQ412" i="2"/>
  <c r="AP412" i="2"/>
  <c r="AO412" i="2"/>
  <c r="AN412" i="2"/>
  <c r="AI412" i="2"/>
  <c r="AF412" i="2"/>
  <c r="AC412" i="2"/>
  <c r="AC412" i="2" a="1"/>
  <c r="AA412" i="2"/>
  <c r="AA412" i="2" a="1"/>
  <c r="Z412" i="2"/>
  <c r="Z412" i="2" a="1"/>
  <c r="Y412" i="2"/>
  <c r="Y412" i="2" a="1"/>
  <c r="X412" i="2"/>
  <c r="BN411" i="2"/>
  <c r="BM411" i="2"/>
  <c r="BL411" i="2"/>
  <c r="BK411" i="2"/>
  <c r="BH411" i="2"/>
  <c r="BC411" i="2"/>
  <c r="BB411" i="2"/>
  <c r="BA411" i="2"/>
  <c r="AZ411" i="2"/>
  <c r="AY411" i="2"/>
  <c r="AS411" i="2"/>
  <c r="AR411" i="2"/>
  <c r="AQ411" i="2"/>
  <c r="AP411" i="2"/>
  <c r="AO411" i="2"/>
  <c r="AN411" i="2"/>
  <c r="AI411" i="2"/>
  <c r="AF411" i="2"/>
  <c r="AC411" i="2"/>
  <c r="AC411" i="2" a="1"/>
  <c r="AA411" i="2"/>
  <c r="AA411" i="2" a="1"/>
  <c r="Z411" i="2"/>
  <c r="Z411" i="2" a="1"/>
  <c r="Y411" i="2"/>
  <c r="Y411" i="2" a="1"/>
  <c r="X411" i="2"/>
  <c r="BH410" i="2"/>
  <c r="BC410" i="2"/>
  <c r="BB410" i="2"/>
  <c r="BA410" i="2"/>
  <c r="AZ410" i="2"/>
  <c r="AY410" i="2"/>
  <c r="AY410" i="2" a="1"/>
  <c r="AS410" i="2"/>
  <c r="AR410" i="2"/>
  <c r="AQ410" i="2"/>
  <c r="AP410" i="2"/>
  <c r="AO410" i="2"/>
  <c r="AN410" i="2"/>
  <c r="AI410" i="2"/>
  <c r="AF410" i="2"/>
  <c r="AC410" i="2"/>
  <c r="AC410" i="2" a="1"/>
  <c r="AA410" i="2"/>
  <c r="AA410" i="2" a="1"/>
  <c r="Z410" i="2"/>
  <c r="Z410" i="2" a="1"/>
  <c r="Y410" i="2"/>
  <c r="Y410" i="2" a="1"/>
  <c r="X410" i="2"/>
  <c r="BH409" i="2"/>
  <c r="BC409" i="2"/>
  <c r="BB409" i="2"/>
  <c r="BA409" i="2"/>
  <c r="AZ409" i="2"/>
  <c r="AY409" i="2"/>
  <c r="AS409" i="2"/>
  <c r="AR409" i="2"/>
  <c r="AQ409" i="2"/>
  <c r="AP409" i="2"/>
  <c r="AO409" i="2"/>
  <c r="AN409" i="2"/>
  <c r="AI409" i="2"/>
  <c r="AF409" i="2"/>
  <c r="AC409" i="2"/>
  <c r="AC409" i="2" a="1"/>
  <c r="AA409" i="2"/>
  <c r="AA409" i="2" a="1"/>
  <c r="Z409" i="2"/>
  <c r="Z409" i="2" a="1"/>
  <c r="Y409" i="2"/>
  <c r="Y409" i="2" a="1"/>
  <c r="X409" i="2"/>
  <c r="BH408" i="2"/>
  <c r="BC408" i="2"/>
  <c r="BB408" i="2"/>
  <c r="BA408" i="2"/>
  <c r="AZ408" i="2"/>
  <c r="AY408" i="2"/>
  <c r="AS408" i="2"/>
  <c r="AR408" i="2"/>
  <c r="AQ408" i="2"/>
  <c r="AP408" i="2"/>
  <c r="AO408" i="2"/>
  <c r="AN408" i="2"/>
  <c r="AI408" i="2"/>
  <c r="AF408" i="2"/>
  <c r="AC408" i="2"/>
  <c r="AC408" i="2" a="1"/>
  <c r="AA408" i="2"/>
  <c r="AA408" i="2" a="1"/>
  <c r="Z408" i="2"/>
  <c r="Z408" i="2" a="1"/>
  <c r="Y408" i="2"/>
  <c r="Y408" i="2" a="1"/>
  <c r="X408" i="2"/>
  <c r="BH407" i="2"/>
  <c r="BC407" i="2"/>
  <c r="BB407" i="2"/>
  <c r="BA407" i="2"/>
  <c r="AZ407" i="2"/>
  <c r="AY407" i="2"/>
  <c r="AS407" i="2"/>
  <c r="AR407" i="2"/>
  <c r="AQ407" i="2"/>
  <c r="AP407" i="2"/>
  <c r="AO407" i="2"/>
  <c r="AN407" i="2"/>
  <c r="AI407" i="2"/>
  <c r="AF407" i="2"/>
  <c r="AC407" i="2"/>
  <c r="AC407" i="2" a="1"/>
  <c r="AA407" i="2"/>
  <c r="AA407" i="2" a="1"/>
  <c r="Z407" i="2"/>
  <c r="Z407" i="2" a="1"/>
  <c r="Y407" i="2"/>
  <c r="Y407" i="2" a="1"/>
  <c r="X407" i="2"/>
  <c r="BH406" i="2"/>
  <c r="BC406" i="2"/>
  <c r="BB406" i="2"/>
  <c r="BA406" i="2"/>
  <c r="AZ406" i="2"/>
  <c r="AY406" i="2"/>
  <c r="AS406" i="2"/>
  <c r="AQ406" i="2"/>
  <c r="AP406" i="2"/>
  <c r="AO406" i="2"/>
  <c r="AN406" i="2"/>
  <c r="AI406" i="2"/>
  <c r="AF406" i="2"/>
  <c r="AC406" i="2"/>
  <c r="AC406" i="2" a="1"/>
  <c r="AA406" i="2"/>
  <c r="AA406" i="2" a="1"/>
  <c r="Z406" i="2"/>
  <c r="Z406" i="2" a="1"/>
  <c r="Y406" i="2"/>
  <c r="Y406" i="2" a="1"/>
  <c r="X406" i="2"/>
  <c r="BH405" i="2"/>
  <c r="BC405" i="2"/>
  <c r="BB405" i="2"/>
  <c r="BA405" i="2"/>
  <c r="AZ405" i="2"/>
  <c r="AY405" i="2"/>
  <c r="AS405" i="2"/>
  <c r="AQ405" i="2"/>
  <c r="AP405" i="2"/>
  <c r="AO405" i="2"/>
  <c r="AN405" i="2"/>
  <c r="AI405" i="2"/>
  <c r="AF405" i="2"/>
  <c r="AC405" i="2"/>
  <c r="AC405" i="2" a="1"/>
  <c r="AA405" i="2"/>
  <c r="AA405" i="2" a="1"/>
  <c r="Z405" i="2"/>
  <c r="Z405" i="2" a="1"/>
  <c r="Y405" i="2"/>
  <c r="Y405" i="2" a="1"/>
  <c r="X405" i="2"/>
  <c r="BH404" i="2"/>
  <c r="BC404" i="2"/>
  <c r="BB404" i="2"/>
  <c r="BA404" i="2"/>
  <c r="AZ404" i="2"/>
  <c r="AY404" i="2"/>
  <c r="AS404" i="2"/>
  <c r="AQ404" i="2"/>
  <c r="AP404" i="2"/>
  <c r="AO404" i="2"/>
  <c r="AN404" i="2"/>
  <c r="AI404" i="2"/>
  <c r="AF404" i="2"/>
  <c r="AC404" i="2"/>
  <c r="AC404" i="2" a="1"/>
  <c r="AA404" i="2"/>
  <c r="AA404" i="2" a="1"/>
  <c r="Z404" i="2"/>
  <c r="Z404" i="2" a="1"/>
  <c r="Y404" i="2"/>
  <c r="Y404" i="2" a="1"/>
  <c r="X404" i="2"/>
  <c r="BH403" i="2"/>
  <c r="BC403" i="2"/>
  <c r="BB403" i="2"/>
  <c r="BA403" i="2"/>
  <c r="AZ403" i="2"/>
  <c r="AY403" i="2"/>
  <c r="AS403" i="2"/>
  <c r="AQ403" i="2"/>
  <c r="AP403" i="2"/>
  <c r="AO403" i="2"/>
  <c r="AN403" i="2"/>
  <c r="AI403" i="2"/>
  <c r="AF403" i="2"/>
  <c r="AC403" i="2"/>
  <c r="AC403" i="2" a="1"/>
  <c r="AA403" i="2"/>
  <c r="AA403" i="2" a="1"/>
  <c r="Z403" i="2"/>
  <c r="Z403" i="2" a="1"/>
  <c r="Y403" i="2"/>
  <c r="Y403" i="2" a="1"/>
  <c r="X403" i="2"/>
  <c r="BH402" i="2"/>
  <c r="BC402" i="2"/>
  <c r="BB402" i="2"/>
  <c r="BA402" i="2"/>
  <c r="AZ402" i="2"/>
  <c r="AY402" i="2"/>
  <c r="AS402" i="2"/>
  <c r="AQ402" i="2"/>
  <c r="AP402" i="2"/>
  <c r="AO402" i="2"/>
  <c r="AN402" i="2"/>
  <c r="AI402" i="2"/>
  <c r="AF402" i="2"/>
  <c r="AC402" i="2"/>
  <c r="AC402" i="2" a="1"/>
  <c r="AA402" i="2"/>
  <c r="AA402" i="2" a="1"/>
  <c r="Z402" i="2"/>
  <c r="Z402" i="2" a="1"/>
  <c r="Y402" i="2"/>
  <c r="Y402" i="2" a="1"/>
  <c r="X402" i="2"/>
  <c r="BH401" i="2"/>
  <c r="BC401" i="2"/>
  <c r="BB401" i="2"/>
  <c r="BA401" i="2"/>
  <c r="AZ401" i="2"/>
  <c r="AY401" i="2"/>
  <c r="AS401" i="2"/>
  <c r="AQ401" i="2"/>
  <c r="AP401" i="2"/>
  <c r="AO401" i="2"/>
  <c r="AN401" i="2"/>
  <c r="AI401" i="2"/>
  <c r="AF401" i="2"/>
  <c r="AC401" i="2"/>
  <c r="AC401" i="2" a="1"/>
  <c r="AA401" i="2"/>
  <c r="AA401" i="2" a="1"/>
  <c r="Z401" i="2"/>
  <c r="Z401" i="2" a="1"/>
  <c r="Y401" i="2"/>
  <c r="Y401" i="2" a="1"/>
  <c r="X401" i="2"/>
  <c r="BH400" i="2"/>
  <c r="BC400" i="2"/>
  <c r="BB400" i="2"/>
  <c r="BA400" i="2"/>
  <c r="AZ400" i="2"/>
  <c r="AY400" i="2"/>
  <c r="AS400" i="2"/>
  <c r="AQ400" i="2"/>
  <c r="AP400" i="2"/>
  <c r="AO400" i="2"/>
  <c r="AN400" i="2"/>
  <c r="AI400" i="2"/>
  <c r="AF400" i="2"/>
  <c r="AC400" i="2"/>
  <c r="AC400" i="2" a="1"/>
  <c r="AA400" i="2"/>
  <c r="AA400" i="2" a="1"/>
  <c r="Z400" i="2"/>
  <c r="Z400" i="2" a="1"/>
  <c r="Y400" i="2"/>
  <c r="Y400" i="2" a="1"/>
  <c r="X400" i="2"/>
  <c r="BH399" i="2"/>
  <c r="BC399" i="2"/>
  <c r="BB399" i="2"/>
  <c r="BA399" i="2"/>
  <c r="AZ399" i="2"/>
  <c r="AY399" i="2"/>
  <c r="AS399" i="2"/>
  <c r="AQ399" i="2"/>
  <c r="AP399" i="2"/>
  <c r="AO399" i="2"/>
  <c r="AN399" i="2"/>
  <c r="AI399" i="2"/>
  <c r="AF399" i="2"/>
  <c r="AC399" i="2"/>
  <c r="AC399" i="2" a="1"/>
  <c r="AA399" i="2"/>
  <c r="AA399" i="2" a="1"/>
  <c r="Z399" i="2"/>
  <c r="Z399" i="2" a="1"/>
  <c r="Y399" i="2"/>
  <c r="Y399" i="2" a="1"/>
  <c r="X399" i="2"/>
  <c r="BH398" i="2"/>
  <c r="BC398" i="2"/>
  <c r="BB398" i="2"/>
  <c r="BA398" i="2"/>
  <c r="AZ398" i="2"/>
  <c r="AY398" i="2"/>
  <c r="AS398" i="2"/>
  <c r="AQ398" i="2"/>
  <c r="AP398" i="2"/>
  <c r="AO398" i="2"/>
  <c r="AN398" i="2"/>
  <c r="AI398" i="2"/>
  <c r="AF398" i="2"/>
  <c r="AC398" i="2"/>
  <c r="AC398" i="2" a="1"/>
  <c r="AA398" i="2"/>
  <c r="AA398" i="2" a="1"/>
  <c r="Z398" i="2"/>
  <c r="Z398" i="2" a="1"/>
  <c r="Y398" i="2"/>
  <c r="Y398" i="2" a="1"/>
  <c r="X398" i="2"/>
  <c r="BH397" i="2"/>
  <c r="BC397" i="2"/>
  <c r="BB397" i="2"/>
  <c r="BA397" i="2"/>
  <c r="AZ397" i="2"/>
  <c r="AY397" i="2"/>
  <c r="AS397" i="2"/>
  <c r="AQ397" i="2"/>
  <c r="AP397" i="2"/>
  <c r="AO397" i="2"/>
  <c r="AN397" i="2"/>
  <c r="AI397" i="2"/>
  <c r="AF397" i="2"/>
  <c r="AC397" i="2"/>
  <c r="AC397" i="2" a="1"/>
  <c r="AA397" i="2"/>
  <c r="AA397" i="2" a="1"/>
  <c r="Z397" i="2"/>
  <c r="Z397" i="2" a="1"/>
  <c r="Y397" i="2"/>
  <c r="Y397" i="2" a="1"/>
  <c r="X397" i="2"/>
  <c r="BH396" i="2"/>
  <c r="BC396" i="2"/>
  <c r="BB396" i="2"/>
  <c r="BA396" i="2"/>
  <c r="AZ396" i="2"/>
  <c r="AY396" i="2"/>
  <c r="AS396" i="2"/>
  <c r="AQ396" i="2"/>
  <c r="AP396" i="2"/>
  <c r="AO396" i="2"/>
  <c r="AN396" i="2"/>
  <c r="AI396" i="2"/>
  <c r="AF396" i="2"/>
  <c r="AC396" i="2"/>
  <c r="AC396" i="2" a="1"/>
  <c r="AA396" i="2"/>
  <c r="AA396" i="2" a="1"/>
  <c r="Z396" i="2"/>
  <c r="Z396" i="2" a="1"/>
  <c r="Y396" i="2"/>
  <c r="Y396" i="2" a="1"/>
  <c r="X396" i="2"/>
  <c r="BH395" i="2"/>
  <c r="BC395" i="2"/>
  <c r="BB395" i="2"/>
  <c r="BA395" i="2"/>
  <c r="AZ395" i="2"/>
  <c r="AY395" i="2"/>
  <c r="AS395" i="2"/>
  <c r="AQ395" i="2"/>
  <c r="AP395" i="2"/>
  <c r="AO395" i="2"/>
  <c r="AN395" i="2"/>
  <c r="AI395" i="2"/>
  <c r="AF395" i="2"/>
  <c r="AC395" i="2"/>
  <c r="AC395" i="2" a="1"/>
  <c r="AA395" i="2"/>
  <c r="AA395" i="2" a="1"/>
  <c r="Z395" i="2"/>
  <c r="Z395" i="2" a="1"/>
  <c r="Y395" i="2"/>
  <c r="Y395" i="2" a="1"/>
  <c r="X395" i="2"/>
  <c r="BH394" i="2"/>
  <c r="BC394" i="2"/>
  <c r="BB394" i="2"/>
  <c r="BA394" i="2"/>
  <c r="AZ394" i="2"/>
  <c r="AY394" i="2"/>
  <c r="AS394" i="2"/>
  <c r="AQ394" i="2"/>
  <c r="AP394" i="2"/>
  <c r="AO394" i="2"/>
  <c r="AN394" i="2"/>
  <c r="AI394" i="2"/>
  <c r="AF394" i="2"/>
  <c r="AC394" i="2"/>
  <c r="AC394" i="2" a="1"/>
  <c r="AA394" i="2"/>
  <c r="AA394" i="2" a="1"/>
  <c r="Z394" i="2"/>
  <c r="Z394" i="2" a="1"/>
  <c r="Y394" i="2"/>
  <c r="Y394" i="2" a="1"/>
  <c r="X394" i="2"/>
  <c r="BH393" i="2"/>
  <c r="BC393" i="2"/>
  <c r="BB393" i="2"/>
  <c r="BA393" i="2"/>
  <c r="AZ393" i="2"/>
  <c r="AY393" i="2"/>
  <c r="AS393" i="2"/>
  <c r="AQ393" i="2"/>
  <c r="AP393" i="2"/>
  <c r="AO393" i="2"/>
  <c r="AN393" i="2"/>
  <c r="AI393" i="2"/>
  <c r="AF393" i="2"/>
  <c r="AC393" i="2"/>
  <c r="AC393" i="2" a="1"/>
  <c r="AA393" i="2"/>
  <c r="AA393" i="2" a="1"/>
  <c r="Z393" i="2"/>
  <c r="Z393" i="2" a="1"/>
  <c r="Y393" i="2"/>
  <c r="Y393" i="2" a="1"/>
  <c r="X393" i="2"/>
  <c r="BH392" i="2"/>
  <c r="BC392" i="2"/>
  <c r="BB392" i="2"/>
  <c r="BA392" i="2"/>
  <c r="AZ392" i="2"/>
  <c r="AY392" i="2"/>
  <c r="AS392" i="2"/>
  <c r="AQ392" i="2"/>
  <c r="AP392" i="2"/>
  <c r="AO392" i="2"/>
  <c r="AN392" i="2"/>
  <c r="AI392" i="2"/>
  <c r="AF392" i="2"/>
  <c r="AC392" i="2"/>
  <c r="AC392" i="2" a="1"/>
  <c r="AA392" i="2"/>
  <c r="AA392" i="2" a="1"/>
  <c r="Z392" i="2"/>
  <c r="Z392" i="2" a="1"/>
  <c r="Y392" i="2"/>
  <c r="Y392" i="2" a="1"/>
  <c r="X392" i="2"/>
  <c r="BH391" i="2"/>
  <c r="BC391" i="2"/>
  <c r="BB391" i="2"/>
  <c r="BA391" i="2"/>
  <c r="AZ391" i="2"/>
  <c r="AY391" i="2"/>
  <c r="AS391" i="2"/>
  <c r="AQ391" i="2"/>
  <c r="AP391" i="2"/>
  <c r="AO391" i="2"/>
  <c r="AN391" i="2"/>
  <c r="AI391" i="2"/>
  <c r="AF391" i="2"/>
  <c r="AC391" i="2"/>
  <c r="AC391" i="2" a="1"/>
  <c r="AA391" i="2"/>
  <c r="AA391" i="2" a="1"/>
  <c r="Z391" i="2"/>
  <c r="Z391" i="2" a="1"/>
  <c r="Y391" i="2"/>
  <c r="Y391" i="2" a="1"/>
  <c r="X391" i="2"/>
  <c r="BH390" i="2"/>
  <c r="BC390" i="2"/>
  <c r="BB390" i="2"/>
  <c r="BA390" i="2"/>
  <c r="AZ390" i="2"/>
  <c r="AY390" i="2"/>
  <c r="AS390" i="2"/>
  <c r="AQ390" i="2"/>
  <c r="AP390" i="2"/>
  <c r="AO390" i="2"/>
  <c r="AN390" i="2"/>
  <c r="AI390" i="2"/>
  <c r="AF390" i="2"/>
  <c r="AC390" i="2"/>
  <c r="AC390" i="2" a="1"/>
  <c r="AA390" i="2"/>
  <c r="AA390" i="2" a="1"/>
  <c r="Z390" i="2"/>
  <c r="Z390" i="2" a="1"/>
  <c r="Y390" i="2"/>
  <c r="Y390" i="2" a="1"/>
  <c r="X390" i="2"/>
  <c r="BH389" i="2"/>
  <c r="BC389" i="2"/>
  <c r="BB389" i="2"/>
  <c r="BA389" i="2"/>
  <c r="AZ389" i="2"/>
  <c r="AY389" i="2"/>
  <c r="AS389" i="2"/>
  <c r="AQ389" i="2"/>
  <c r="AP389" i="2"/>
  <c r="AO389" i="2"/>
  <c r="AN389" i="2"/>
  <c r="AI389" i="2"/>
  <c r="AF389" i="2"/>
  <c r="AC389" i="2"/>
  <c r="AC389" i="2" a="1"/>
  <c r="AA389" i="2"/>
  <c r="AA389" i="2" a="1"/>
  <c r="Z389" i="2"/>
  <c r="Z389" i="2" a="1"/>
  <c r="Y389" i="2"/>
  <c r="Y389" i="2" a="1"/>
  <c r="X389" i="2"/>
  <c r="BH388" i="2"/>
  <c r="BC388" i="2"/>
  <c r="BB388" i="2"/>
  <c r="BA388" i="2"/>
  <c r="AZ388" i="2"/>
  <c r="AY388" i="2"/>
  <c r="AS388" i="2"/>
  <c r="AQ388" i="2"/>
  <c r="AP388" i="2"/>
  <c r="AO388" i="2"/>
  <c r="AN388" i="2"/>
  <c r="AI388" i="2"/>
  <c r="AF388" i="2"/>
  <c r="AC388" i="2"/>
  <c r="AC388" i="2" a="1"/>
  <c r="AA388" i="2"/>
  <c r="AA388" i="2" a="1"/>
  <c r="Z388" i="2"/>
  <c r="Z388" i="2" a="1"/>
  <c r="Y388" i="2"/>
  <c r="Y388" i="2" a="1"/>
  <c r="X388" i="2"/>
  <c r="BC387" i="2"/>
  <c r="BB387" i="2"/>
  <c r="BA387" i="2"/>
  <c r="AZ387" i="2"/>
  <c r="AY387" i="2"/>
  <c r="AS387" i="2"/>
  <c r="AQ387" i="2"/>
  <c r="AP387" i="2"/>
  <c r="AO387" i="2"/>
  <c r="AN387" i="2"/>
  <c r="AI387" i="2"/>
  <c r="AF387" i="2"/>
  <c r="AC387" i="2"/>
  <c r="AC387" i="2" a="1"/>
  <c r="AA387" i="2"/>
  <c r="AA387" i="2" a="1"/>
  <c r="Z387" i="2"/>
  <c r="Z387" i="2" a="1"/>
  <c r="Y387" i="2"/>
  <c r="Y387" i="2" a="1"/>
  <c r="X387" i="2"/>
  <c r="BC386" i="2"/>
  <c r="BB386" i="2"/>
  <c r="BA386" i="2"/>
  <c r="AZ386" i="2"/>
  <c r="AY386" i="2"/>
  <c r="AS386" i="2"/>
  <c r="AQ386" i="2"/>
  <c r="AP386" i="2"/>
  <c r="AO386" i="2"/>
  <c r="AN386" i="2"/>
  <c r="AI386" i="2"/>
  <c r="AF386" i="2"/>
  <c r="AC386" i="2"/>
  <c r="AC386" i="2" a="1"/>
  <c r="AA386" i="2"/>
  <c r="AA386" i="2" a="1"/>
  <c r="Z386" i="2"/>
  <c r="Z386" i="2" a="1"/>
  <c r="Y386" i="2"/>
  <c r="Y386" i="2" a="1"/>
  <c r="X386" i="2"/>
  <c r="BC385" i="2"/>
  <c r="BB385" i="2"/>
  <c r="BA385" i="2"/>
  <c r="AZ385" i="2"/>
  <c r="AY385" i="2"/>
  <c r="AS385" i="2"/>
  <c r="AQ385" i="2"/>
  <c r="AP385" i="2"/>
  <c r="AO385" i="2"/>
  <c r="AN385" i="2"/>
  <c r="AI385" i="2"/>
  <c r="AF385" i="2"/>
  <c r="AC385" i="2"/>
  <c r="AC385" i="2" a="1"/>
  <c r="AA385" i="2"/>
  <c r="AA385" i="2" a="1"/>
  <c r="Z385" i="2"/>
  <c r="Z385" i="2" a="1"/>
  <c r="Y385" i="2"/>
  <c r="Y385" i="2" a="1"/>
  <c r="X385" i="2"/>
  <c r="BC384" i="2"/>
  <c r="BB384" i="2"/>
  <c r="BA384" i="2"/>
  <c r="AZ384" i="2"/>
  <c r="AY384" i="2"/>
  <c r="AS384" i="2"/>
  <c r="AQ384" i="2"/>
  <c r="AP384" i="2"/>
  <c r="AO384" i="2"/>
  <c r="AN384" i="2"/>
  <c r="AI384" i="2"/>
  <c r="AF384" i="2"/>
  <c r="AC384" i="2"/>
  <c r="AC384" i="2" a="1"/>
  <c r="AA384" i="2"/>
  <c r="AA384" i="2" a="1"/>
  <c r="Z384" i="2"/>
  <c r="Z384" i="2" a="1"/>
  <c r="Y384" i="2"/>
  <c r="Y384" i="2" a="1"/>
  <c r="X384" i="2"/>
  <c r="BC383" i="2"/>
  <c r="BB383" i="2"/>
  <c r="BA383" i="2"/>
  <c r="AZ383" i="2"/>
  <c r="AY383" i="2"/>
  <c r="AS383" i="2"/>
  <c r="AQ383" i="2"/>
  <c r="AP383" i="2"/>
  <c r="AO383" i="2"/>
  <c r="AN383" i="2"/>
  <c r="AI383" i="2"/>
  <c r="AF383" i="2"/>
  <c r="AC383" i="2"/>
  <c r="AC383" i="2" a="1"/>
  <c r="AA383" i="2"/>
  <c r="AA383" i="2" a="1"/>
  <c r="Z383" i="2"/>
  <c r="Z383" i="2" a="1"/>
  <c r="Y383" i="2"/>
  <c r="Y383" i="2" a="1"/>
  <c r="X383" i="2"/>
  <c r="BC382" i="2"/>
  <c r="BB382" i="2"/>
  <c r="BA382" i="2"/>
  <c r="AZ382" i="2"/>
  <c r="AY382" i="2"/>
  <c r="AS382" i="2"/>
  <c r="AQ382" i="2"/>
  <c r="AP382" i="2"/>
  <c r="AO382" i="2"/>
  <c r="AN382" i="2"/>
  <c r="AI382" i="2"/>
  <c r="AF382" i="2"/>
  <c r="AC382" i="2"/>
  <c r="AC382" i="2" a="1"/>
  <c r="AA382" i="2"/>
  <c r="AA382" i="2" a="1"/>
  <c r="Z382" i="2"/>
  <c r="Z382" i="2" a="1"/>
  <c r="Y382" i="2"/>
  <c r="Y382" i="2" a="1"/>
  <c r="X382" i="2"/>
  <c r="BC381" i="2"/>
  <c r="BB381" i="2"/>
  <c r="BA381" i="2"/>
  <c r="AZ381" i="2"/>
  <c r="AY381" i="2"/>
  <c r="AS381" i="2"/>
  <c r="AQ381" i="2"/>
  <c r="AP381" i="2"/>
  <c r="AO381" i="2"/>
  <c r="AN381" i="2"/>
  <c r="AI381" i="2"/>
  <c r="AF381" i="2"/>
  <c r="AC381" i="2"/>
  <c r="AC381" i="2" a="1"/>
  <c r="AA381" i="2"/>
  <c r="AA381" i="2" a="1"/>
  <c r="Z381" i="2"/>
  <c r="Z381" i="2" a="1"/>
  <c r="Y381" i="2"/>
  <c r="Y381" i="2" a="1"/>
  <c r="X381" i="2"/>
  <c r="BC380" i="2"/>
  <c r="BB380" i="2"/>
  <c r="BA380" i="2"/>
  <c r="AZ380" i="2"/>
  <c r="AY380" i="2"/>
  <c r="AV380" i="2"/>
  <c r="AS380" i="2"/>
  <c r="AQ380" i="2"/>
  <c r="AP380" i="2"/>
  <c r="AO380" i="2"/>
  <c r="AN380" i="2"/>
  <c r="AI380" i="2"/>
  <c r="AF380" i="2"/>
  <c r="AC380" i="2"/>
  <c r="AC380" i="2" a="1"/>
  <c r="AA380" i="2"/>
  <c r="AA380" i="2" a="1"/>
  <c r="Z380" i="2"/>
  <c r="Z380" i="2" a="1"/>
  <c r="Y380" i="2"/>
  <c r="Y380" i="2" a="1"/>
  <c r="X380" i="2"/>
  <c r="BC379" i="2"/>
  <c r="BB379" i="2"/>
  <c r="BA379" i="2"/>
  <c r="AZ379" i="2"/>
  <c r="AY379" i="2"/>
  <c r="AS379" i="2"/>
  <c r="AQ379" i="2"/>
  <c r="AP379" i="2"/>
  <c r="AO379" i="2"/>
  <c r="AN379" i="2"/>
  <c r="AI379" i="2"/>
  <c r="AF379" i="2"/>
  <c r="AC379" i="2"/>
  <c r="AC379" i="2" a="1"/>
  <c r="AA379" i="2"/>
  <c r="AA379" i="2" a="1"/>
  <c r="Z379" i="2"/>
  <c r="Z379" i="2" a="1"/>
  <c r="Y379" i="2"/>
  <c r="Y379" i="2" a="1"/>
  <c r="X379" i="2"/>
  <c r="BC378" i="2"/>
  <c r="BB378" i="2"/>
  <c r="BA378" i="2"/>
  <c r="AZ378" i="2"/>
  <c r="AY378" i="2"/>
  <c r="AS378" i="2"/>
  <c r="AQ378" i="2"/>
  <c r="AP378" i="2"/>
  <c r="AO378" i="2"/>
  <c r="AN378" i="2"/>
  <c r="AI378" i="2"/>
  <c r="AF378" i="2"/>
  <c r="AC378" i="2"/>
  <c r="AC378" i="2" a="1"/>
  <c r="AA378" i="2"/>
  <c r="AA378" i="2" a="1"/>
  <c r="Z378" i="2"/>
  <c r="Z378" i="2" a="1"/>
  <c r="Y378" i="2"/>
  <c r="Y378" i="2" a="1"/>
  <c r="X378" i="2"/>
  <c r="BC377" i="2"/>
  <c r="BB377" i="2"/>
  <c r="BA377" i="2"/>
  <c r="AZ377" i="2"/>
  <c r="AY377" i="2"/>
  <c r="AS377" i="2"/>
  <c r="AQ377" i="2"/>
  <c r="AP377" i="2"/>
  <c r="AO377" i="2"/>
  <c r="AN377" i="2"/>
  <c r="AI377" i="2"/>
  <c r="AF377" i="2"/>
  <c r="AC377" i="2"/>
  <c r="AC377" i="2" a="1"/>
  <c r="AA377" i="2"/>
  <c r="AA377" i="2" a="1"/>
  <c r="Z377" i="2"/>
  <c r="Z377" i="2" a="1"/>
  <c r="Y377" i="2"/>
  <c r="Y377" i="2" a="1"/>
  <c r="X377" i="2"/>
  <c r="BC376" i="2"/>
  <c r="BB376" i="2"/>
  <c r="BA376" i="2"/>
  <c r="AZ376" i="2"/>
  <c r="AY376" i="2"/>
  <c r="AS376" i="2"/>
  <c r="AQ376" i="2"/>
  <c r="AP376" i="2"/>
  <c r="AO376" i="2"/>
  <c r="AN376" i="2"/>
  <c r="AI376" i="2"/>
  <c r="AF376" i="2"/>
  <c r="AC376" i="2"/>
  <c r="AC376" i="2" a="1"/>
  <c r="AA376" i="2"/>
  <c r="AA376" i="2" a="1"/>
  <c r="Z376" i="2"/>
  <c r="Z376" i="2" a="1"/>
  <c r="Y376" i="2"/>
  <c r="Y376" i="2" a="1"/>
  <c r="X376" i="2"/>
  <c r="BC375" i="2"/>
  <c r="BB375" i="2"/>
  <c r="BA375" i="2"/>
  <c r="AZ375" i="2"/>
  <c r="AY375" i="2"/>
  <c r="AS375" i="2"/>
  <c r="AQ375" i="2"/>
  <c r="AP375" i="2"/>
  <c r="AO375" i="2"/>
  <c r="AN375" i="2"/>
  <c r="AI375" i="2"/>
  <c r="AF375" i="2"/>
  <c r="AC375" i="2"/>
  <c r="AC375" i="2" a="1"/>
  <c r="AA375" i="2"/>
  <c r="AA375" i="2" a="1"/>
  <c r="Z375" i="2"/>
  <c r="Z375" i="2" a="1"/>
  <c r="Y375" i="2"/>
  <c r="Y375" i="2" a="1"/>
  <c r="X375" i="2"/>
  <c r="BC374" i="2"/>
  <c r="BB374" i="2"/>
  <c r="BA374" i="2"/>
  <c r="AZ374" i="2"/>
  <c r="AY374" i="2"/>
  <c r="AS374" i="2"/>
  <c r="AQ374" i="2"/>
  <c r="AP374" i="2"/>
  <c r="AO374" i="2"/>
  <c r="AN374" i="2"/>
  <c r="AI374" i="2"/>
  <c r="AF374" i="2"/>
  <c r="AC374" i="2"/>
  <c r="AC374" i="2" a="1"/>
  <c r="AA374" i="2"/>
  <c r="AA374" i="2" a="1"/>
  <c r="Z374" i="2"/>
  <c r="Z374" i="2" a="1"/>
  <c r="Y374" i="2"/>
  <c r="Y374" i="2" a="1"/>
  <c r="X374" i="2"/>
  <c r="BC373" i="2"/>
  <c r="BB373" i="2"/>
  <c r="BA373" i="2"/>
  <c r="AZ373" i="2"/>
  <c r="AY373" i="2"/>
  <c r="AS373" i="2"/>
  <c r="AQ373" i="2"/>
  <c r="AP373" i="2"/>
  <c r="AO373" i="2"/>
  <c r="AN373" i="2"/>
  <c r="AI373" i="2"/>
  <c r="AF373" i="2"/>
  <c r="AC373" i="2"/>
  <c r="AC373" i="2" a="1"/>
  <c r="AA373" i="2"/>
  <c r="AA373" i="2" a="1"/>
  <c r="Z373" i="2"/>
  <c r="Z373" i="2" a="1"/>
  <c r="Y373" i="2"/>
  <c r="Y373" i="2" a="1"/>
  <c r="X373" i="2"/>
  <c r="BC372" i="2"/>
  <c r="BB372" i="2"/>
  <c r="BA372" i="2"/>
  <c r="AZ372" i="2"/>
  <c r="AY372" i="2"/>
  <c r="AS372" i="2"/>
  <c r="AQ372" i="2"/>
  <c r="AP372" i="2"/>
  <c r="AO372" i="2"/>
  <c r="AN372" i="2"/>
  <c r="AI372" i="2"/>
  <c r="AF372" i="2"/>
  <c r="AC372" i="2"/>
  <c r="AC372" i="2" a="1"/>
  <c r="AA372" i="2"/>
  <c r="AA372" i="2" a="1"/>
  <c r="Z372" i="2"/>
  <c r="Z372" i="2" a="1"/>
  <c r="Y372" i="2"/>
  <c r="Y372" i="2" a="1"/>
  <c r="X372" i="2"/>
  <c r="BC371" i="2"/>
  <c r="BB371" i="2"/>
  <c r="BA371" i="2"/>
  <c r="AZ371" i="2"/>
  <c r="AY371" i="2"/>
  <c r="AS371" i="2"/>
  <c r="AQ371" i="2"/>
  <c r="AP371" i="2"/>
  <c r="AO371" i="2"/>
  <c r="AN371" i="2"/>
  <c r="AI371" i="2"/>
  <c r="AF371" i="2"/>
  <c r="AC371" i="2"/>
  <c r="AC371" i="2" a="1"/>
  <c r="AA371" i="2"/>
  <c r="AA371" i="2" a="1"/>
  <c r="Z371" i="2"/>
  <c r="Z371" i="2" a="1"/>
  <c r="Y371" i="2"/>
  <c r="Y371" i="2" a="1"/>
  <c r="X371" i="2"/>
  <c r="BC370" i="2"/>
  <c r="BB370" i="2"/>
  <c r="BA370" i="2"/>
  <c r="AZ370" i="2"/>
  <c r="AY370" i="2"/>
  <c r="AS370" i="2"/>
  <c r="AQ370" i="2"/>
  <c r="AP370" i="2"/>
  <c r="AO370" i="2"/>
  <c r="AN370" i="2"/>
  <c r="AI370" i="2"/>
  <c r="AF370" i="2"/>
  <c r="AC370" i="2"/>
  <c r="AC370" i="2" a="1"/>
  <c r="AA370" i="2"/>
  <c r="AA370" i="2" a="1"/>
  <c r="Z370" i="2"/>
  <c r="Z370" i="2" a="1"/>
  <c r="Y370" i="2"/>
  <c r="Y370" i="2" a="1"/>
  <c r="X370" i="2"/>
  <c r="BC369" i="2"/>
  <c r="BB369" i="2"/>
  <c r="BA369" i="2"/>
  <c r="AZ369" i="2"/>
  <c r="AY369" i="2"/>
  <c r="AS369" i="2"/>
  <c r="AQ369" i="2"/>
  <c r="AP369" i="2"/>
  <c r="AO369" i="2"/>
  <c r="AN369" i="2"/>
  <c r="AI369" i="2"/>
  <c r="AF369" i="2"/>
  <c r="AC369" i="2"/>
  <c r="AC369" i="2" a="1"/>
  <c r="AA369" i="2"/>
  <c r="AA369" i="2" a="1"/>
  <c r="Z369" i="2"/>
  <c r="Z369" i="2" a="1"/>
  <c r="Y369" i="2"/>
  <c r="Y369" i="2" a="1"/>
  <c r="X369" i="2"/>
  <c r="BC368" i="2"/>
  <c r="BB368" i="2"/>
  <c r="BA368" i="2"/>
  <c r="AZ368" i="2"/>
  <c r="AY368" i="2"/>
  <c r="AS368" i="2"/>
  <c r="AQ368" i="2"/>
  <c r="AP368" i="2"/>
  <c r="AO368" i="2"/>
  <c r="AN368" i="2"/>
  <c r="AI368" i="2"/>
  <c r="AF368" i="2"/>
  <c r="AC368" i="2"/>
  <c r="AC368" i="2" a="1"/>
  <c r="AA368" i="2"/>
  <c r="AA368" i="2" a="1"/>
  <c r="Z368" i="2"/>
  <c r="Z368" i="2" a="1"/>
  <c r="Y368" i="2"/>
  <c r="Y368" i="2" a="1"/>
  <c r="X368" i="2"/>
  <c r="BC367" i="2"/>
  <c r="BB367" i="2"/>
  <c r="BA367" i="2"/>
  <c r="AZ367" i="2"/>
  <c r="AY367" i="2"/>
  <c r="AS367" i="2"/>
  <c r="AQ367" i="2"/>
  <c r="AP367" i="2"/>
  <c r="AO367" i="2"/>
  <c r="AN367" i="2"/>
  <c r="AI367" i="2"/>
  <c r="AF367" i="2"/>
  <c r="AC367" i="2"/>
  <c r="AC367" i="2" a="1"/>
  <c r="AA367" i="2"/>
  <c r="AA367" i="2" a="1"/>
  <c r="Z367" i="2"/>
  <c r="Z367" i="2" a="1"/>
  <c r="Y367" i="2"/>
  <c r="Y367" i="2" a="1"/>
  <c r="X367" i="2"/>
  <c r="BC366" i="2"/>
  <c r="BB366" i="2"/>
  <c r="BA366" i="2"/>
  <c r="AZ366" i="2"/>
  <c r="AY366" i="2"/>
  <c r="AS366" i="2"/>
  <c r="AQ366" i="2"/>
  <c r="AP366" i="2"/>
  <c r="AO366" i="2"/>
  <c r="AN366" i="2"/>
  <c r="AI366" i="2"/>
  <c r="AF366" i="2"/>
  <c r="AC366" i="2"/>
  <c r="AC366" i="2" a="1"/>
  <c r="AA366" i="2"/>
  <c r="AA366" i="2" a="1"/>
  <c r="Z366" i="2"/>
  <c r="Z366" i="2" a="1"/>
  <c r="Y366" i="2"/>
  <c r="Y366" i="2" a="1"/>
  <c r="X366" i="2"/>
  <c r="BC365" i="2"/>
  <c r="BB365" i="2"/>
  <c r="BA365" i="2"/>
  <c r="AZ365" i="2"/>
  <c r="AY365" i="2"/>
  <c r="AS365" i="2"/>
  <c r="AQ365" i="2"/>
  <c r="AP365" i="2"/>
  <c r="AO365" i="2"/>
  <c r="AN365" i="2"/>
  <c r="AI365" i="2"/>
  <c r="AF365" i="2"/>
  <c r="AC365" i="2"/>
  <c r="AC365" i="2" a="1"/>
  <c r="AA365" i="2"/>
  <c r="AA365" i="2" a="1"/>
  <c r="Z365" i="2"/>
  <c r="Z365" i="2" a="1"/>
  <c r="Y365" i="2"/>
  <c r="Y365" i="2" a="1"/>
  <c r="X365" i="2"/>
  <c r="BC364" i="2"/>
  <c r="BB364" i="2"/>
  <c r="BA364" i="2"/>
  <c r="AZ364" i="2"/>
  <c r="AY364" i="2"/>
  <c r="AS364" i="2"/>
  <c r="AQ364" i="2"/>
  <c r="AP364" i="2"/>
  <c r="AO364" i="2"/>
  <c r="AN364" i="2"/>
  <c r="AI364" i="2"/>
  <c r="AF364" i="2"/>
  <c r="AC364" i="2"/>
  <c r="AC364" i="2" a="1"/>
  <c r="AA364" i="2"/>
  <c r="AA364" i="2" a="1"/>
  <c r="Z364" i="2"/>
  <c r="Z364" i="2" a="1"/>
  <c r="Y364" i="2"/>
  <c r="Y364" i="2" a="1"/>
  <c r="X364" i="2"/>
  <c r="BC363" i="2"/>
  <c r="BB363" i="2"/>
  <c r="BA363" i="2"/>
  <c r="AZ363" i="2"/>
  <c r="AY363" i="2"/>
  <c r="AS363" i="2"/>
  <c r="AQ363" i="2"/>
  <c r="AP363" i="2"/>
  <c r="AO363" i="2"/>
  <c r="AN363" i="2"/>
  <c r="AI363" i="2"/>
  <c r="AF363" i="2"/>
  <c r="AC363" i="2"/>
  <c r="AC363" i="2" a="1"/>
  <c r="AA363" i="2"/>
  <c r="AA363" i="2" a="1"/>
  <c r="Z363" i="2"/>
  <c r="Z363" i="2" a="1"/>
  <c r="Y363" i="2"/>
  <c r="Y363" i="2" a="1"/>
  <c r="X363" i="2"/>
  <c r="BC362" i="2"/>
  <c r="BB362" i="2"/>
  <c r="BA362" i="2"/>
  <c r="AZ362" i="2"/>
  <c r="AY362" i="2"/>
  <c r="AS362" i="2"/>
  <c r="AQ362" i="2"/>
  <c r="AP362" i="2"/>
  <c r="AO362" i="2"/>
  <c r="AN362" i="2"/>
  <c r="AI362" i="2"/>
  <c r="AF362" i="2"/>
  <c r="AC362" i="2"/>
  <c r="AC362" i="2" a="1"/>
  <c r="AA362" i="2"/>
  <c r="AA362" i="2" a="1"/>
  <c r="Z362" i="2"/>
  <c r="Z362" i="2" a="1"/>
  <c r="Y362" i="2"/>
  <c r="Y362" i="2" a="1"/>
  <c r="X362" i="2"/>
  <c r="BC361" i="2"/>
  <c r="BB361" i="2"/>
  <c r="BA361" i="2"/>
  <c r="AZ361" i="2"/>
  <c r="AY361" i="2"/>
  <c r="AS361" i="2"/>
  <c r="AQ361" i="2"/>
  <c r="AP361" i="2"/>
  <c r="AO361" i="2"/>
  <c r="AN361" i="2"/>
  <c r="AI361" i="2"/>
  <c r="AF361" i="2"/>
  <c r="AC361" i="2"/>
  <c r="AC361" i="2" a="1"/>
  <c r="AA361" i="2"/>
  <c r="AA361" i="2" a="1"/>
  <c r="Z361" i="2"/>
  <c r="Z361" i="2" a="1"/>
  <c r="Y361" i="2"/>
  <c r="Y361" i="2" a="1"/>
  <c r="X361" i="2"/>
  <c r="BC360" i="2"/>
  <c r="BB360" i="2"/>
  <c r="BA360" i="2"/>
  <c r="AZ360" i="2"/>
  <c r="AY360" i="2"/>
  <c r="AS360" i="2"/>
  <c r="AQ360" i="2"/>
  <c r="AP360" i="2"/>
  <c r="AO360" i="2"/>
  <c r="AN360" i="2"/>
  <c r="AI360" i="2"/>
  <c r="AF360" i="2"/>
  <c r="AC360" i="2"/>
  <c r="AC360" i="2" a="1"/>
  <c r="AA360" i="2"/>
  <c r="AA360" i="2" a="1"/>
  <c r="Z360" i="2"/>
  <c r="Z360" i="2" a="1"/>
  <c r="Y360" i="2"/>
  <c r="Y360" i="2" a="1"/>
  <c r="X360" i="2"/>
  <c r="BC359" i="2"/>
  <c r="BB359" i="2"/>
  <c r="BA359" i="2"/>
  <c r="AZ359" i="2"/>
  <c r="AY359" i="2"/>
  <c r="AS359" i="2"/>
  <c r="AQ359" i="2"/>
  <c r="AP359" i="2"/>
  <c r="AO359" i="2"/>
  <c r="AN359" i="2"/>
  <c r="AI359" i="2"/>
  <c r="AF359" i="2"/>
  <c r="AC359" i="2"/>
  <c r="AC359" i="2" a="1"/>
  <c r="AA359" i="2"/>
  <c r="AA359" i="2" a="1"/>
  <c r="Z359" i="2"/>
  <c r="Z359" i="2" a="1"/>
  <c r="Y359" i="2"/>
  <c r="Y359" i="2" a="1"/>
  <c r="X359" i="2"/>
  <c r="BC358" i="2"/>
  <c r="BB358" i="2"/>
  <c r="BA358" i="2"/>
  <c r="AZ358" i="2"/>
  <c r="AY358" i="2"/>
  <c r="AS358" i="2"/>
  <c r="AQ358" i="2"/>
  <c r="AP358" i="2"/>
  <c r="AO358" i="2"/>
  <c r="AN358" i="2"/>
  <c r="AI358" i="2"/>
  <c r="AF358" i="2"/>
  <c r="AC358" i="2"/>
  <c r="AC358" i="2" a="1"/>
  <c r="AA358" i="2"/>
  <c r="AA358" i="2" a="1"/>
  <c r="Z358" i="2"/>
  <c r="Z358" i="2" a="1"/>
  <c r="Y358" i="2"/>
  <c r="Y358" i="2" a="1"/>
  <c r="X358" i="2"/>
  <c r="BC357" i="2"/>
  <c r="BB357" i="2"/>
  <c r="BA357" i="2"/>
  <c r="AZ357" i="2"/>
  <c r="AY357" i="2"/>
  <c r="AS357" i="2"/>
  <c r="AQ357" i="2"/>
  <c r="AP357" i="2"/>
  <c r="AO357" i="2"/>
  <c r="AN357" i="2"/>
  <c r="AI357" i="2"/>
  <c r="AF357" i="2"/>
  <c r="AC357" i="2"/>
  <c r="AC357" i="2" a="1"/>
  <c r="AA357" i="2"/>
  <c r="AA357" i="2" a="1"/>
  <c r="Z357" i="2"/>
  <c r="Z357" i="2" a="1"/>
  <c r="Y357" i="2"/>
  <c r="Y357" i="2" a="1"/>
  <c r="X357" i="2"/>
  <c r="BC356" i="2"/>
  <c r="BB356" i="2"/>
  <c r="BA356" i="2"/>
  <c r="AZ356" i="2"/>
  <c r="AY356" i="2"/>
  <c r="AS356" i="2"/>
  <c r="AQ356" i="2"/>
  <c r="AP356" i="2"/>
  <c r="AO356" i="2"/>
  <c r="AN356" i="2"/>
  <c r="AI356" i="2"/>
  <c r="AF356" i="2"/>
  <c r="AC356" i="2"/>
  <c r="AC356" i="2" a="1"/>
  <c r="AA356" i="2"/>
  <c r="AA356" i="2" a="1"/>
  <c r="Z356" i="2"/>
  <c r="Z356" i="2" a="1"/>
  <c r="Y356" i="2"/>
  <c r="Y356" i="2" a="1"/>
  <c r="X356" i="2"/>
  <c r="BC355" i="2"/>
  <c r="BB355" i="2"/>
  <c r="BA355" i="2"/>
  <c r="AZ355" i="2"/>
  <c r="AY355" i="2"/>
  <c r="AS355" i="2"/>
  <c r="AQ355" i="2"/>
  <c r="AP355" i="2"/>
  <c r="AO355" i="2"/>
  <c r="AN355" i="2"/>
  <c r="AI355" i="2"/>
  <c r="AF355" i="2"/>
  <c r="AC355" i="2"/>
  <c r="AC355" i="2" a="1"/>
  <c r="AA355" i="2"/>
  <c r="AA355" i="2" a="1"/>
  <c r="Z355" i="2"/>
  <c r="Z355" i="2" a="1"/>
  <c r="Y355" i="2"/>
  <c r="Y355" i="2" a="1"/>
  <c r="X355" i="2"/>
  <c r="BC354" i="2"/>
  <c r="BB354" i="2"/>
  <c r="BA354" i="2"/>
  <c r="AZ354" i="2"/>
  <c r="AY354" i="2"/>
  <c r="AS354" i="2"/>
  <c r="AQ354" i="2"/>
  <c r="AP354" i="2"/>
  <c r="AO354" i="2"/>
  <c r="AN354" i="2"/>
  <c r="AI354" i="2"/>
  <c r="AF354" i="2"/>
  <c r="AC354" i="2"/>
  <c r="AC354" i="2" a="1"/>
  <c r="AA354" i="2"/>
  <c r="AA354" i="2" a="1"/>
  <c r="Z354" i="2"/>
  <c r="Z354" i="2" a="1"/>
  <c r="Y354" i="2"/>
  <c r="Y354" i="2" a="1"/>
  <c r="X354" i="2"/>
  <c r="BC353" i="2"/>
  <c r="BB353" i="2"/>
  <c r="BA353" i="2"/>
  <c r="AZ353" i="2"/>
  <c r="AY353" i="2"/>
  <c r="AS353" i="2"/>
  <c r="AQ353" i="2"/>
  <c r="AP353" i="2"/>
  <c r="AO353" i="2"/>
  <c r="AN353" i="2"/>
  <c r="AI353" i="2"/>
  <c r="AF353" i="2"/>
  <c r="AC353" i="2"/>
  <c r="AC353" i="2" a="1"/>
  <c r="AA353" i="2"/>
  <c r="AA353" i="2" a="1"/>
  <c r="Z353" i="2"/>
  <c r="Z353" i="2" a="1"/>
  <c r="Y353" i="2"/>
  <c r="Y353" i="2" a="1"/>
  <c r="X353" i="2"/>
  <c r="BC352" i="2"/>
  <c r="BB352" i="2"/>
  <c r="BA352" i="2"/>
  <c r="AZ352" i="2"/>
  <c r="AY352" i="2"/>
  <c r="AS352" i="2"/>
  <c r="AQ352" i="2"/>
  <c r="AP352" i="2"/>
  <c r="AO352" i="2"/>
  <c r="AN352" i="2"/>
  <c r="AI352" i="2"/>
  <c r="AF352" i="2"/>
  <c r="AC352" i="2"/>
  <c r="AC352" i="2" a="1"/>
  <c r="AA352" i="2"/>
  <c r="AA352" i="2" a="1"/>
  <c r="Z352" i="2"/>
  <c r="Z352" i="2" a="1"/>
  <c r="Y352" i="2"/>
  <c r="Y352" i="2" a="1"/>
  <c r="X352" i="2"/>
  <c r="BC351" i="2"/>
  <c r="BB351" i="2"/>
  <c r="BA351" i="2"/>
  <c r="AZ351" i="2"/>
  <c r="AY351" i="2"/>
  <c r="AS351" i="2"/>
  <c r="AQ351" i="2"/>
  <c r="AP351" i="2"/>
  <c r="AO351" i="2"/>
  <c r="AN351" i="2"/>
  <c r="AI351" i="2"/>
  <c r="AF351" i="2"/>
  <c r="AC351" i="2"/>
  <c r="AC351" i="2" a="1"/>
  <c r="AA351" i="2"/>
  <c r="AA351" i="2" a="1"/>
  <c r="Z351" i="2"/>
  <c r="Z351" i="2" a="1"/>
  <c r="Y351" i="2"/>
  <c r="Y351" i="2" a="1"/>
  <c r="X351" i="2"/>
  <c r="BC350" i="2"/>
  <c r="BB350" i="2"/>
  <c r="BA350" i="2"/>
  <c r="AZ350" i="2"/>
  <c r="AY350" i="2"/>
  <c r="AS350" i="2"/>
  <c r="AQ350" i="2"/>
  <c r="AP350" i="2"/>
  <c r="AO350" i="2"/>
  <c r="AN350" i="2"/>
  <c r="AI350" i="2"/>
  <c r="AF350" i="2"/>
  <c r="AC350" i="2"/>
  <c r="AC350" i="2" a="1"/>
  <c r="AA350" i="2"/>
  <c r="AA350" i="2" a="1"/>
  <c r="Z350" i="2"/>
  <c r="Z350" i="2" a="1"/>
  <c r="Y350" i="2"/>
  <c r="Y350" i="2" a="1"/>
  <c r="X350" i="2"/>
  <c r="BC349" i="2"/>
  <c r="BB349" i="2"/>
  <c r="BA349" i="2"/>
  <c r="AZ349" i="2"/>
  <c r="AY349" i="2"/>
  <c r="AS349" i="2"/>
  <c r="AQ349" i="2"/>
  <c r="AP349" i="2"/>
  <c r="AO349" i="2"/>
  <c r="AN349" i="2"/>
  <c r="AI349" i="2"/>
  <c r="AF349" i="2"/>
  <c r="AC349" i="2"/>
  <c r="AC349" i="2" a="1"/>
  <c r="AA349" i="2"/>
  <c r="AA349" i="2" a="1"/>
  <c r="Z349" i="2"/>
  <c r="Z349" i="2" a="1"/>
  <c r="Y349" i="2"/>
  <c r="Y349" i="2" a="1"/>
  <c r="X349" i="2"/>
  <c r="BC348" i="2"/>
  <c r="BB348" i="2"/>
  <c r="BA348" i="2"/>
  <c r="AZ348" i="2"/>
  <c r="AY348" i="2"/>
  <c r="AS348" i="2"/>
  <c r="AQ348" i="2"/>
  <c r="AP348" i="2"/>
  <c r="AO348" i="2"/>
  <c r="AN348" i="2"/>
  <c r="AI348" i="2"/>
  <c r="AF348" i="2"/>
  <c r="AC348" i="2"/>
  <c r="AC348" i="2" a="1"/>
  <c r="AA348" i="2"/>
  <c r="AA348" i="2" a="1"/>
  <c r="Z348" i="2"/>
  <c r="Z348" i="2" a="1"/>
  <c r="Y348" i="2"/>
  <c r="Y348" i="2" a="1"/>
  <c r="X348" i="2"/>
  <c r="BC347" i="2"/>
  <c r="BB347" i="2"/>
  <c r="BA347" i="2"/>
  <c r="AZ347" i="2"/>
  <c r="AY347" i="2"/>
  <c r="AS347" i="2"/>
  <c r="AQ347" i="2"/>
  <c r="AP347" i="2"/>
  <c r="AO347" i="2"/>
  <c r="AN347" i="2"/>
  <c r="AI347" i="2"/>
  <c r="AF347" i="2"/>
  <c r="AC347" i="2"/>
  <c r="AC347" i="2" a="1"/>
  <c r="AA347" i="2"/>
  <c r="AA347" i="2" a="1"/>
  <c r="Z347" i="2"/>
  <c r="Z347" i="2" a="1"/>
  <c r="Y347" i="2"/>
  <c r="Y347" i="2" a="1"/>
  <c r="X347" i="2"/>
  <c r="BC346" i="2"/>
  <c r="BB346" i="2"/>
  <c r="BA346" i="2"/>
  <c r="AZ346" i="2"/>
  <c r="AY346" i="2"/>
  <c r="AS346" i="2"/>
  <c r="AQ346" i="2"/>
  <c r="AP346" i="2"/>
  <c r="AO346" i="2"/>
  <c r="AN346" i="2"/>
  <c r="AI346" i="2"/>
  <c r="AF346" i="2"/>
  <c r="AC346" i="2"/>
  <c r="AC346" i="2" a="1"/>
  <c r="AA346" i="2"/>
  <c r="AA346" i="2" a="1"/>
  <c r="Z346" i="2"/>
  <c r="Z346" i="2" a="1"/>
  <c r="Y346" i="2"/>
  <c r="Y346" i="2" a="1"/>
  <c r="X346" i="2"/>
  <c r="BC345" i="2"/>
  <c r="BB345" i="2"/>
  <c r="BA345" i="2"/>
  <c r="AZ345" i="2"/>
  <c r="AY345" i="2"/>
  <c r="AS345" i="2"/>
  <c r="AQ345" i="2"/>
  <c r="AP345" i="2"/>
  <c r="AO345" i="2"/>
  <c r="AN345" i="2"/>
  <c r="AI345" i="2"/>
  <c r="AF345" i="2"/>
  <c r="AC345" i="2"/>
  <c r="AC345" i="2" a="1"/>
  <c r="AA345" i="2"/>
  <c r="AA345" i="2" a="1"/>
  <c r="Z345" i="2"/>
  <c r="Z345" i="2" a="1"/>
  <c r="Y345" i="2"/>
  <c r="Y345" i="2" a="1"/>
  <c r="X345" i="2"/>
  <c r="BC344" i="2"/>
  <c r="BB344" i="2"/>
  <c r="BA344" i="2"/>
  <c r="AZ344" i="2"/>
  <c r="AY344" i="2"/>
  <c r="AS344" i="2"/>
  <c r="AQ344" i="2"/>
  <c r="AP344" i="2"/>
  <c r="AO344" i="2"/>
  <c r="AN344" i="2"/>
  <c r="AI344" i="2"/>
  <c r="AF344" i="2"/>
  <c r="AC344" i="2"/>
  <c r="AC344" i="2" a="1"/>
  <c r="AA344" i="2"/>
  <c r="AA344" i="2" a="1"/>
  <c r="Z344" i="2"/>
  <c r="Z344" i="2" a="1"/>
  <c r="Y344" i="2"/>
  <c r="Y344" i="2" a="1"/>
  <c r="X344" i="2"/>
  <c r="BC343" i="2"/>
  <c r="BB343" i="2"/>
  <c r="BA343" i="2"/>
  <c r="AZ343" i="2"/>
  <c r="AY343" i="2"/>
  <c r="AS343" i="2"/>
  <c r="AQ343" i="2"/>
  <c r="AP343" i="2"/>
  <c r="AO343" i="2"/>
  <c r="AN343" i="2"/>
  <c r="AI343" i="2"/>
  <c r="AF343" i="2"/>
  <c r="AC343" i="2"/>
  <c r="AC343" i="2" a="1"/>
  <c r="AA343" i="2"/>
  <c r="AA343" i="2" a="1"/>
  <c r="Z343" i="2"/>
  <c r="Z343" i="2" a="1"/>
  <c r="Y343" i="2"/>
  <c r="Y343" i="2" a="1"/>
  <c r="X343" i="2"/>
  <c r="BC342" i="2"/>
  <c r="BB342" i="2"/>
  <c r="BA342" i="2"/>
  <c r="AZ342" i="2"/>
  <c r="AY342" i="2"/>
  <c r="AS342" i="2"/>
  <c r="AQ342" i="2"/>
  <c r="AP342" i="2"/>
  <c r="AO342" i="2"/>
  <c r="AN342" i="2"/>
  <c r="AI342" i="2"/>
  <c r="AF342" i="2"/>
  <c r="AC342" i="2"/>
  <c r="AC342" i="2" a="1"/>
  <c r="AA342" i="2"/>
  <c r="AA342" i="2" a="1"/>
  <c r="Z342" i="2"/>
  <c r="Z342" i="2" a="1"/>
  <c r="Y342" i="2"/>
  <c r="Y342" i="2" a="1"/>
  <c r="X342" i="2"/>
  <c r="BC341" i="2"/>
  <c r="BB341" i="2"/>
  <c r="BA341" i="2"/>
  <c r="AZ341" i="2"/>
  <c r="AY341" i="2"/>
  <c r="AS341" i="2"/>
  <c r="AQ341" i="2"/>
  <c r="AP341" i="2"/>
  <c r="AO341" i="2"/>
  <c r="AN341" i="2"/>
  <c r="AI341" i="2"/>
  <c r="AF341" i="2"/>
  <c r="AC341" i="2"/>
  <c r="AC341" i="2" a="1"/>
  <c r="AA341" i="2"/>
  <c r="AA341" i="2" a="1"/>
  <c r="Z341" i="2"/>
  <c r="Z341" i="2" a="1"/>
  <c r="Y341" i="2"/>
  <c r="Y341" i="2" a="1"/>
  <c r="X341" i="2"/>
  <c r="BC340" i="2"/>
  <c r="BB340" i="2"/>
  <c r="BA340" i="2"/>
  <c r="AZ340" i="2"/>
  <c r="AY340" i="2"/>
  <c r="AS340" i="2"/>
  <c r="AQ340" i="2"/>
  <c r="AP340" i="2"/>
  <c r="AO340" i="2"/>
  <c r="AN340" i="2"/>
  <c r="AI340" i="2"/>
  <c r="AF340" i="2"/>
  <c r="AC340" i="2"/>
  <c r="AC340" i="2" a="1"/>
  <c r="AA340" i="2"/>
  <c r="AA340" i="2" a="1"/>
  <c r="Z340" i="2"/>
  <c r="Z340" i="2" a="1"/>
  <c r="Y340" i="2"/>
  <c r="Y340" i="2" a="1"/>
  <c r="X340" i="2"/>
  <c r="BC339" i="2"/>
  <c r="BB339" i="2"/>
  <c r="BA339" i="2"/>
  <c r="AZ339" i="2"/>
  <c r="AY339" i="2"/>
  <c r="AS339" i="2"/>
  <c r="AQ339" i="2"/>
  <c r="AP339" i="2"/>
  <c r="AO339" i="2"/>
  <c r="AN339" i="2"/>
  <c r="AI339" i="2"/>
  <c r="AF339" i="2"/>
  <c r="AC339" i="2"/>
  <c r="AC339" i="2" a="1"/>
  <c r="AA339" i="2"/>
  <c r="AA339" i="2" a="1"/>
  <c r="Z339" i="2"/>
  <c r="Z339" i="2" a="1"/>
  <c r="Y339" i="2"/>
  <c r="Y339" i="2" a="1"/>
  <c r="X339" i="2"/>
  <c r="BC338" i="2"/>
  <c r="BB338" i="2"/>
  <c r="BA338" i="2"/>
  <c r="AZ338" i="2"/>
  <c r="AY338" i="2"/>
  <c r="AS338" i="2"/>
  <c r="AQ338" i="2"/>
  <c r="AP338" i="2"/>
  <c r="AO338" i="2"/>
  <c r="AN338" i="2"/>
  <c r="AI338" i="2"/>
  <c r="AF338" i="2"/>
  <c r="AC338" i="2"/>
  <c r="AC338" i="2" a="1"/>
  <c r="AA338" i="2"/>
  <c r="AA338" i="2" a="1"/>
  <c r="Z338" i="2"/>
  <c r="Z338" i="2" a="1"/>
  <c r="Y338" i="2"/>
  <c r="Y338" i="2" a="1"/>
  <c r="X338" i="2"/>
  <c r="BC337" i="2"/>
  <c r="BB337" i="2"/>
  <c r="BA337" i="2"/>
  <c r="AZ337" i="2"/>
  <c r="AY337" i="2"/>
  <c r="AS337" i="2"/>
  <c r="AQ337" i="2"/>
  <c r="AP337" i="2"/>
  <c r="AO337" i="2"/>
  <c r="AN337" i="2"/>
  <c r="AI337" i="2"/>
  <c r="AF337" i="2"/>
  <c r="AC337" i="2"/>
  <c r="AC337" i="2" a="1"/>
  <c r="AA337" i="2"/>
  <c r="AA337" i="2" a="1"/>
  <c r="Z337" i="2"/>
  <c r="Z337" i="2" a="1"/>
  <c r="Y337" i="2"/>
  <c r="Y337" i="2" a="1"/>
  <c r="X337" i="2"/>
  <c r="BC336" i="2"/>
  <c r="BB336" i="2"/>
  <c r="BA336" i="2"/>
  <c r="AZ336" i="2"/>
  <c r="AY336" i="2"/>
  <c r="AS336" i="2"/>
  <c r="AQ336" i="2"/>
  <c r="AP336" i="2"/>
  <c r="AO336" i="2"/>
  <c r="AN336" i="2"/>
  <c r="AI336" i="2"/>
  <c r="AF336" i="2"/>
  <c r="AC336" i="2"/>
  <c r="AC336" i="2" a="1"/>
  <c r="AA336" i="2"/>
  <c r="AA336" i="2" a="1"/>
  <c r="Z336" i="2"/>
  <c r="Z336" i="2" a="1"/>
  <c r="Y336" i="2"/>
  <c r="Y336" i="2" a="1"/>
  <c r="X336" i="2"/>
  <c r="BC335" i="2"/>
  <c r="BB335" i="2"/>
  <c r="BA335" i="2"/>
  <c r="AZ335" i="2"/>
  <c r="AY335" i="2"/>
  <c r="AS335" i="2"/>
  <c r="AQ335" i="2"/>
  <c r="AP335" i="2"/>
  <c r="AO335" i="2"/>
  <c r="AN335" i="2"/>
  <c r="AI335" i="2"/>
  <c r="AF335" i="2"/>
  <c r="AC335" i="2"/>
  <c r="AC335" i="2" a="1"/>
  <c r="AA335" i="2"/>
  <c r="AA335" i="2" a="1"/>
  <c r="Z335" i="2"/>
  <c r="Z335" i="2" a="1"/>
  <c r="Y335" i="2"/>
  <c r="Y335" i="2" a="1"/>
  <c r="X335" i="2"/>
  <c r="BC334" i="2"/>
  <c r="BB334" i="2"/>
  <c r="BA334" i="2"/>
  <c r="AZ334" i="2"/>
  <c r="AY334" i="2"/>
  <c r="AS334" i="2"/>
  <c r="AQ334" i="2"/>
  <c r="AP334" i="2"/>
  <c r="AO334" i="2"/>
  <c r="AN334" i="2"/>
  <c r="AI334" i="2"/>
  <c r="AF334" i="2"/>
  <c r="AC334" i="2"/>
  <c r="AC334" i="2" a="1"/>
  <c r="AA334" i="2"/>
  <c r="AA334" i="2" a="1"/>
  <c r="Z334" i="2"/>
  <c r="Z334" i="2" a="1"/>
  <c r="Y334" i="2"/>
  <c r="Y334" i="2" a="1"/>
  <c r="X334" i="2"/>
  <c r="BC333" i="2"/>
  <c r="BB333" i="2"/>
  <c r="BA333" i="2"/>
  <c r="AZ333" i="2"/>
  <c r="AY333" i="2"/>
  <c r="AS333" i="2"/>
  <c r="AQ333" i="2"/>
  <c r="AP333" i="2"/>
  <c r="AO333" i="2"/>
  <c r="AN333" i="2"/>
  <c r="AI333" i="2"/>
  <c r="AF333" i="2"/>
  <c r="AC333" i="2"/>
  <c r="AC333" i="2" a="1"/>
  <c r="AA333" i="2"/>
  <c r="AA333" i="2" a="1"/>
  <c r="Z333" i="2"/>
  <c r="Z333" i="2" a="1"/>
  <c r="Y333" i="2"/>
  <c r="Y333" i="2" a="1"/>
  <c r="X333" i="2"/>
  <c r="BC332" i="2"/>
  <c r="BB332" i="2"/>
  <c r="BA332" i="2"/>
  <c r="AZ332" i="2"/>
  <c r="AY332" i="2"/>
  <c r="AS332" i="2"/>
  <c r="AQ332" i="2"/>
  <c r="AP332" i="2"/>
  <c r="AO332" i="2"/>
  <c r="AN332" i="2"/>
  <c r="AI332" i="2"/>
  <c r="AF332" i="2"/>
  <c r="AC332" i="2"/>
  <c r="AC332" i="2" a="1"/>
  <c r="AA332" i="2"/>
  <c r="AA332" i="2" a="1"/>
  <c r="Z332" i="2"/>
  <c r="Z332" i="2" a="1"/>
  <c r="Y332" i="2"/>
  <c r="Y332" i="2" a="1"/>
  <c r="X332" i="2"/>
  <c r="BC331" i="2"/>
  <c r="BB331" i="2"/>
  <c r="BA331" i="2"/>
  <c r="AZ331" i="2"/>
  <c r="AY331" i="2"/>
  <c r="AS331" i="2"/>
  <c r="AQ331" i="2"/>
  <c r="AP331" i="2"/>
  <c r="AO331" i="2"/>
  <c r="AN331" i="2"/>
  <c r="AI331" i="2"/>
  <c r="AF331" i="2"/>
  <c r="AC331" i="2"/>
  <c r="AC331" i="2" a="1"/>
  <c r="AA331" i="2"/>
  <c r="AA331" i="2" a="1"/>
  <c r="Z331" i="2"/>
  <c r="Z331" i="2" a="1"/>
  <c r="Y331" i="2"/>
  <c r="Y331" i="2" a="1"/>
  <c r="X331" i="2"/>
  <c r="BC330" i="2"/>
  <c r="BB330" i="2"/>
  <c r="BA330" i="2"/>
  <c r="AZ330" i="2"/>
  <c r="AY330" i="2"/>
  <c r="AS330" i="2"/>
  <c r="AQ330" i="2"/>
  <c r="AP330" i="2"/>
  <c r="AO330" i="2"/>
  <c r="AN330" i="2"/>
  <c r="AI330" i="2"/>
  <c r="AF330" i="2"/>
  <c r="AC330" i="2"/>
  <c r="AC330" i="2" a="1"/>
  <c r="AA330" i="2"/>
  <c r="AA330" i="2" a="1"/>
  <c r="Z330" i="2"/>
  <c r="Z330" i="2" a="1"/>
  <c r="Y330" i="2"/>
  <c r="Y330" i="2" a="1"/>
  <c r="X330" i="2"/>
  <c r="BC329" i="2"/>
  <c r="BB329" i="2"/>
  <c r="BA329" i="2"/>
  <c r="AZ329" i="2"/>
  <c r="AY329" i="2"/>
  <c r="AS329" i="2"/>
  <c r="AQ329" i="2"/>
  <c r="AP329" i="2"/>
  <c r="AO329" i="2"/>
  <c r="AN329" i="2"/>
  <c r="AI329" i="2"/>
  <c r="AF329" i="2"/>
  <c r="AC329" i="2"/>
  <c r="AC329" i="2" a="1"/>
  <c r="AA329" i="2"/>
  <c r="AA329" i="2" a="1"/>
  <c r="Z329" i="2"/>
  <c r="Z329" i="2" a="1"/>
  <c r="Y329" i="2"/>
  <c r="Y329" i="2" a="1"/>
  <c r="X329" i="2"/>
  <c r="BC328" i="2"/>
  <c r="BB328" i="2"/>
  <c r="BA328" i="2"/>
  <c r="AZ328" i="2"/>
  <c r="AY328" i="2"/>
  <c r="AS328" i="2"/>
  <c r="AQ328" i="2"/>
  <c r="AP328" i="2"/>
  <c r="AO328" i="2"/>
  <c r="AN328" i="2"/>
  <c r="AI328" i="2"/>
  <c r="AF328" i="2"/>
  <c r="AC328" i="2"/>
  <c r="AC328" i="2" a="1"/>
  <c r="AA328" i="2"/>
  <c r="AA328" i="2" a="1"/>
  <c r="Z328" i="2"/>
  <c r="Z328" i="2" a="1"/>
  <c r="Y328" i="2"/>
  <c r="Y328" i="2" a="1"/>
  <c r="X328" i="2"/>
  <c r="BC327" i="2"/>
  <c r="BB327" i="2"/>
  <c r="BA327" i="2"/>
  <c r="AZ327" i="2"/>
  <c r="AY327" i="2"/>
  <c r="AS327" i="2"/>
  <c r="AQ327" i="2"/>
  <c r="AP327" i="2"/>
  <c r="AO327" i="2"/>
  <c r="AN327" i="2"/>
  <c r="AI327" i="2"/>
  <c r="AF327" i="2"/>
  <c r="AC327" i="2"/>
  <c r="AC327" i="2" a="1"/>
  <c r="AA327" i="2"/>
  <c r="AA327" i="2" a="1"/>
  <c r="Z327" i="2"/>
  <c r="Z327" i="2" a="1"/>
  <c r="Y327" i="2"/>
  <c r="Y327" i="2" a="1"/>
  <c r="X327" i="2"/>
  <c r="BC326" i="2"/>
  <c r="BB326" i="2"/>
  <c r="BA326" i="2"/>
  <c r="AZ326" i="2"/>
  <c r="AY326" i="2"/>
  <c r="AS326" i="2"/>
  <c r="AQ326" i="2"/>
  <c r="AP326" i="2"/>
  <c r="AO326" i="2"/>
  <c r="AN326" i="2"/>
  <c r="AI326" i="2"/>
  <c r="AF326" i="2"/>
  <c r="AC326" i="2"/>
  <c r="AC326" i="2" a="1"/>
  <c r="AA326" i="2"/>
  <c r="AA326" i="2" a="1"/>
  <c r="Z326" i="2"/>
  <c r="Z326" i="2" a="1"/>
  <c r="Y326" i="2"/>
  <c r="Y326" i="2" a="1"/>
  <c r="X326" i="2"/>
  <c r="BC325" i="2"/>
  <c r="BB325" i="2"/>
  <c r="BA325" i="2"/>
  <c r="AZ325" i="2"/>
  <c r="AY325" i="2"/>
  <c r="AS325" i="2"/>
  <c r="AQ325" i="2"/>
  <c r="AP325" i="2"/>
  <c r="AO325" i="2"/>
  <c r="AN325" i="2"/>
  <c r="AI325" i="2"/>
  <c r="AF325" i="2"/>
  <c r="AC325" i="2"/>
  <c r="AC325" i="2" a="1"/>
  <c r="AA325" i="2"/>
  <c r="AA325" i="2" a="1"/>
  <c r="Z325" i="2"/>
  <c r="Z325" i="2" a="1"/>
  <c r="Y325" i="2"/>
  <c r="Y325" i="2" a="1"/>
  <c r="X325" i="2"/>
  <c r="BC324" i="2"/>
  <c r="BB324" i="2"/>
  <c r="BA324" i="2"/>
  <c r="AZ324" i="2"/>
  <c r="AY324" i="2"/>
  <c r="AS324" i="2"/>
  <c r="AQ324" i="2"/>
  <c r="AP324" i="2"/>
  <c r="AO324" i="2"/>
  <c r="AN324" i="2"/>
  <c r="AI324" i="2"/>
  <c r="AF324" i="2"/>
  <c r="AC324" i="2"/>
  <c r="AC324" i="2" a="1"/>
  <c r="AA324" i="2"/>
  <c r="AA324" i="2" a="1"/>
  <c r="Z324" i="2"/>
  <c r="Z324" i="2" a="1"/>
  <c r="Y324" i="2"/>
  <c r="Y324" i="2" a="1"/>
  <c r="X324" i="2"/>
  <c r="BC323" i="2"/>
  <c r="BB323" i="2"/>
  <c r="BA323" i="2"/>
  <c r="AZ323" i="2"/>
  <c r="AY323" i="2"/>
  <c r="AS323" i="2"/>
  <c r="AQ323" i="2"/>
  <c r="AP323" i="2"/>
  <c r="AO323" i="2"/>
  <c r="AN323" i="2"/>
  <c r="AI323" i="2"/>
  <c r="AF323" i="2"/>
  <c r="AC323" i="2"/>
  <c r="AC323" i="2" a="1"/>
  <c r="AA323" i="2"/>
  <c r="AA323" i="2" a="1"/>
  <c r="Z323" i="2"/>
  <c r="Z323" i="2" a="1"/>
  <c r="Y323" i="2"/>
  <c r="Y323" i="2" a="1"/>
  <c r="X323" i="2"/>
  <c r="BC322" i="2"/>
  <c r="BB322" i="2"/>
  <c r="BA322" i="2"/>
  <c r="AZ322" i="2"/>
  <c r="AY322" i="2"/>
  <c r="AS322" i="2"/>
  <c r="AQ322" i="2"/>
  <c r="AP322" i="2"/>
  <c r="AO322" i="2"/>
  <c r="AN322" i="2"/>
  <c r="AI322" i="2"/>
  <c r="AF322" i="2"/>
  <c r="AC322" i="2"/>
  <c r="AC322" i="2" a="1"/>
  <c r="AA322" i="2"/>
  <c r="AA322" i="2" a="1"/>
  <c r="Z322" i="2"/>
  <c r="Z322" i="2" a="1"/>
  <c r="Y322" i="2"/>
  <c r="Y322" i="2" a="1"/>
  <c r="X322" i="2"/>
  <c r="BC321" i="2"/>
  <c r="BB321" i="2"/>
  <c r="BA321" i="2"/>
  <c r="AZ321" i="2"/>
  <c r="AY321" i="2"/>
  <c r="AS321" i="2"/>
  <c r="AQ321" i="2"/>
  <c r="AP321" i="2"/>
  <c r="AO321" i="2"/>
  <c r="AN321" i="2"/>
  <c r="AI321" i="2"/>
  <c r="AF321" i="2"/>
  <c r="AC321" i="2"/>
  <c r="AC321" i="2" a="1"/>
  <c r="AA321" i="2"/>
  <c r="AA321" i="2" a="1"/>
  <c r="Z321" i="2"/>
  <c r="Z321" i="2" a="1"/>
  <c r="Y321" i="2"/>
  <c r="Y321" i="2" a="1"/>
  <c r="X321" i="2"/>
  <c r="BC320" i="2"/>
  <c r="BB320" i="2"/>
  <c r="BA320" i="2"/>
  <c r="AZ320" i="2"/>
  <c r="AY320" i="2"/>
  <c r="AS320" i="2"/>
  <c r="AQ320" i="2"/>
  <c r="AP320" i="2"/>
  <c r="AO320" i="2"/>
  <c r="AN320" i="2"/>
  <c r="AI320" i="2"/>
  <c r="AF320" i="2"/>
  <c r="AC320" i="2"/>
  <c r="AC320" i="2" a="1"/>
  <c r="AA320" i="2"/>
  <c r="AA320" i="2" a="1"/>
  <c r="Z320" i="2"/>
  <c r="Z320" i="2" a="1"/>
  <c r="Y320" i="2"/>
  <c r="Y320" i="2" a="1"/>
  <c r="X320" i="2"/>
  <c r="BC319" i="2"/>
  <c r="BB319" i="2"/>
  <c r="BA319" i="2"/>
  <c r="AZ319" i="2"/>
  <c r="AY319" i="2"/>
  <c r="AS319" i="2"/>
  <c r="AQ319" i="2"/>
  <c r="AP319" i="2"/>
  <c r="AO319" i="2"/>
  <c r="AN319" i="2"/>
  <c r="AI319" i="2"/>
  <c r="AF319" i="2"/>
  <c r="AC319" i="2"/>
  <c r="AC319" i="2" a="1"/>
  <c r="AA319" i="2"/>
  <c r="AA319" i="2" a="1"/>
  <c r="Z319" i="2"/>
  <c r="Z319" i="2" a="1"/>
  <c r="Y319" i="2"/>
  <c r="Y319" i="2" a="1"/>
  <c r="X319" i="2"/>
  <c r="BC318" i="2"/>
  <c r="BB318" i="2"/>
  <c r="BA318" i="2"/>
  <c r="AZ318" i="2"/>
  <c r="AY318" i="2"/>
  <c r="AS318" i="2"/>
  <c r="AQ318" i="2"/>
  <c r="AP318" i="2"/>
  <c r="AO318" i="2"/>
  <c r="AN318" i="2"/>
  <c r="AI318" i="2"/>
  <c r="AF318" i="2"/>
  <c r="AC318" i="2"/>
  <c r="AC318" i="2" a="1"/>
  <c r="AA318" i="2"/>
  <c r="AA318" i="2" a="1"/>
  <c r="Z318" i="2"/>
  <c r="Z318" i="2" a="1"/>
  <c r="Y318" i="2"/>
  <c r="Y318" i="2" a="1"/>
  <c r="X318" i="2"/>
  <c r="BC317" i="2"/>
  <c r="BB317" i="2"/>
  <c r="BA317" i="2"/>
  <c r="AZ317" i="2"/>
  <c r="AY317" i="2"/>
  <c r="AS317" i="2"/>
  <c r="AQ317" i="2"/>
  <c r="AP317" i="2"/>
  <c r="AO317" i="2"/>
  <c r="AN317" i="2"/>
  <c r="AI317" i="2"/>
  <c r="AF317" i="2"/>
  <c r="AC317" i="2"/>
  <c r="AC317" i="2" a="1"/>
  <c r="AA317" i="2"/>
  <c r="AA317" i="2" a="1"/>
  <c r="Z317" i="2"/>
  <c r="Z317" i="2" a="1"/>
  <c r="Y317" i="2"/>
  <c r="Y317" i="2" a="1"/>
  <c r="X317" i="2"/>
  <c r="BC316" i="2"/>
  <c r="BB316" i="2"/>
  <c r="BA316" i="2"/>
  <c r="AZ316" i="2"/>
  <c r="AY316" i="2"/>
  <c r="AS316" i="2"/>
  <c r="AQ316" i="2"/>
  <c r="AP316" i="2"/>
  <c r="AO316" i="2"/>
  <c r="AN316" i="2"/>
  <c r="AI316" i="2"/>
  <c r="AF316" i="2"/>
  <c r="AC316" i="2"/>
  <c r="AC316" i="2" a="1"/>
  <c r="AA316" i="2"/>
  <c r="AA316" i="2" a="1"/>
  <c r="Z316" i="2"/>
  <c r="Z316" i="2" a="1"/>
  <c r="Y316" i="2"/>
  <c r="Y316" i="2" a="1"/>
  <c r="X316" i="2"/>
  <c r="BC315" i="2"/>
  <c r="BB315" i="2"/>
  <c r="BA315" i="2"/>
  <c r="AZ315" i="2"/>
  <c r="AY315" i="2"/>
  <c r="AS315" i="2"/>
  <c r="AQ315" i="2"/>
  <c r="AP315" i="2"/>
  <c r="AO315" i="2"/>
  <c r="AN315" i="2"/>
  <c r="AI315" i="2"/>
  <c r="AF315" i="2"/>
  <c r="AC315" i="2"/>
  <c r="AC315" i="2" a="1"/>
  <c r="AA315" i="2"/>
  <c r="AA315" i="2" a="1"/>
  <c r="Z315" i="2"/>
  <c r="Z315" i="2" a="1"/>
  <c r="Y315" i="2"/>
  <c r="Y315" i="2" a="1"/>
  <c r="X315" i="2"/>
  <c r="BC314" i="2"/>
  <c r="BB314" i="2"/>
  <c r="BA314" i="2"/>
  <c r="AZ314" i="2"/>
  <c r="AY314" i="2"/>
  <c r="AS314" i="2"/>
  <c r="AQ314" i="2"/>
  <c r="AP314" i="2"/>
  <c r="AO314" i="2"/>
  <c r="AN314" i="2"/>
  <c r="AI314" i="2"/>
  <c r="AF314" i="2"/>
  <c r="AC314" i="2"/>
  <c r="AC314" i="2" a="1"/>
  <c r="AA314" i="2"/>
  <c r="AA314" i="2" a="1"/>
  <c r="Z314" i="2"/>
  <c r="Z314" i="2" a="1"/>
  <c r="Y314" i="2"/>
  <c r="Y314" i="2" a="1"/>
  <c r="X314" i="2"/>
  <c r="BC313" i="2"/>
  <c r="BB313" i="2"/>
  <c r="BA313" i="2"/>
  <c r="AZ313" i="2"/>
  <c r="AY313" i="2"/>
  <c r="AS313" i="2"/>
  <c r="AQ313" i="2"/>
  <c r="AP313" i="2"/>
  <c r="AO313" i="2"/>
  <c r="AN313" i="2"/>
  <c r="AI313" i="2"/>
  <c r="AF313" i="2"/>
  <c r="AC313" i="2"/>
  <c r="AC313" i="2" a="1"/>
  <c r="AA313" i="2"/>
  <c r="AA313" i="2" a="1"/>
  <c r="Z313" i="2"/>
  <c r="Z313" i="2" a="1"/>
  <c r="Y313" i="2"/>
  <c r="Y313" i="2" a="1"/>
  <c r="X313" i="2"/>
  <c r="BC312" i="2"/>
  <c r="BB312" i="2"/>
  <c r="BA312" i="2"/>
  <c r="AZ312" i="2"/>
  <c r="AY312" i="2"/>
  <c r="AS312" i="2"/>
  <c r="AQ312" i="2"/>
  <c r="AP312" i="2"/>
  <c r="AO312" i="2"/>
  <c r="AN312" i="2"/>
  <c r="AI312" i="2"/>
  <c r="AF312" i="2"/>
  <c r="AC312" i="2"/>
  <c r="AC312" i="2" a="1"/>
  <c r="AA312" i="2"/>
  <c r="AA312" i="2" a="1"/>
  <c r="Z312" i="2"/>
  <c r="Z312" i="2" a="1"/>
  <c r="Y312" i="2"/>
  <c r="Y312" i="2" a="1"/>
  <c r="X312" i="2"/>
  <c r="BC311" i="2"/>
  <c r="BB311" i="2"/>
  <c r="BA311" i="2"/>
  <c r="AZ311" i="2"/>
  <c r="AY311" i="2"/>
  <c r="AS311" i="2"/>
  <c r="AQ311" i="2"/>
  <c r="AP311" i="2"/>
  <c r="AO311" i="2"/>
  <c r="AN311" i="2"/>
  <c r="AI311" i="2"/>
  <c r="AF311" i="2"/>
  <c r="AC311" i="2"/>
  <c r="AC311" i="2" a="1"/>
  <c r="AA311" i="2"/>
  <c r="AA311" i="2" a="1"/>
  <c r="Z311" i="2"/>
  <c r="Z311" i="2" a="1"/>
  <c r="Y311" i="2"/>
  <c r="Y311" i="2" a="1"/>
  <c r="X311" i="2"/>
  <c r="BC310" i="2"/>
  <c r="BB310" i="2"/>
  <c r="BA310" i="2"/>
  <c r="AZ310" i="2"/>
  <c r="AY310" i="2"/>
  <c r="AS310" i="2"/>
  <c r="AQ310" i="2"/>
  <c r="AP310" i="2"/>
  <c r="AO310" i="2"/>
  <c r="AN310" i="2"/>
  <c r="AI310" i="2"/>
  <c r="AF310" i="2"/>
  <c r="AC310" i="2"/>
  <c r="AC310" i="2" a="1"/>
  <c r="AA310" i="2"/>
  <c r="AA310" i="2" a="1"/>
  <c r="Z310" i="2"/>
  <c r="Z310" i="2" a="1"/>
  <c r="Y310" i="2"/>
  <c r="Y310" i="2" a="1"/>
  <c r="X310" i="2"/>
  <c r="BC309" i="2"/>
  <c r="BB309" i="2"/>
  <c r="BA309" i="2"/>
  <c r="AZ309" i="2"/>
  <c r="AY309" i="2"/>
  <c r="AS309" i="2"/>
  <c r="AQ309" i="2"/>
  <c r="AP309" i="2"/>
  <c r="AO309" i="2"/>
  <c r="AN309" i="2"/>
  <c r="AI309" i="2"/>
  <c r="AF309" i="2"/>
  <c r="AC309" i="2"/>
  <c r="AC309" i="2" a="1"/>
  <c r="AA309" i="2"/>
  <c r="AA309" i="2" a="1"/>
  <c r="Z309" i="2"/>
  <c r="Z309" i="2" a="1"/>
  <c r="Y309" i="2"/>
  <c r="Y309" i="2" a="1"/>
  <c r="X309" i="2"/>
  <c r="BC308" i="2"/>
  <c r="BB308" i="2"/>
  <c r="BA308" i="2"/>
  <c r="AZ308" i="2"/>
  <c r="AY308" i="2"/>
  <c r="AS308" i="2"/>
  <c r="AQ308" i="2"/>
  <c r="AP308" i="2"/>
  <c r="AO308" i="2"/>
  <c r="AN308" i="2"/>
  <c r="AI308" i="2"/>
  <c r="AF308" i="2"/>
  <c r="AC308" i="2"/>
  <c r="AC308" i="2" a="1"/>
  <c r="AA308" i="2"/>
  <c r="AA308" i="2" a="1"/>
  <c r="Z308" i="2"/>
  <c r="Z308" i="2" a="1"/>
  <c r="Y308" i="2"/>
  <c r="Y308" i="2" a="1"/>
  <c r="X308" i="2"/>
  <c r="BC307" i="2"/>
  <c r="BB307" i="2"/>
  <c r="BA307" i="2"/>
  <c r="AZ307" i="2"/>
  <c r="AY307" i="2"/>
  <c r="AS307" i="2"/>
  <c r="AQ307" i="2"/>
  <c r="AP307" i="2"/>
  <c r="AO307" i="2"/>
  <c r="AN307" i="2"/>
  <c r="AI307" i="2"/>
  <c r="AF307" i="2"/>
  <c r="AC307" i="2"/>
  <c r="AC307" i="2" a="1"/>
  <c r="AA307" i="2"/>
  <c r="AA307" i="2" a="1"/>
  <c r="Z307" i="2"/>
  <c r="Z307" i="2" a="1"/>
  <c r="Y307" i="2"/>
  <c r="Y307" i="2" a="1"/>
  <c r="X307" i="2"/>
  <c r="BC306" i="2"/>
  <c r="BB306" i="2"/>
  <c r="BA306" i="2"/>
  <c r="AZ306" i="2"/>
  <c r="AY306" i="2"/>
  <c r="AS306" i="2"/>
  <c r="AQ306" i="2"/>
  <c r="AP306" i="2"/>
  <c r="AO306" i="2"/>
  <c r="AN306" i="2"/>
  <c r="AI306" i="2"/>
  <c r="AF306" i="2"/>
  <c r="AC306" i="2"/>
  <c r="AC306" i="2" a="1"/>
  <c r="AA306" i="2"/>
  <c r="AA306" i="2" a="1"/>
  <c r="Z306" i="2"/>
  <c r="Z306" i="2" a="1"/>
  <c r="Y306" i="2"/>
  <c r="Y306" i="2" a="1"/>
  <c r="X306" i="2"/>
  <c r="BC305" i="2"/>
  <c r="BB305" i="2"/>
  <c r="BA305" i="2"/>
  <c r="AZ305" i="2"/>
  <c r="AY305" i="2"/>
  <c r="AS305" i="2"/>
  <c r="AQ305" i="2"/>
  <c r="AP305" i="2"/>
  <c r="AO305" i="2"/>
  <c r="AN305" i="2"/>
  <c r="AI305" i="2"/>
  <c r="AF305" i="2"/>
  <c r="AC305" i="2"/>
  <c r="AC305" i="2" a="1"/>
  <c r="AA305" i="2"/>
  <c r="AA305" i="2" a="1"/>
  <c r="Z305" i="2"/>
  <c r="Z305" i="2" a="1"/>
  <c r="Y305" i="2"/>
  <c r="Y305" i="2" a="1"/>
  <c r="X305" i="2"/>
  <c r="BC304" i="2"/>
  <c r="BB304" i="2"/>
  <c r="BA304" i="2"/>
  <c r="AZ304" i="2"/>
  <c r="AY304" i="2"/>
  <c r="AS304" i="2"/>
  <c r="AQ304" i="2"/>
  <c r="AP304" i="2"/>
  <c r="AO304" i="2"/>
  <c r="AN304" i="2"/>
  <c r="AI304" i="2"/>
  <c r="AF304" i="2"/>
  <c r="AC304" i="2"/>
  <c r="AC304" i="2" a="1"/>
  <c r="AA304" i="2"/>
  <c r="AA304" i="2" a="1"/>
  <c r="Z304" i="2"/>
  <c r="Z304" i="2" a="1"/>
  <c r="Y304" i="2"/>
  <c r="Y304" i="2" a="1"/>
  <c r="X304" i="2"/>
  <c r="BC303" i="2"/>
  <c r="BB303" i="2"/>
  <c r="BA303" i="2"/>
  <c r="AZ303" i="2"/>
  <c r="AY303" i="2"/>
  <c r="AS303" i="2"/>
  <c r="AQ303" i="2"/>
  <c r="AP303" i="2"/>
  <c r="AO303" i="2"/>
  <c r="AN303" i="2"/>
  <c r="AI303" i="2"/>
  <c r="AF303" i="2"/>
  <c r="AC303" i="2"/>
  <c r="AC303" i="2" a="1"/>
  <c r="AA303" i="2"/>
  <c r="AA303" i="2" a="1"/>
  <c r="Z303" i="2"/>
  <c r="Z303" i="2" a="1"/>
  <c r="Y303" i="2"/>
  <c r="Y303" i="2" a="1"/>
  <c r="X303" i="2"/>
  <c r="BC302" i="2"/>
  <c r="BB302" i="2"/>
  <c r="BA302" i="2"/>
  <c r="AZ302" i="2"/>
  <c r="AY302" i="2"/>
  <c r="AS302" i="2"/>
  <c r="AQ302" i="2"/>
  <c r="AP302" i="2"/>
  <c r="AO302" i="2"/>
  <c r="AN302" i="2"/>
  <c r="AI302" i="2"/>
  <c r="AF302" i="2"/>
  <c r="AC302" i="2"/>
  <c r="AC302" i="2" a="1"/>
  <c r="AA302" i="2"/>
  <c r="AA302" i="2" a="1"/>
  <c r="Z302" i="2"/>
  <c r="Z302" i="2" a="1"/>
  <c r="Y302" i="2"/>
  <c r="Y302" i="2" a="1"/>
  <c r="X302" i="2"/>
  <c r="BC301" i="2"/>
  <c r="BB301" i="2"/>
  <c r="BA301" i="2"/>
  <c r="AZ301" i="2"/>
  <c r="AY301" i="2"/>
  <c r="AS301" i="2"/>
  <c r="AQ301" i="2"/>
  <c r="AP301" i="2"/>
  <c r="AO301" i="2"/>
  <c r="AN301" i="2"/>
  <c r="AI301" i="2"/>
  <c r="AF301" i="2"/>
  <c r="AC301" i="2"/>
  <c r="AC301" i="2" a="1"/>
  <c r="AA301" i="2"/>
  <c r="AA301" i="2" a="1"/>
  <c r="Z301" i="2"/>
  <c r="Z301" i="2" a="1"/>
  <c r="Y301" i="2"/>
  <c r="Y301" i="2" a="1"/>
  <c r="X301" i="2"/>
  <c r="BC300" i="2"/>
  <c r="BB300" i="2"/>
  <c r="BA300" i="2"/>
  <c r="AZ300" i="2"/>
  <c r="AY300" i="2"/>
  <c r="AS300" i="2"/>
  <c r="AQ300" i="2"/>
  <c r="AP300" i="2"/>
  <c r="AO300" i="2"/>
  <c r="AN300" i="2"/>
  <c r="AI300" i="2"/>
  <c r="AF300" i="2"/>
  <c r="AC300" i="2"/>
  <c r="AC300" i="2" a="1"/>
  <c r="AA300" i="2"/>
  <c r="AA300" i="2" a="1"/>
  <c r="Z300" i="2"/>
  <c r="Z300" i="2" a="1"/>
  <c r="Y300" i="2"/>
  <c r="Y300" i="2" a="1"/>
  <c r="X300" i="2"/>
  <c r="BC299" i="2"/>
  <c r="BB299" i="2"/>
  <c r="BA299" i="2"/>
  <c r="AZ299" i="2"/>
  <c r="AY299" i="2"/>
  <c r="AS299" i="2"/>
  <c r="AQ299" i="2"/>
  <c r="AP299" i="2"/>
  <c r="AO299" i="2"/>
  <c r="AN299" i="2"/>
  <c r="AI299" i="2"/>
  <c r="AF299" i="2"/>
  <c r="AC299" i="2"/>
  <c r="AC299" i="2" a="1"/>
  <c r="AA299" i="2"/>
  <c r="AA299" i="2" a="1"/>
  <c r="Z299" i="2"/>
  <c r="Z299" i="2" a="1"/>
  <c r="Y299" i="2"/>
  <c r="Y299" i="2" a="1"/>
  <c r="X299" i="2"/>
  <c r="BC298" i="2"/>
  <c r="BB298" i="2"/>
  <c r="BA298" i="2"/>
  <c r="AZ298" i="2"/>
  <c r="AY298" i="2"/>
  <c r="AS298" i="2"/>
  <c r="AQ298" i="2"/>
  <c r="AP298" i="2"/>
  <c r="AO298" i="2"/>
  <c r="AN298" i="2"/>
  <c r="AI298" i="2"/>
  <c r="AF298" i="2"/>
  <c r="AC298" i="2"/>
  <c r="AC298" i="2" a="1"/>
  <c r="AA298" i="2"/>
  <c r="AA298" i="2" a="1"/>
  <c r="Z298" i="2"/>
  <c r="Z298" i="2" a="1"/>
  <c r="Y298" i="2"/>
  <c r="Y298" i="2" a="1"/>
  <c r="X298" i="2"/>
  <c r="BC297" i="2"/>
  <c r="BB297" i="2"/>
  <c r="BA297" i="2"/>
  <c r="AZ297" i="2"/>
  <c r="AY297" i="2"/>
  <c r="AS297" i="2"/>
  <c r="AQ297" i="2"/>
  <c r="AP297" i="2"/>
  <c r="AO297" i="2"/>
  <c r="AN297" i="2"/>
  <c r="AI297" i="2"/>
  <c r="AF297" i="2"/>
  <c r="AC297" i="2"/>
  <c r="AC297" i="2" a="1"/>
  <c r="AA297" i="2"/>
  <c r="AA297" i="2" a="1"/>
  <c r="Z297" i="2"/>
  <c r="Z297" i="2" a="1"/>
  <c r="Y297" i="2"/>
  <c r="Y297" i="2" a="1"/>
  <c r="X297" i="2"/>
  <c r="BC296" i="2"/>
  <c r="BB296" i="2"/>
  <c r="BA296" i="2"/>
  <c r="AZ296" i="2"/>
  <c r="AY296" i="2"/>
  <c r="AS296" i="2"/>
  <c r="AQ296" i="2"/>
  <c r="AP296" i="2"/>
  <c r="AO296" i="2"/>
  <c r="AN296" i="2"/>
  <c r="AI296" i="2"/>
  <c r="AF296" i="2"/>
  <c r="AC296" i="2"/>
  <c r="AC296" i="2" a="1"/>
  <c r="AA296" i="2"/>
  <c r="AA296" i="2" a="1"/>
  <c r="Z296" i="2"/>
  <c r="Z296" i="2" a="1"/>
  <c r="Y296" i="2"/>
  <c r="Y296" i="2" a="1"/>
  <c r="X296" i="2"/>
  <c r="BC295" i="2"/>
  <c r="BB295" i="2"/>
  <c r="BA295" i="2"/>
  <c r="AZ295" i="2"/>
  <c r="AY295" i="2"/>
  <c r="AS295" i="2"/>
  <c r="AQ295" i="2"/>
  <c r="AP295" i="2"/>
  <c r="AO295" i="2"/>
  <c r="AN295" i="2"/>
  <c r="AI295" i="2"/>
  <c r="AF295" i="2"/>
  <c r="AC295" i="2"/>
  <c r="AC295" i="2" a="1"/>
  <c r="AA295" i="2"/>
  <c r="AA295" i="2" a="1"/>
  <c r="Z295" i="2"/>
  <c r="Z295" i="2" a="1"/>
  <c r="Y295" i="2"/>
  <c r="Y295" i="2" a="1"/>
  <c r="X295" i="2"/>
  <c r="BC294" i="2"/>
  <c r="BB294" i="2"/>
  <c r="BA294" i="2"/>
  <c r="AZ294" i="2"/>
  <c r="AY294" i="2"/>
  <c r="AS294" i="2"/>
  <c r="AQ294" i="2"/>
  <c r="AP294" i="2"/>
  <c r="AO294" i="2"/>
  <c r="AN294" i="2"/>
  <c r="AI294" i="2"/>
  <c r="AF294" i="2"/>
  <c r="AC294" i="2"/>
  <c r="AC294" i="2" a="1"/>
  <c r="AA294" i="2"/>
  <c r="AA294" i="2" a="1"/>
  <c r="Z294" i="2"/>
  <c r="Z294" i="2" a="1"/>
  <c r="Y294" i="2"/>
  <c r="Y294" i="2" a="1"/>
  <c r="X294" i="2"/>
  <c r="BC293" i="2"/>
  <c r="BB293" i="2"/>
  <c r="BA293" i="2"/>
  <c r="AZ293" i="2"/>
  <c r="AY293" i="2"/>
  <c r="AS293" i="2"/>
  <c r="AQ293" i="2"/>
  <c r="AP293" i="2"/>
  <c r="AO293" i="2"/>
  <c r="AN293" i="2"/>
  <c r="AI293" i="2"/>
  <c r="AF293" i="2"/>
  <c r="AC293" i="2"/>
  <c r="AC293" i="2" a="1"/>
  <c r="AA293" i="2"/>
  <c r="AA293" i="2" a="1"/>
  <c r="Z293" i="2"/>
  <c r="Z293" i="2" a="1"/>
  <c r="Y293" i="2"/>
  <c r="Y293" i="2" a="1"/>
  <c r="X293" i="2"/>
  <c r="BC292" i="2"/>
  <c r="BB292" i="2"/>
  <c r="BA292" i="2"/>
  <c r="AZ292" i="2"/>
  <c r="AY292" i="2"/>
  <c r="AS292" i="2"/>
  <c r="AQ292" i="2"/>
  <c r="AP292" i="2"/>
  <c r="AO292" i="2"/>
  <c r="AN292" i="2"/>
  <c r="AI292" i="2"/>
  <c r="AF292" i="2"/>
  <c r="AC292" i="2"/>
  <c r="AC292" i="2" a="1"/>
  <c r="AA292" i="2"/>
  <c r="AA292" i="2" a="1"/>
  <c r="Z292" i="2"/>
  <c r="Z292" i="2" a="1"/>
  <c r="Y292" i="2"/>
  <c r="Y292" i="2" a="1"/>
  <c r="X292" i="2"/>
  <c r="BC291" i="2"/>
  <c r="BB291" i="2"/>
  <c r="BA291" i="2"/>
  <c r="AZ291" i="2"/>
  <c r="AY291" i="2"/>
  <c r="AS291" i="2"/>
  <c r="AQ291" i="2"/>
  <c r="AP291" i="2"/>
  <c r="AO291" i="2"/>
  <c r="AN291" i="2"/>
  <c r="AI291" i="2"/>
  <c r="AF291" i="2"/>
  <c r="AC291" i="2"/>
  <c r="AC291" i="2" a="1"/>
  <c r="AA291" i="2"/>
  <c r="AA291" i="2" a="1"/>
  <c r="Z291" i="2"/>
  <c r="Z291" i="2" a="1"/>
  <c r="Y291" i="2"/>
  <c r="Y291" i="2" a="1"/>
  <c r="X291" i="2"/>
  <c r="BC290" i="2"/>
  <c r="BB290" i="2"/>
  <c r="BA290" i="2"/>
  <c r="AZ290" i="2"/>
  <c r="AY290" i="2"/>
  <c r="AS290" i="2"/>
  <c r="AQ290" i="2"/>
  <c r="AP290" i="2"/>
  <c r="AO290" i="2"/>
  <c r="AN290" i="2"/>
  <c r="AI290" i="2"/>
  <c r="AF290" i="2"/>
  <c r="AC290" i="2"/>
  <c r="AC290" i="2" a="1"/>
  <c r="AA290" i="2"/>
  <c r="AA290" i="2" a="1"/>
  <c r="Z290" i="2"/>
  <c r="Z290" i="2" a="1"/>
  <c r="Y290" i="2"/>
  <c r="Y290" i="2" a="1"/>
  <c r="X290" i="2"/>
  <c r="BC289" i="2"/>
  <c r="BB289" i="2"/>
  <c r="BA289" i="2"/>
  <c r="AZ289" i="2"/>
  <c r="AY289" i="2"/>
  <c r="AS289" i="2"/>
  <c r="AQ289" i="2"/>
  <c r="AP289" i="2"/>
  <c r="AO289" i="2"/>
  <c r="AN289" i="2"/>
  <c r="AI289" i="2"/>
  <c r="AF289" i="2"/>
  <c r="AC289" i="2"/>
  <c r="AC289" i="2" a="1"/>
  <c r="AA289" i="2"/>
  <c r="AA289" i="2" a="1"/>
  <c r="Z289" i="2"/>
  <c r="Z289" i="2" a="1"/>
  <c r="Y289" i="2"/>
  <c r="Y289" i="2" a="1"/>
  <c r="X289" i="2"/>
  <c r="BC288" i="2"/>
  <c r="BB288" i="2"/>
  <c r="BA288" i="2"/>
  <c r="AZ288" i="2"/>
  <c r="AY288" i="2"/>
  <c r="AS288" i="2"/>
  <c r="AQ288" i="2"/>
  <c r="AP288" i="2"/>
  <c r="AO288" i="2"/>
  <c r="AN288" i="2"/>
  <c r="AI288" i="2"/>
  <c r="AF288" i="2"/>
  <c r="AC288" i="2"/>
  <c r="AC288" i="2" a="1"/>
  <c r="AA288" i="2"/>
  <c r="AA288" i="2" a="1"/>
  <c r="Z288" i="2"/>
  <c r="Z288" i="2" a="1"/>
  <c r="Y288" i="2"/>
  <c r="Y288" i="2" a="1"/>
  <c r="X288" i="2"/>
  <c r="BC287" i="2"/>
  <c r="BB287" i="2"/>
  <c r="BA287" i="2"/>
  <c r="AZ287" i="2"/>
  <c r="AY287" i="2"/>
  <c r="AS287" i="2"/>
  <c r="AQ287" i="2"/>
  <c r="AP287" i="2"/>
  <c r="AO287" i="2"/>
  <c r="AN287" i="2"/>
  <c r="AI287" i="2"/>
  <c r="AF287" i="2"/>
  <c r="AC287" i="2"/>
  <c r="AC287" i="2" a="1"/>
  <c r="AA287" i="2"/>
  <c r="AA287" i="2" a="1"/>
  <c r="Z287" i="2"/>
  <c r="Z287" i="2" a="1"/>
  <c r="Y287" i="2"/>
  <c r="Y287" i="2" a="1"/>
  <c r="X287" i="2"/>
  <c r="BC286" i="2"/>
  <c r="BB286" i="2"/>
  <c r="BA286" i="2"/>
  <c r="AZ286" i="2"/>
  <c r="AY286" i="2"/>
  <c r="AS286" i="2"/>
  <c r="AQ286" i="2"/>
  <c r="AP286" i="2"/>
  <c r="AO286" i="2"/>
  <c r="AN286" i="2"/>
  <c r="AI286" i="2"/>
  <c r="AF286" i="2"/>
  <c r="AC286" i="2"/>
  <c r="AC286" i="2" a="1"/>
  <c r="AA286" i="2"/>
  <c r="AA286" i="2" a="1"/>
  <c r="Z286" i="2"/>
  <c r="Z286" i="2" a="1"/>
  <c r="Y286" i="2"/>
  <c r="Y286" i="2" a="1"/>
  <c r="X286" i="2"/>
  <c r="BJ285" i="2"/>
  <c r="BJ285" i="2" a="1"/>
  <c r="BC285" i="2"/>
  <c r="BB285" i="2"/>
  <c r="BA285" i="2"/>
  <c r="AZ285" i="2"/>
  <c r="AY285" i="2"/>
  <c r="AS285" i="2"/>
  <c r="AQ285" i="2"/>
  <c r="AP285" i="2"/>
  <c r="AO285" i="2"/>
  <c r="AN285" i="2"/>
  <c r="AI285" i="2"/>
  <c r="AF285" i="2"/>
  <c r="AC285" i="2"/>
  <c r="AC285" i="2" a="1"/>
  <c r="AA285" i="2"/>
  <c r="AA285" i="2" a="1"/>
  <c r="Z285" i="2"/>
  <c r="Z285" i="2" a="1"/>
  <c r="Y285" i="2"/>
  <c r="Y285" i="2" a="1"/>
  <c r="X285" i="2"/>
  <c r="BC284" i="2"/>
  <c r="BB284" i="2"/>
  <c r="BA284" i="2"/>
  <c r="AZ284" i="2"/>
  <c r="AY284" i="2"/>
  <c r="AS284" i="2"/>
  <c r="AQ284" i="2"/>
  <c r="AP284" i="2"/>
  <c r="AO284" i="2"/>
  <c r="AN284" i="2"/>
  <c r="AI284" i="2"/>
  <c r="AF284" i="2"/>
  <c r="AC284" i="2"/>
  <c r="AC284" i="2" a="1"/>
  <c r="AA284" i="2"/>
  <c r="AA284" i="2" a="1"/>
  <c r="Z284" i="2"/>
  <c r="Z284" i="2" a="1"/>
  <c r="Y284" i="2"/>
  <c r="Y284" i="2" a="1"/>
  <c r="X284" i="2"/>
  <c r="BC283" i="2"/>
  <c r="BB283" i="2"/>
  <c r="BA283" i="2"/>
  <c r="AZ283" i="2"/>
  <c r="AY283" i="2"/>
  <c r="AS283" i="2"/>
  <c r="AQ283" i="2"/>
  <c r="AP283" i="2"/>
  <c r="AO283" i="2"/>
  <c r="AN283" i="2"/>
  <c r="AI283" i="2"/>
  <c r="AF283" i="2"/>
  <c r="AC283" i="2"/>
  <c r="AC283" i="2" a="1"/>
  <c r="AA283" i="2"/>
  <c r="AA283" i="2" a="1"/>
  <c r="Z283" i="2"/>
  <c r="Z283" i="2" a="1"/>
  <c r="Y283" i="2"/>
  <c r="Y283" i="2" a="1"/>
  <c r="X283" i="2"/>
  <c r="BC282" i="2"/>
  <c r="BB282" i="2"/>
  <c r="BA282" i="2"/>
  <c r="AZ282" i="2"/>
  <c r="AY282" i="2"/>
  <c r="AS282" i="2"/>
  <c r="AQ282" i="2"/>
  <c r="AP282" i="2"/>
  <c r="AO282" i="2"/>
  <c r="AN282" i="2"/>
  <c r="AI282" i="2"/>
  <c r="AF282" i="2"/>
  <c r="AC282" i="2"/>
  <c r="AC282" i="2" a="1"/>
  <c r="AA282" i="2"/>
  <c r="AA282" i="2" a="1"/>
  <c r="Z282" i="2"/>
  <c r="Z282" i="2" a="1"/>
  <c r="Y282" i="2"/>
  <c r="Y282" i="2" a="1"/>
  <c r="X282" i="2"/>
  <c r="BC281" i="2"/>
  <c r="BB281" i="2"/>
  <c r="BA281" i="2"/>
  <c r="AZ281" i="2"/>
  <c r="AY281" i="2"/>
  <c r="AS281" i="2"/>
  <c r="AQ281" i="2"/>
  <c r="AP281" i="2"/>
  <c r="AO281" i="2"/>
  <c r="AN281" i="2"/>
  <c r="AI281" i="2"/>
  <c r="AF281" i="2"/>
  <c r="AC281" i="2"/>
  <c r="AC281" i="2" a="1"/>
  <c r="AA281" i="2"/>
  <c r="AA281" i="2" a="1"/>
  <c r="Z281" i="2"/>
  <c r="Z281" i="2" a="1"/>
  <c r="Y281" i="2"/>
  <c r="Y281" i="2" a="1"/>
  <c r="X281" i="2"/>
  <c r="BC280" i="2"/>
  <c r="BB280" i="2"/>
  <c r="BA280" i="2"/>
  <c r="AZ280" i="2"/>
  <c r="AY280" i="2"/>
  <c r="AS280" i="2"/>
  <c r="AQ280" i="2"/>
  <c r="AP280" i="2"/>
  <c r="AO280" i="2"/>
  <c r="AN280" i="2"/>
  <c r="AI280" i="2"/>
  <c r="AF280" i="2"/>
  <c r="AC280" i="2"/>
  <c r="AC280" i="2" a="1"/>
  <c r="AA280" i="2"/>
  <c r="AA280" i="2" a="1"/>
  <c r="Z280" i="2"/>
  <c r="Z280" i="2" a="1"/>
  <c r="Y280" i="2"/>
  <c r="Y280" i="2" a="1"/>
  <c r="X280" i="2"/>
  <c r="BC279" i="2"/>
  <c r="BB279" i="2"/>
  <c r="BA279" i="2"/>
  <c r="AZ279" i="2"/>
  <c r="AY279" i="2"/>
  <c r="AS279" i="2"/>
  <c r="AQ279" i="2"/>
  <c r="AP279" i="2"/>
  <c r="AO279" i="2"/>
  <c r="AN279" i="2"/>
  <c r="AI279" i="2"/>
  <c r="AF279" i="2"/>
  <c r="AC279" i="2"/>
  <c r="AC279" i="2" a="1"/>
  <c r="AA279" i="2"/>
  <c r="AA279" i="2" a="1"/>
  <c r="Z279" i="2"/>
  <c r="Z279" i="2" a="1"/>
  <c r="Y279" i="2"/>
  <c r="Y279" i="2" a="1"/>
  <c r="X279" i="2"/>
  <c r="BJ278" i="2"/>
  <c r="BJ278" i="2" a="1"/>
  <c r="BC278" i="2"/>
  <c r="BB278" i="2"/>
  <c r="BA278" i="2"/>
  <c r="AZ278" i="2"/>
  <c r="AY278" i="2"/>
  <c r="AS278" i="2"/>
  <c r="AQ278" i="2"/>
  <c r="AP278" i="2"/>
  <c r="AO278" i="2"/>
  <c r="AN278" i="2"/>
  <c r="AI278" i="2"/>
  <c r="AF278" i="2"/>
  <c r="AC278" i="2"/>
  <c r="AC278" i="2" a="1"/>
  <c r="AA278" i="2"/>
  <c r="AA278" i="2" a="1"/>
  <c r="Z278" i="2"/>
  <c r="Z278" i="2" a="1"/>
  <c r="Y278" i="2"/>
  <c r="Y278" i="2" a="1"/>
  <c r="X278" i="2"/>
  <c r="BB277" i="2"/>
  <c r="BA277" i="2"/>
  <c r="AZ277" i="2"/>
  <c r="AY277" i="2"/>
  <c r="AW277" i="2"/>
  <c r="AS277" i="2"/>
  <c r="AQ277" i="2"/>
  <c r="AP277" i="2"/>
  <c r="AO277" i="2"/>
  <c r="AN277" i="2"/>
  <c r="AI277" i="2"/>
  <c r="AF277" i="2"/>
  <c r="AC277" i="2"/>
  <c r="AC277" i="2" a="1"/>
  <c r="AA277" i="2"/>
  <c r="AA277" i="2" a="1"/>
  <c r="Z277" i="2"/>
  <c r="Z277" i="2" a="1"/>
  <c r="Y277" i="2"/>
  <c r="Y277" i="2" a="1"/>
  <c r="X277" i="2"/>
  <c r="BB276" i="2"/>
  <c r="BA276" i="2"/>
  <c r="AZ276" i="2"/>
  <c r="AY276" i="2"/>
  <c r="AW276" i="2"/>
  <c r="AS276" i="2"/>
  <c r="AQ276" i="2"/>
  <c r="AP276" i="2"/>
  <c r="AO276" i="2"/>
  <c r="AN276" i="2"/>
  <c r="AI276" i="2"/>
  <c r="AF276" i="2"/>
  <c r="AC276" i="2"/>
  <c r="AC276" i="2" a="1"/>
  <c r="AA276" i="2"/>
  <c r="AA276" i="2" a="1"/>
  <c r="Z276" i="2"/>
  <c r="Z276" i="2" a="1"/>
  <c r="Y276" i="2"/>
  <c r="Y276" i="2" a="1"/>
  <c r="X276" i="2"/>
  <c r="BL275" i="2"/>
  <c r="BL275" i="2" a="1"/>
  <c r="BB275" i="2"/>
  <c r="BA275" i="2"/>
  <c r="AZ275" i="2"/>
  <c r="AY275" i="2"/>
  <c r="AS275" i="2"/>
  <c r="AQ275" i="2"/>
  <c r="AP275" i="2"/>
  <c r="AO275" i="2"/>
  <c r="AN275" i="2"/>
  <c r="AI275" i="2"/>
  <c r="AF275" i="2"/>
  <c r="AC275" i="2"/>
  <c r="AC275" i="2" a="1"/>
  <c r="AA275" i="2"/>
  <c r="AA275" i="2" a="1"/>
  <c r="Z275" i="2"/>
  <c r="Z275" i="2" a="1"/>
  <c r="Y275" i="2"/>
  <c r="Y275" i="2" a="1"/>
  <c r="X275" i="2"/>
  <c r="BB274" i="2"/>
  <c r="BA274" i="2"/>
  <c r="AZ274" i="2"/>
  <c r="AY274" i="2"/>
  <c r="AS274" i="2"/>
  <c r="AQ274" i="2"/>
  <c r="AP274" i="2"/>
  <c r="AO274" i="2"/>
  <c r="AN274" i="2"/>
  <c r="AI274" i="2"/>
  <c r="AF274" i="2"/>
  <c r="AC274" i="2"/>
  <c r="AC274" i="2" a="1"/>
  <c r="AA274" i="2"/>
  <c r="AA274" i="2" a="1"/>
  <c r="Z274" i="2"/>
  <c r="Z274" i="2" a="1"/>
  <c r="Y274" i="2"/>
  <c r="Y274" i="2" a="1"/>
  <c r="X274" i="2"/>
  <c r="BB273" i="2"/>
  <c r="BA273" i="2"/>
  <c r="AZ273" i="2"/>
  <c r="AY273" i="2"/>
  <c r="AS273" i="2"/>
  <c r="AQ273" i="2"/>
  <c r="AP273" i="2"/>
  <c r="AO273" i="2"/>
  <c r="AN273" i="2"/>
  <c r="AI273" i="2"/>
  <c r="AF273" i="2"/>
  <c r="AC273" i="2"/>
  <c r="AC273" i="2" a="1"/>
  <c r="AA273" i="2"/>
  <c r="AA273" i="2" a="1"/>
  <c r="Z273" i="2"/>
  <c r="Z273" i="2" a="1"/>
  <c r="Y273" i="2"/>
  <c r="Y273" i="2" a="1"/>
  <c r="X273" i="2"/>
  <c r="BC272" i="2"/>
  <c r="BB272" i="2"/>
  <c r="BA272" i="2"/>
  <c r="AZ272" i="2"/>
  <c r="AY272" i="2"/>
  <c r="AS272" i="2"/>
  <c r="AQ272" i="2"/>
  <c r="AP272" i="2"/>
  <c r="AO272" i="2"/>
  <c r="AN272" i="2"/>
  <c r="AI272" i="2"/>
  <c r="AF272" i="2"/>
  <c r="AC272" i="2"/>
  <c r="AC272" i="2" a="1"/>
  <c r="AA272" i="2"/>
  <c r="AA272" i="2" a="1"/>
  <c r="Z272" i="2"/>
  <c r="Z272" i="2" a="1"/>
  <c r="Y272" i="2"/>
  <c r="Y272" i="2" a="1"/>
  <c r="X272" i="2"/>
  <c r="BC271" i="2"/>
  <c r="BB271" i="2"/>
  <c r="BA271" i="2"/>
  <c r="AZ271" i="2"/>
  <c r="AY271" i="2"/>
  <c r="AS271" i="2"/>
  <c r="AQ271" i="2"/>
  <c r="AP271" i="2"/>
  <c r="AO271" i="2"/>
  <c r="AN271" i="2"/>
  <c r="AI271" i="2"/>
  <c r="AF271" i="2"/>
  <c r="AC271" i="2"/>
  <c r="AC271" i="2" a="1"/>
  <c r="AA271" i="2"/>
  <c r="AA271" i="2" a="1"/>
  <c r="Z271" i="2"/>
  <c r="Z271" i="2" a="1"/>
  <c r="Y271" i="2"/>
  <c r="Y271" i="2" a="1"/>
  <c r="X271" i="2"/>
  <c r="BC270" i="2"/>
  <c r="BB270" i="2"/>
  <c r="BA270" i="2"/>
  <c r="AZ270" i="2"/>
  <c r="AY270" i="2"/>
  <c r="AS270" i="2"/>
  <c r="AQ270" i="2"/>
  <c r="AP270" i="2"/>
  <c r="AO270" i="2"/>
  <c r="AN270" i="2"/>
  <c r="AI270" i="2"/>
  <c r="AF270" i="2"/>
  <c r="AC270" i="2"/>
  <c r="AC270" i="2" a="1"/>
  <c r="AA270" i="2"/>
  <c r="AA270" i="2" a="1"/>
  <c r="Z270" i="2"/>
  <c r="Z270" i="2" a="1"/>
  <c r="Y270" i="2"/>
  <c r="Y270" i="2" a="1"/>
  <c r="X270" i="2"/>
  <c r="BC269" i="2"/>
  <c r="BB269" i="2"/>
  <c r="BA269" i="2"/>
  <c r="AZ269" i="2"/>
  <c r="AY269" i="2"/>
  <c r="AS269" i="2"/>
  <c r="AQ269" i="2"/>
  <c r="AP269" i="2"/>
  <c r="AO269" i="2"/>
  <c r="AN269" i="2"/>
  <c r="AI269" i="2"/>
  <c r="AF269" i="2"/>
  <c r="AC269" i="2"/>
  <c r="AC269" i="2" a="1"/>
  <c r="AA269" i="2"/>
  <c r="AA269" i="2" a="1"/>
  <c r="Z269" i="2"/>
  <c r="Z269" i="2" a="1"/>
  <c r="Y269" i="2"/>
  <c r="Y269" i="2" a="1"/>
  <c r="X269" i="2"/>
  <c r="BC268" i="2"/>
  <c r="BB268" i="2"/>
  <c r="BA268" i="2"/>
  <c r="AZ268" i="2"/>
  <c r="AY268" i="2"/>
  <c r="AS268" i="2"/>
  <c r="AQ268" i="2"/>
  <c r="AP268" i="2"/>
  <c r="AO268" i="2"/>
  <c r="AN268" i="2"/>
  <c r="AI268" i="2"/>
  <c r="AF268" i="2"/>
  <c r="AC268" i="2"/>
  <c r="AC268" i="2" a="1"/>
  <c r="AA268" i="2"/>
  <c r="AA268" i="2" a="1"/>
  <c r="Z268" i="2"/>
  <c r="Z268" i="2" a="1"/>
  <c r="Y268" i="2"/>
  <c r="Y268" i="2" a="1"/>
  <c r="X268" i="2"/>
  <c r="BC267" i="2"/>
  <c r="BB267" i="2"/>
  <c r="BA267" i="2"/>
  <c r="AZ267" i="2"/>
  <c r="AY267" i="2"/>
  <c r="AS267" i="2"/>
  <c r="AQ267" i="2"/>
  <c r="AP267" i="2"/>
  <c r="AO267" i="2"/>
  <c r="AN267" i="2"/>
  <c r="AI267" i="2"/>
  <c r="AF267" i="2"/>
  <c r="AC267" i="2"/>
  <c r="AC267" i="2" a="1"/>
  <c r="AA267" i="2"/>
  <c r="AA267" i="2" a="1"/>
  <c r="Z267" i="2"/>
  <c r="Z267" i="2" a="1"/>
  <c r="Y267" i="2"/>
  <c r="Y267" i="2" a="1"/>
  <c r="X267" i="2"/>
  <c r="BC266" i="2"/>
  <c r="BB266" i="2"/>
  <c r="BA266" i="2"/>
  <c r="AZ266" i="2"/>
  <c r="AY266" i="2"/>
  <c r="AS266" i="2"/>
  <c r="AQ266" i="2"/>
  <c r="AP266" i="2"/>
  <c r="AO266" i="2"/>
  <c r="AN266" i="2"/>
  <c r="AI266" i="2"/>
  <c r="AF266" i="2"/>
  <c r="AC266" i="2"/>
  <c r="AC266" i="2" a="1"/>
  <c r="AA266" i="2"/>
  <c r="AA266" i="2" a="1"/>
  <c r="Z266" i="2"/>
  <c r="Z266" i="2" a="1"/>
  <c r="Y266" i="2"/>
  <c r="Y266" i="2" a="1"/>
  <c r="X266" i="2"/>
  <c r="BC265" i="2"/>
  <c r="BB265" i="2"/>
  <c r="BA265" i="2"/>
  <c r="AZ265" i="2"/>
  <c r="AY265" i="2"/>
  <c r="AS265" i="2"/>
  <c r="AQ265" i="2"/>
  <c r="AP265" i="2"/>
  <c r="AO265" i="2"/>
  <c r="AN265" i="2"/>
  <c r="AI265" i="2"/>
  <c r="AF265" i="2"/>
  <c r="AC265" i="2"/>
  <c r="AC265" i="2" a="1"/>
  <c r="AA265" i="2"/>
  <c r="AA265" i="2" a="1"/>
  <c r="Z265" i="2"/>
  <c r="Z265" i="2" a="1"/>
  <c r="Y265" i="2"/>
  <c r="Y265" i="2" a="1"/>
  <c r="X265" i="2"/>
  <c r="BC264" i="2"/>
  <c r="BB264" i="2"/>
  <c r="BA264" i="2"/>
  <c r="AZ264" i="2"/>
  <c r="AY264" i="2"/>
  <c r="AS264" i="2"/>
  <c r="AQ264" i="2"/>
  <c r="AP264" i="2"/>
  <c r="AO264" i="2"/>
  <c r="AN264" i="2"/>
  <c r="AI264" i="2"/>
  <c r="AF264" i="2"/>
  <c r="AC264" i="2"/>
  <c r="AC264" i="2" a="1"/>
  <c r="AA264" i="2"/>
  <c r="AA264" i="2" a="1"/>
  <c r="Z264" i="2"/>
  <c r="Z264" i="2" a="1"/>
  <c r="Y264" i="2"/>
  <c r="Y264" i="2" a="1"/>
  <c r="X264" i="2"/>
  <c r="BC263" i="2"/>
  <c r="BB263" i="2"/>
  <c r="BA263" i="2"/>
  <c r="AZ263" i="2"/>
  <c r="AY263" i="2"/>
  <c r="AS263" i="2"/>
  <c r="AQ263" i="2"/>
  <c r="AP263" i="2"/>
  <c r="AO263" i="2"/>
  <c r="AN263" i="2"/>
  <c r="AI263" i="2"/>
  <c r="AF263" i="2"/>
  <c r="AC263" i="2"/>
  <c r="AC263" i="2" a="1"/>
  <c r="AA263" i="2"/>
  <c r="AA263" i="2" a="1"/>
  <c r="Z263" i="2"/>
  <c r="Z263" i="2" a="1"/>
  <c r="Y263" i="2"/>
  <c r="Y263" i="2" a="1"/>
  <c r="X263" i="2"/>
  <c r="BC262" i="2"/>
  <c r="BB262" i="2"/>
  <c r="BA262" i="2"/>
  <c r="AZ262" i="2"/>
  <c r="AY262" i="2"/>
  <c r="AS262" i="2"/>
  <c r="AQ262" i="2"/>
  <c r="AP262" i="2"/>
  <c r="AO262" i="2"/>
  <c r="AN262" i="2"/>
  <c r="AI262" i="2"/>
  <c r="AF262" i="2"/>
  <c r="AC262" i="2"/>
  <c r="AC262" i="2" a="1"/>
  <c r="AA262" i="2"/>
  <c r="AA262" i="2" a="1"/>
  <c r="Z262" i="2"/>
  <c r="Z262" i="2" a="1"/>
  <c r="Y262" i="2"/>
  <c r="Y262" i="2" a="1"/>
  <c r="X262" i="2"/>
  <c r="BC261" i="2"/>
  <c r="BB261" i="2"/>
  <c r="BA261" i="2"/>
  <c r="AZ261" i="2"/>
  <c r="AY261" i="2"/>
  <c r="AS261" i="2"/>
  <c r="AQ261" i="2"/>
  <c r="AP261" i="2"/>
  <c r="AO261" i="2"/>
  <c r="AN261" i="2"/>
  <c r="AI261" i="2"/>
  <c r="AF261" i="2"/>
  <c r="AC261" i="2"/>
  <c r="AC261" i="2" a="1"/>
  <c r="AA261" i="2"/>
  <c r="AA261" i="2" a="1"/>
  <c r="Z261" i="2"/>
  <c r="Z261" i="2" a="1"/>
  <c r="Y261" i="2"/>
  <c r="Y261" i="2" a="1"/>
  <c r="X261" i="2"/>
  <c r="BC260" i="2"/>
  <c r="BB260" i="2"/>
  <c r="BA260" i="2"/>
  <c r="AZ260" i="2"/>
  <c r="AY260" i="2"/>
  <c r="AS260" i="2"/>
  <c r="AQ260" i="2"/>
  <c r="AP260" i="2"/>
  <c r="AO260" i="2"/>
  <c r="AN260" i="2"/>
  <c r="AI260" i="2"/>
  <c r="AF260" i="2"/>
  <c r="AC260" i="2"/>
  <c r="AC260" i="2" a="1"/>
  <c r="AA260" i="2"/>
  <c r="AA260" i="2" a="1"/>
  <c r="Z260" i="2"/>
  <c r="Z260" i="2" a="1"/>
  <c r="Y260" i="2"/>
  <c r="Y260" i="2" a="1"/>
  <c r="X260" i="2"/>
  <c r="BC259" i="2"/>
  <c r="BB259" i="2"/>
  <c r="BA259" i="2"/>
  <c r="AZ259" i="2"/>
  <c r="AY259" i="2"/>
  <c r="AS259" i="2"/>
  <c r="AQ259" i="2"/>
  <c r="AP259" i="2"/>
  <c r="AO259" i="2"/>
  <c r="AN259" i="2"/>
  <c r="AI259" i="2"/>
  <c r="AF259" i="2"/>
  <c r="AC259" i="2"/>
  <c r="AC259" i="2" a="1"/>
  <c r="AA259" i="2"/>
  <c r="AA259" i="2" a="1"/>
  <c r="Z259" i="2"/>
  <c r="Z259" i="2" a="1"/>
  <c r="Y259" i="2"/>
  <c r="Y259" i="2" a="1"/>
  <c r="X259" i="2"/>
  <c r="BC258" i="2"/>
  <c r="BB258" i="2"/>
  <c r="BA258" i="2"/>
  <c r="AZ258" i="2"/>
  <c r="AY258" i="2"/>
  <c r="AS258" i="2"/>
  <c r="AQ258" i="2"/>
  <c r="AP258" i="2"/>
  <c r="AO258" i="2"/>
  <c r="AN258" i="2"/>
  <c r="AI258" i="2"/>
  <c r="AF258" i="2"/>
  <c r="AC258" i="2"/>
  <c r="AC258" i="2" a="1"/>
  <c r="AA258" i="2"/>
  <c r="AA258" i="2" a="1"/>
  <c r="Z258" i="2"/>
  <c r="Z258" i="2" a="1"/>
  <c r="Y258" i="2"/>
  <c r="Y258" i="2" a="1"/>
  <c r="X258" i="2"/>
  <c r="BC257" i="2"/>
  <c r="BB257" i="2"/>
  <c r="BA257" i="2"/>
  <c r="AZ257" i="2"/>
  <c r="AY257" i="2"/>
  <c r="AS257" i="2"/>
  <c r="AQ257" i="2"/>
  <c r="AP257" i="2"/>
  <c r="AO257" i="2"/>
  <c r="AN257" i="2"/>
  <c r="AI257" i="2"/>
  <c r="AF257" i="2"/>
  <c r="AC257" i="2"/>
  <c r="AC257" i="2" a="1"/>
  <c r="AA257" i="2"/>
  <c r="AA257" i="2" a="1"/>
  <c r="Z257" i="2"/>
  <c r="Z257" i="2" a="1"/>
  <c r="Y257" i="2"/>
  <c r="Y257" i="2" a="1"/>
  <c r="X257" i="2"/>
  <c r="BC256" i="2"/>
  <c r="BB256" i="2"/>
  <c r="BA256" i="2"/>
  <c r="AZ256" i="2"/>
  <c r="AY256" i="2"/>
  <c r="AS256" i="2"/>
  <c r="AQ256" i="2"/>
  <c r="AP256" i="2"/>
  <c r="AO256" i="2"/>
  <c r="AN256" i="2"/>
  <c r="AI256" i="2"/>
  <c r="AF256" i="2"/>
  <c r="AC256" i="2"/>
  <c r="AC256" i="2" a="1"/>
  <c r="AA256" i="2"/>
  <c r="AA256" i="2" a="1"/>
  <c r="Z256" i="2"/>
  <c r="Z256" i="2" a="1"/>
  <c r="Y256" i="2"/>
  <c r="Y256" i="2" a="1"/>
  <c r="X256" i="2"/>
  <c r="BC255" i="2"/>
  <c r="BB255" i="2"/>
  <c r="BA255" i="2"/>
  <c r="AZ255" i="2"/>
  <c r="AY255" i="2"/>
  <c r="AS255" i="2"/>
  <c r="AQ255" i="2"/>
  <c r="AP255" i="2"/>
  <c r="AO255" i="2"/>
  <c r="AN255" i="2"/>
  <c r="AI255" i="2"/>
  <c r="AF255" i="2"/>
  <c r="AC255" i="2"/>
  <c r="AC255" i="2" a="1"/>
  <c r="AA255" i="2"/>
  <c r="AA255" i="2" a="1"/>
  <c r="Z255" i="2"/>
  <c r="Z255" i="2" a="1"/>
  <c r="Y255" i="2"/>
  <c r="Y255" i="2" a="1"/>
  <c r="X255" i="2"/>
  <c r="BC254" i="2"/>
  <c r="BB254" i="2"/>
  <c r="BA254" i="2"/>
  <c r="AZ254" i="2"/>
  <c r="AY254" i="2"/>
  <c r="AS254" i="2"/>
  <c r="AQ254" i="2"/>
  <c r="AP254" i="2"/>
  <c r="AO254" i="2"/>
  <c r="AN254" i="2"/>
  <c r="AI254" i="2"/>
  <c r="AF254" i="2"/>
  <c r="AC254" i="2"/>
  <c r="AC254" i="2" a="1"/>
  <c r="AA254" i="2"/>
  <c r="AA254" i="2" a="1"/>
  <c r="Z254" i="2"/>
  <c r="Z254" i="2" a="1"/>
  <c r="Y254" i="2"/>
  <c r="Y254" i="2" a="1"/>
  <c r="X254" i="2"/>
  <c r="BC253" i="2"/>
  <c r="BB253" i="2"/>
  <c r="BA253" i="2"/>
  <c r="AZ253" i="2"/>
  <c r="AY253" i="2"/>
  <c r="AS253" i="2"/>
  <c r="AQ253" i="2"/>
  <c r="AP253" i="2"/>
  <c r="AO253" i="2"/>
  <c r="AN253" i="2"/>
  <c r="AI253" i="2"/>
  <c r="AF253" i="2"/>
  <c r="AC253" i="2"/>
  <c r="AC253" i="2" a="1"/>
  <c r="AA253" i="2"/>
  <c r="AA253" i="2" a="1"/>
  <c r="Z253" i="2"/>
  <c r="Z253" i="2" a="1"/>
  <c r="Y253" i="2"/>
  <c r="Y253" i="2" a="1"/>
  <c r="X253" i="2"/>
  <c r="BC252" i="2"/>
  <c r="BB252" i="2"/>
  <c r="BA252" i="2"/>
  <c r="AZ252" i="2"/>
  <c r="AY252" i="2"/>
  <c r="AS252" i="2"/>
  <c r="AQ252" i="2"/>
  <c r="AP252" i="2"/>
  <c r="AO252" i="2"/>
  <c r="AN252" i="2"/>
  <c r="AI252" i="2"/>
  <c r="AF252" i="2"/>
  <c r="AC252" i="2"/>
  <c r="AC252" i="2" a="1"/>
  <c r="AA252" i="2"/>
  <c r="AA252" i="2" a="1"/>
  <c r="Z252" i="2"/>
  <c r="Z252" i="2" a="1"/>
  <c r="Y252" i="2"/>
  <c r="Y252" i="2" a="1"/>
  <c r="X252" i="2"/>
  <c r="BC251" i="2"/>
  <c r="BB251" i="2"/>
  <c r="BA251" i="2"/>
  <c r="AZ251" i="2"/>
  <c r="AY251" i="2"/>
  <c r="AS251" i="2"/>
  <c r="AQ251" i="2"/>
  <c r="AP251" i="2"/>
  <c r="AO251" i="2"/>
  <c r="AN251" i="2"/>
  <c r="AI251" i="2"/>
  <c r="AF251" i="2"/>
  <c r="AC251" i="2"/>
  <c r="AC251" i="2" a="1"/>
  <c r="AA251" i="2"/>
  <c r="AA251" i="2" a="1"/>
  <c r="Z251" i="2"/>
  <c r="Z251" i="2" a="1"/>
  <c r="Y251" i="2"/>
  <c r="Y251" i="2" a="1"/>
  <c r="X251" i="2"/>
  <c r="BC250" i="2"/>
  <c r="BB250" i="2"/>
  <c r="BA250" i="2"/>
  <c r="AZ250" i="2"/>
  <c r="AY250" i="2"/>
  <c r="AS250" i="2"/>
  <c r="AQ250" i="2"/>
  <c r="AP250" i="2"/>
  <c r="AO250" i="2"/>
  <c r="AN250" i="2"/>
  <c r="AI250" i="2"/>
  <c r="AF250" i="2"/>
  <c r="AC250" i="2"/>
  <c r="AC250" i="2" a="1"/>
  <c r="AA250" i="2"/>
  <c r="AA250" i="2" a="1"/>
  <c r="Z250" i="2"/>
  <c r="Z250" i="2" a="1"/>
  <c r="Y250" i="2"/>
  <c r="Y250" i="2" a="1"/>
  <c r="X250" i="2"/>
  <c r="BC249" i="2"/>
  <c r="BB249" i="2"/>
  <c r="BA249" i="2"/>
  <c r="AZ249" i="2"/>
  <c r="AY249" i="2"/>
  <c r="AS249" i="2"/>
  <c r="AQ249" i="2"/>
  <c r="AP249" i="2"/>
  <c r="AO249" i="2"/>
  <c r="AN249" i="2"/>
  <c r="AI249" i="2"/>
  <c r="AF249" i="2"/>
  <c r="AC249" i="2"/>
  <c r="AC249" i="2" a="1"/>
  <c r="AA249" i="2"/>
  <c r="AA249" i="2" a="1"/>
  <c r="Z249" i="2"/>
  <c r="Z249" i="2" a="1"/>
  <c r="Y249" i="2"/>
  <c r="Y249" i="2" a="1"/>
  <c r="X249" i="2"/>
  <c r="BC248" i="2"/>
  <c r="BB248" i="2"/>
  <c r="BA248" i="2"/>
  <c r="AZ248" i="2"/>
  <c r="AY248" i="2"/>
  <c r="AS248" i="2"/>
  <c r="AQ248" i="2"/>
  <c r="AP248" i="2"/>
  <c r="AO248" i="2"/>
  <c r="AN248" i="2"/>
  <c r="AI248" i="2"/>
  <c r="AF248" i="2"/>
  <c r="AC248" i="2"/>
  <c r="AC248" i="2" a="1"/>
  <c r="AA248" i="2"/>
  <c r="AA248" i="2" a="1"/>
  <c r="Z248" i="2"/>
  <c r="Z248" i="2" a="1"/>
  <c r="Y248" i="2"/>
  <c r="Y248" i="2" a="1"/>
  <c r="X248" i="2"/>
  <c r="BC247" i="2"/>
  <c r="BB247" i="2"/>
  <c r="BA247" i="2"/>
  <c r="AZ247" i="2"/>
  <c r="AY247" i="2"/>
  <c r="AS247" i="2"/>
  <c r="AQ247" i="2"/>
  <c r="AP247" i="2"/>
  <c r="AO247" i="2"/>
  <c r="AN247" i="2"/>
  <c r="AI247" i="2"/>
  <c r="AF247" i="2"/>
  <c r="AC247" i="2"/>
  <c r="AC247" i="2" a="1"/>
  <c r="AA247" i="2"/>
  <c r="AA247" i="2" a="1"/>
  <c r="Z247" i="2"/>
  <c r="Z247" i="2" a="1"/>
  <c r="Y247" i="2"/>
  <c r="Y247" i="2" a="1"/>
  <c r="X247" i="2"/>
  <c r="BC246" i="2"/>
  <c r="BB246" i="2"/>
  <c r="BA246" i="2"/>
  <c r="AZ246" i="2"/>
  <c r="AY246" i="2"/>
  <c r="AS246" i="2"/>
  <c r="AQ246" i="2"/>
  <c r="AP246" i="2"/>
  <c r="AO246" i="2"/>
  <c r="AN246" i="2"/>
  <c r="AI246" i="2"/>
  <c r="AF246" i="2"/>
  <c r="AC246" i="2"/>
  <c r="AC246" i="2" a="1"/>
  <c r="AA246" i="2"/>
  <c r="AA246" i="2" a="1"/>
  <c r="Z246" i="2"/>
  <c r="Z246" i="2" a="1"/>
  <c r="Y246" i="2"/>
  <c r="Y246" i="2" a="1"/>
  <c r="X246" i="2"/>
  <c r="BC245" i="2"/>
  <c r="BB245" i="2"/>
  <c r="BA245" i="2"/>
  <c r="AZ245" i="2"/>
  <c r="AY245" i="2"/>
  <c r="AS245" i="2"/>
  <c r="AQ245" i="2"/>
  <c r="AP245" i="2"/>
  <c r="AO245" i="2"/>
  <c r="AN245" i="2"/>
  <c r="AI245" i="2"/>
  <c r="AF245" i="2"/>
  <c r="AC245" i="2"/>
  <c r="AC245" i="2" a="1"/>
  <c r="AA245" i="2"/>
  <c r="AA245" i="2" a="1"/>
  <c r="Z245" i="2"/>
  <c r="Z245" i="2" a="1"/>
  <c r="Y245" i="2"/>
  <c r="Y245" i="2" a="1"/>
  <c r="X245" i="2"/>
  <c r="BC244" i="2"/>
  <c r="BB244" i="2"/>
  <c r="BA244" i="2"/>
  <c r="AZ244" i="2"/>
  <c r="AY244" i="2"/>
  <c r="AS244" i="2"/>
  <c r="AQ244" i="2"/>
  <c r="AP244" i="2"/>
  <c r="AO244" i="2"/>
  <c r="AN244" i="2"/>
  <c r="AI244" i="2"/>
  <c r="AF244" i="2"/>
  <c r="AC244" i="2"/>
  <c r="AC244" i="2" a="1"/>
  <c r="AA244" i="2"/>
  <c r="AA244" i="2" a="1"/>
  <c r="Z244" i="2"/>
  <c r="Z244" i="2" a="1"/>
  <c r="Y244" i="2"/>
  <c r="Y244" i="2" a="1"/>
  <c r="X244" i="2"/>
  <c r="BC243" i="2"/>
  <c r="BB243" i="2"/>
  <c r="BA243" i="2"/>
  <c r="AZ243" i="2"/>
  <c r="AY243" i="2"/>
  <c r="AS243" i="2"/>
  <c r="AQ243" i="2"/>
  <c r="AP243" i="2"/>
  <c r="AO243" i="2"/>
  <c r="AN243" i="2"/>
  <c r="AI243" i="2"/>
  <c r="AF243" i="2"/>
  <c r="AC243" i="2"/>
  <c r="AC243" i="2" a="1"/>
  <c r="AA243" i="2"/>
  <c r="AA243" i="2" a="1"/>
  <c r="Z243" i="2"/>
  <c r="Z243" i="2" a="1"/>
  <c r="Y243" i="2"/>
  <c r="Y243" i="2" a="1"/>
  <c r="X243" i="2"/>
  <c r="BC242" i="2"/>
  <c r="BB242" i="2"/>
  <c r="BA242" i="2"/>
  <c r="AZ242" i="2"/>
  <c r="AY242" i="2"/>
  <c r="AS242" i="2"/>
  <c r="AQ242" i="2"/>
  <c r="AP242" i="2"/>
  <c r="AO242" i="2"/>
  <c r="AN242" i="2"/>
  <c r="AI242" i="2"/>
  <c r="AF242" i="2"/>
  <c r="AC242" i="2"/>
  <c r="AC242" i="2" a="1"/>
  <c r="AA242" i="2"/>
  <c r="AA242" i="2" a="1"/>
  <c r="Z242" i="2"/>
  <c r="Z242" i="2" a="1"/>
  <c r="Y242" i="2"/>
  <c r="Y242" i="2" a="1"/>
  <c r="X242" i="2"/>
  <c r="BC241" i="2"/>
  <c r="BB241" i="2"/>
  <c r="BA241" i="2"/>
  <c r="AZ241" i="2"/>
  <c r="AY241" i="2"/>
  <c r="AS241" i="2"/>
  <c r="AQ241" i="2"/>
  <c r="AP241" i="2"/>
  <c r="AO241" i="2"/>
  <c r="AN241" i="2"/>
  <c r="AI241" i="2"/>
  <c r="AF241" i="2"/>
  <c r="AC241" i="2"/>
  <c r="AC241" i="2" a="1"/>
  <c r="AA241" i="2"/>
  <c r="AA241" i="2" a="1"/>
  <c r="Z241" i="2"/>
  <c r="Z241" i="2" a="1"/>
  <c r="Y241" i="2"/>
  <c r="Y241" i="2" a="1"/>
  <c r="X241" i="2"/>
  <c r="BC240" i="2"/>
  <c r="BB240" i="2"/>
  <c r="BA240" i="2"/>
  <c r="AZ240" i="2"/>
  <c r="AY240" i="2"/>
  <c r="AS240" i="2"/>
  <c r="AQ240" i="2"/>
  <c r="AP240" i="2"/>
  <c r="AO240" i="2"/>
  <c r="AN240" i="2"/>
  <c r="AI240" i="2"/>
  <c r="AF240" i="2"/>
  <c r="AC240" i="2"/>
  <c r="AC240" i="2" a="1"/>
  <c r="AA240" i="2"/>
  <c r="AA240" i="2" a="1"/>
  <c r="Z240" i="2"/>
  <c r="Z240" i="2" a="1"/>
  <c r="Y240" i="2"/>
  <c r="Y240" i="2" a="1"/>
  <c r="X240" i="2"/>
  <c r="BC239" i="2"/>
  <c r="BB239" i="2"/>
  <c r="BA239" i="2"/>
  <c r="AZ239" i="2"/>
  <c r="AY239" i="2"/>
  <c r="AS239" i="2"/>
  <c r="AQ239" i="2"/>
  <c r="AP239" i="2"/>
  <c r="AO239" i="2"/>
  <c r="AN239" i="2"/>
  <c r="AI239" i="2"/>
  <c r="AF239" i="2"/>
  <c r="AC239" i="2"/>
  <c r="AC239" i="2" a="1"/>
  <c r="AA239" i="2"/>
  <c r="AA239" i="2" a="1"/>
  <c r="Z239" i="2"/>
  <c r="Z239" i="2" a="1"/>
  <c r="Y239" i="2"/>
  <c r="Y239" i="2" a="1"/>
  <c r="X239" i="2"/>
  <c r="BC238" i="2"/>
  <c r="BB238" i="2"/>
  <c r="BA238" i="2"/>
  <c r="AZ238" i="2"/>
  <c r="AY238" i="2"/>
  <c r="AS238" i="2"/>
  <c r="AQ238" i="2"/>
  <c r="AP238" i="2"/>
  <c r="AO238" i="2"/>
  <c r="AN238" i="2"/>
  <c r="AI238" i="2"/>
  <c r="AF238" i="2"/>
  <c r="AC238" i="2"/>
  <c r="AC238" i="2" a="1"/>
  <c r="AA238" i="2"/>
  <c r="AA238" i="2" a="1"/>
  <c r="Z238" i="2"/>
  <c r="Z238" i="2" a="1"/>
  <c r="Y238" i="2"/>
  <c r="Y238" i="2" a="1"/>
  <c r="X238" i="2"/>
  <c r="BC237" i="2"/>
  <c r="BB237" i="2"/>
  <c r="BA237" i="2"/>
  <c r="AZ237" i="2"/>
  <c r="AY237" i="2"/>
  <c r="AS237" i="2"/>
  <c r="AQ237" i="2"/>
  <c r="AP237" i="2"/>
  <c r="AO237" i="2"/>
  <c r="AN237" i="2"/>
  <c r="AI237" i="2"/>
  <c r="AF237" i="2"/>
  <c r="AC237" i="2"/>
  <c r="AC237" i="2" a="1"/>
  <c r="AA237" i="2"/>
  <c r="AA237" i="2" a="1"/>
  <c r="Z237" i="2"/>
  <c r="Z237" i="2" a="1"/>
  <c r="Y237" i="2"/>
  <c r="Y237" i="2" a="1"/>
  <c r="X237" i="2"/>
  <c r="BC236" i="2"/>
  <c r="BB236" i="2"/>
  <c r="BA236" i="2"/>
  <c r="AZ236" i="2"/>
  <c r="AY236" i="2"/>
  <c r="AS236" i="2"/>
  <c r="AQ236" i="2"/>
  <c r="AP236" i="2"/>
  <c r="AO236" i="2"/>
  <c r="AN236" i="2"/>
  <c r="AI236" i="2"/>
  <c r="AF236" i="2"/>
  <c r="AC236" i="2"/>
  <c r="AC236" i="2" a="1"/>
  <c r="AA236" i="2"/>
  <c r="AA236" i="2" a="1"/>
  <c r="Z236" i="2"/>
  <c r="Z236" i="2" a="1"/>
  <c r="Y236" i="2"/>
  <c r="Y236" i="2" a="1"/>
  <c r="X236" i="2"/>
  <c r="BC235" i="2"/>
  <c r="BB235" i="2"/>
  <c r="BA235" i="2"/>
  <c r="AZ235" i="2"/>
  <c r="AY235" i="2"/>
  <c r="AS235" i="2"/>
  <c r="AQ235" i="2"/>
  <c r="AP235" i="2"/>
  <c r="AO235" i="2"/>
  <c r="AN235" i="2"/>
  <c r="AI235" i="2"/>
  <c r="AF235" i="2"/>
  <c r="AC235" i="2"/>
  <c r="AC235" i="2" a="1"/>
  <c r="AA235" i="2"/>
  <c r="AA235" i="2" a="1"/>
  <c r="Z235" i="2"/>
  <c r="Z235" i="2" a="1"/>
  <c r="Y235" i="2"/>
  <c r="Y235" i="2" a="1"/>
  <c r="X235" i="2"/>
  <c r="BC234" i="2"/>
  <c r="BB234" i="2"/>
  <c r="BA234" i="2"/>
  <c r="AZ234" i="2"/>
  <c r="AY234" i="2"/>
  <c r="AS234" i="2"/>
  <c r="AQ234" i="2"/>
  <c r="AP234" i="2"/>
  <c r="AO234" i="2"/>
  <c r="AN234" i="2"/>
  <c r="AI234" i="2"/>
  <c r="AF234" i="2"/>
  <c r="AC234" i="2"/>
  <c r="AC234" i="2" a="1"/>
  <c r="AA234" i="2"/>
  <c r="AA234" i="2" a="1"/>
  <c r="Z234" i="2"/>
  <c r="Z234" i="2" a="1"/>
  <c r="Y234" i="2"/>
  <c r="Y234" i="2" a="1"/>
  <c r="X234" i="2"/>
  <c r="BC233" i="2"/>
  <c r="BB233" i="2"/>
  <c r="BA233" i="2"/>
  <c r="AZ233" i="2"/>
  <c r="AY233" i="2"/>
  <c r="AS233" i="2"/>
  <c r="AQ233" i="2"/>
  <c r="AP233" i="2"/>
  <c r="AO233" i="2"/>
  <c r="AN233" i="2"/>
  <c r="AI233" i="2"/>
  <c r="AF233" i="2"/>
  <c r="AC233" i="2"/>
  <c r="AC233" i="2" a="1"/>
  <c r="AA233" i="2"/>
  <c r="AA233" i="2" a="1"/>
  <c r="Z233" i="2"/>
  <c r="Z233" i="2" a="1"/>
  <c r="Y233" i="2"/>
  <c r="Y233" i="2" a="1"/>
  <c r="X233" i="2"/>
  <c r="BC232" i="2"/>
  <c r="BB232" i="2"/>
  <c r="BA232" i="2"/>
  <c r="AZ232" i="2"/>
  <c r="AY232" i="2"/>
  <c r="AS232" i="2"/>
  <c r="AQ232" i="2"/>
  <c r="AP232" i="2"/>
  <c r="AO232" i="2"/>
  <c r="AN232" i="2"/>
  <c r="AI232" i="2"/>
  <c r="AF232" i="2"/>
  <c r="AC232" i="2"/>
  <c r="AC232" i="2" a="1"/>
  <c r="AA232" i="2"/>
  <c r="AA232" i="2" a="1"/>
  <c r="Z232" i="2"/>
  <c r="Z232" i="2" a="1"/>
  <c r="Y232" i="2"/>
  <c r="Y232" i="2" a="1"/>
  <c r="X232" i="2"/>
  <c r="BC231" i="2"/>
  <c r="BB231" i="2"/>
  <c r="BA231" i="2"/>
  <c r="AZ231" i="2"/>
  <c r="AY231" i="2"/>
  <c r="AS231" i="2"/>
  <c r="AQ231" i="2"/>
  <c r="AP231" i="2"/>
  <c r="AO231" i="2"/>
  <c r="AN231" i="2"/>
  <c r="AI231" i="2"/>
  <c r="AF231" i="2"/>
  <c r="AC231" i="2"/>
  <c r="AC231" i="2" a="1"/>
  <c r="AA231" i="2"/>
  <c r="AA231" i="2" a="1"/>
  <c r="Z231" i="2"/>
  <c r="Z231" i="2" a="1"/>
  <c r="Y231" i="2"/>
  <c r="Y231" i="2" a="1"/>
  <c r="X231" i="2"/>
  <c r="BC230" i="2"/>
  <c r="BB230" i="2"/>
  <c r="BA230" i="2"/>
  <c r="AZ230" i="2"/>
  <c r="AY230" i="2"/>
  <c r="AS230" i="2"/>
  <c r="AQ230" i="2"/>
  <c r="AP230" i="2"/>
  <c r="AO230" i="2"/>
  <c r="AN230" i="2"/>
  <c r="AI230" i="2"/>
  <c r="AF230" i="2"/>
  <c r="AC230" i="2"/>
  <c r="AC230" i="2" a="1"/>
  <c r="AA230" i="2"/>
  <c r="AA230" i="2" a="1"/>
  <c r="Z230" i="2"/>
  <c r="Z230" i="2" a="1"/>
  <c r="Y230" i="2"/>
  <c r="Y230" i="2" a="1"/>
  <c r="X230" i="2"/>
  <c r="BC229" i="2"/>
  <c r="BB229" i="2"/>
  <c r="BA229" i="2"/>
  <c r="AZ229" i="2"/>
  <c r="AY229" i="2"/>
  <c r="AS229" i="2"/>
  <c r="AQ229" i="2"/>
  <c r="AP229" i="2"/>
  <c r="AO229" i="2"/>
  <c r="AN229" i="2"/>
  <c r="AI229" i="2"/>
  <c r="AF229" i="2"/>
  <c r="AC229" i="2"/>
  <c r="AC229" i="2" a="1"/>
  <c r="AA229" i="2"/>
  <c r="AA229" i="2" a="1"/>
  <c r="Z229" i="2"/>
  <c r="Z229" i="2" a="1"/>
  <c r="Y229" i="2"/>
  <c r="Y229" i="2" a="1"/>
  <c r="X229" i="2"/>
  <c r="BC228" i="2"/>
  <c r="BB228" i="2"/>
  <c r="BA228" i="2"/>
  <c r="AZ228" i="2"/>
  <c r="AY228" i="2"/>
  <c r="AS228" i="2"/>
  <c r="AQ228" i="2"/>
  <c r="AP228" i="2"/>
  <c r="AO228" i="2"/>
  <c r="AN228" i="2"/>
  <c r="AI228" i="2"/>
  <c r="AF228" i="2"/>
  <c r="AC228" i="2"/>
  <c r="AC228" i="2" a="1"/>
  <c r="AA228" i="2"/>
  <c r="AA228" i="2" a="1"/>
  <c r="Z228" i="2"/>
  <c r="Z228" i="2" a="1"/>
  <c r="Y228" i="2"/>
  <c r="Y228" i="2" a="1"/>
  <c r="X228" i="2"/>
  <c r="BC227" i="2"/>
  <c r="BB227" i="2"/>
  <c r="BA227" i="2"/>
  <c r="AZ227" i="2"/>
  <c r="AY227" i="2"/>
  <c r="AS227" i="2"/>
  <c r="AQ227" i="2"/>
  <c r="AP227" i="2"/>
  <c r="AO227" i="2"/>
  <c r="AN227" i="2"/>
  <c r="AI227" i="2"/>
  <c r="AF227" i="2"/>
  <c r="AC227" i="2"/>
  <c r="AC227" i="2" a="1"/>
  <c r="AA227" i="2"/>
  <c r="AA227" i="2" a="1"/>
  <c r="Z227" i="2"/>
  <c r="Z227" i="2" a="1"/>
  <c r="Y227" i="2"/>
  <c r="Y227" i="2" a="1"/>
  <c r="X227" i="2"/>
  <c r="BC226" i="2"/>
  <c r="BB226" i="2"/>
  <c r="BA226" i="2"/>
  <c r="AZ226" i="2"/>
  <c r="AY226" i="2"/>
  <c r="AS226" i="2"/>
  <c r="AQ226" i="2"/>
  <c r="AP226" i="2"/>
  <c r="AO226" i="2"/>
  <c r="AN226" i="2"/>
  <c r="AI226" i="2"/>
  <c r="AF226" i="2"/>
  <c r="AC226" i="2"/>
  <c r="AC226" i="2" a="1"/>
  <c r="AA226" i="2"/>
  <c r="AA226" i="2" a="1"/>
  <c r="Z226" i="2"/>
  <c r="Z226" i="2" a="1"/>
  <c r="Y226" i="2"/>
  <c r="Y226" i="2" a="1"/>
  <c r="X226" i="2"/>
  <c r="BC225" i="2"/>
  <c r="BB225" i="2"/>
  <c r="BA225" i="2"/>
  <c r="AZ225" i="2"/>
  <c r="AY225" i="2"/>
  <c r="AS225" i="2"/>
  <c r="AQ225" i="2"/>
  <c r="AP225" i="2"/>
  <c r="AO225" i="2"/>
  <c r="AN225" i="2"/>
  <c r="AI225" i="2"/>
  <c r="AF225" i="2"/>
  <c r="AC225" i="2"/>
  <c r="AC225" i="2" a="1"/>
  <c r="AA225" i="2"/>
  <c r="AA225" i="2" a="1"/>
  <c r="Z225" i="2"/>
  <c r="Z225" i="2" a="1"/>
  <c r="Y225" i="2"/>
  <c r="Y225" i="2" a="1"/>
  <c r="X225" i="2"/>
  <c r="BC224" i="2"/>
  <c r="BB224" i="2"/>
  <c r="BA224" i="2"/>
  <c r="AZ224" i="2"/>
  <c r="AY224" i="2"/>
  <c r="AS224" i="2"/>
  <c r="AQ224" i="2"/>
  <c r="AP224" i="2"/>
  <c r="AO224" i="2"/>
  <c r="AN224" i="2"/>
  <c r="AI224" i="2"/>
  <c r="AF224" i="2"/>
  <c r="AC224" i="2"/>
  <c r="AC224" i="2" a="1"/>
  <c r="AA224" i="2"/>
  <c r="AA224" i="2" a="1"/>
  <c r="Z224" i="2"/>
  <c r="Z224" i="2" a="1"/>
  <c r="Y224" i="2"/>
  <c r="Y224" i="2" a="1"/>
  <c r="X224" i="2"/>
  <c r="BC223" i="2"/>
  <c r="BB223" i="2"/>
  <c r="BA223" i="2"/>
  <c r="AZ223" i="2"/>
  <c r="AY223" i="2"/>
  <c r="AS223" i="2"/>
  <c r="AQ223" i="2"/>
  <c r="AP223" i="2"/>
  <c r="AO223" i="2"/>
  <c r="AN223" i="2"/>
  <c r="AI223" i="2"/>
  <c r="AF223" i="2"/>
  <c r="AC223" i="2"/>
  <c r="AC223" i="2" a="1"/>
  <c r="AA223" i="2"/>
  <c r="AA223" i="2" a="1"/>
  <c r="Z223" i="2"/>
  <c r="Z223" i="2" a="1"/>
  <c r="Y223" i="2"/>
  <c r="Y223" i="2" a="1"/>
  <c r="X223" i="2"/>
  <c r="BC222" i="2"/>
  <c r="BB222" i="2"/>
  <c r="BA222" i="2"/>
  <c r="AZ222" i="2"/>
  <c r="AY222" i="2"/>
  <c r="AS222" i="2"/>
  <c r="AQ222" i="2"/>
  <c r="AP222" i="2"/>
  <c r="AO222" i="2"/>
  <c r="AN222" i="2"/>
  <c r="AI222" i="2"/>
  <c r="AF222" i="2"/>
  <c r="AC222" i="2"/>
  <c r="AC222" i="2" a="1"/>
  <c r="AA222" i="2"/>
  <c r="AA222" i="2" a="1"/>
  <c r="Z222" i="2"/>
  <c r="Z222" i="2" a="1"/>
  <c r="Y222" i="2"/>
  <c r="Y222" i="2" a="1"/>
  <c r="X222" i="2"/>
  <c r="BC221" i="2"/>
  <c r="BB221" i="2"/>
  <c r="BA221" i="2"/>
  <c r="AZ221" i="2"/>
  <c r="AY221" i="2"/>
  <c r="AS221" i="2"/>
  <c r="AQ221" i="2"/>
  <c r="AP221" i="2"/>
  <c r="AO221" i="2"/>
  <c r="AN221" i="2"/>
  <c r="AI221" i="2"/>
  <c r="AF221" i="2"/>
  <c r="AC221" i="2"/>
  <c r="AC221" i="2" a="1"/>
  <c r="AA221" i="2"/>
  <c r="AA221" i="2" a="1"/>
  <c r="Z221" i="2"/>
  <c r="Z221" i="2" a="1"/>
  <c r="Y221" i="2"/>
  <c r="Y221" i="2" a="1"/>
  <c r="X221" i="2"/>
  <c r="BC220" i="2"/>
  <c r="BB220" i="2"/>
  <c r="BA220" i="2"/>
  <c r="AZ220" i="2"/>
  <c r="AY220" i="2"/>
  <c r="AS220" i="2"/>
  <c r="AQ220" i="2"/>
  <c r="AP220" i="2"/>
  <c r="AO220" i="2"/>
  <c r="AN220" i="2"/>
  <c r="AI220" i="2"/>
  <c r="AF220" i="2"/>
  <c r="AC220" i="2"/>
  <c r="AC220" i="2" a="1"/>
  <c r="AA220" i="2"/>
  <c r="AA220" i="2" a="1"/>
  <c r="Z220" i="2"/>
  <c r="Z220" i="2" a="1"/>
  <c r="Y220" i="2"/>
  <c r="Y220" i="2" a="1"/>
  <c r="X220" i="2"/>
  <c r="BC219" i="2"/>
  <c r="BB219" i="2"/>
  <c r="BA219" i="2"/>
  <c r="AZ219" i="2"/>
  <c r="AY219" i="2"/>
  <c r="AS219" i="2"/>
  <c r="AQ219" i="2"/>
  <c r="AP219" i="2"/>
  <c r="AO219" i="2"/>
  <c r="AN219" i="2"/>
  <c r="AI219" i="2"/>
  <c r="AF219" i="2"/>
  <c r="AC219" i="2"/>
  <c r="AC219" i="2" a="1"/>
  <c r="AA219" i="2"/>
  <c r="AA219" i="2" a="1"/>
  <c r="Z219" i="2"/>
  <c r="Z219" i="2" a="1"/>
  <c r="Y219" i="2"/>
  <c r="Y219" i="2" a="1"/>
  <c r="X219" i="2"/>
  <c r="BC218" i="2"/>
  <c r="BB218" i="2"/>
  <c r="BA218" i="2"/>
  <c r="AZ218" i="2"/>
  <c r="AY218" i="2"/>
  <c r="AS218" i="2"/>
  <c r="AQ218" i="2"/>
  <c r="AP218" i="2"/>
  <c r="AO218" i="2"/>
  <c r="AN218" i="2"/>
  <c r="AI218" i="2"/>
  <c r="AF218" i="2"/>
  <c r="AC218" i="2"/>
  <c r="AC218" i="2" a="1"/>
  <c r="AA218" i="2"/>
  <c r="AA218" i="2" a="1"/>
  <c r="Z218" i="2"/>
  <c r="Z218" i="2" a="1"/>
  <c r="Y218" i="2"/>
  <c r="Y218" i="2" a="1"/>
  <c r="X218" i="2"/>
  <c r="BC217" i="2"/>
  <c r="BB217" i="2"/>
  <c r="BA217" i="2"/>
  <c r="AZ217" i="2"/>
  <c r="AY217" i="2"/>
  <c r="AS217" i="2"/>
  <c r="AQ217" i="2"/>
  <c r="AP217" i="2"/>
  <c r="AO217" i="2"/>
  <c r="AN217" i="2"/>
  <c r="AI217" i="2"/>
  <c r="AF217" i="2"/>
  <c r="AC217" i="2"/>
  <c r="AC217" i="2" a="1"/>
  <c r="AA217" i="2"/>
  <c r="AA217" i="2" a="1"/>
  <c r="Z217" i="2"/>
  <c r="Z217" i="2" a="1"/>
  <c r="Y217" i="2"/>
  <c r="Y217" i="2" a="1"/>
  <c r="X217" i="2"/>
  <c r="BJ216" i="2"/>
  <c r="BJ216" i="2" a="1"/>
  <c r="BC216" i="2"/>
  <c r="BB216" i="2"/>
  <c r="BA216" i="2"/>
  <c r="AZ216" i="2"/>
  <c r="AY216" i="2"/>
  <c r="AS216" i="2"/>
  <c r="AQ216" i="2"/>
  <c r="AP216" i="2"/>
  <c r="AO216" i="2"/>
  <c r="AN216" i="2"/>
  <c r="AI216" i="2"/>
  <c r="AF216" i="2"/>
  <c r="AC216" i="2"/>
  <c r="AC216" i="2" a="1"/>
  <c r="AA216" i="2"/>
  <c r="AA216" i="2" a="1"/>
  <c r="Z216" i="2"/>
  <c r="Z216" i="2" a="1"/>
  <c r="Y216" i="2"/>
  <c r="Y216" i="2" a="1"/>
  <c r="X216" i="2"/>
  <c r="BC215" i="2"/>
  <c r="BB215" i="2"/>
  <c r="BA215" i="2"/>
  <c r="AZ215" i="2"/>
  <c r="AY215" i="2"/>
  <c r="AS215" i="2"/>
  <c r="AQ215" i="2"/>
  <c r="AP215" i="2"/>
  <c r="AO215" i="2"/>
  <c r="AN215" i="2"/>
  <c r="AI215" i="2"/>
  <c r="AF215" i="2"/>
  <c r="AC215" i="2"/>
  <c r="AC215" i="2" a="1"/>
  <c r="AA215" i="2"/>
  <c r="AA215" i="2" a="1"/>
  <c r="Z215" i="2"/>
  <c r="Z215" i="2" a="1"/>
  <c r="Y215" i="2"/>
  <c r="Y215" i="2" a="1"/>
  <c r="X215" i="2"/>
  <c r="BJ214" i="2"/>
  <c r="BJ214" i="2" a="1"/>
  <c r="BC214" i="2"/>
  <c r="BB214" i="2"/>
  <c r="BA214" i="2"/>
  <c r="AZ214" i="2"/>
  <c r="AY214" i="2"/>
  <c r="AS214" i="2"/>
  <c r="AQ214" i="2"/>
  <c r="AP214" i="2"/>
  <c r="AO214" i="2"/>
  <c r="AN214" i="2"/>
  <c r="AI214" i="2"/>
  <c r="AF214" i="2"/>
  <c r="AC214" i="2"/>
  <c r="AC214" i="2" a="1"/>
  <c r="AA214" i="2"/>
  <c r="AA214" i="2" a="1"/>
  <c r="Z214" i="2"/>
  <c r="Z214" i="2" a="1"/>
  <c r="Y214" i="2"/>
  <c r="Y214" i="2" a="1"/>
  <c r="X214" i="2"/>
  <c r="BJ213" i="2"/>
  <c r="BJ213" i="2" a="1"/>
  <c r="BC213" i="2"/>
  <c r="BB213" i="2"/>
  <c r="BA213" i="2"/>
  <c r="AZ213" i="2"/>
  <c r="AY213" i="2"/>
  <c r="AS213" i="2"/>
  <c r="AQ213" i="2"/>
  <c r="AP213" i="2"/>
  <c r="AO213" i="2"/>
  <c r="AN213" i="2"/>
  <c r="AI213" i="2"/>
  <c r="AF213" i="2"/>
  <c r="AC213" i="2"/>
  <c r="AC213" i="2" a="1"/>
  <c r="AA213" i="2"/>
  <c r="AA213" i="2" a="1"/>
  <c r="Z213" i="2"/>
  <c r="Z213" i="2" a="1"/>
  <c r="Y213" i="2"/>
  <c r="Y213" i="2" a="1"/>
  <c r="X213" i="2"/>
  <c r="BC212" i="2"/>
  <c r="BB212" i="2"/>
  <c r="BA212" i="2"/>
  <c r="AZ212" i="2"/>
  <c r="AY212" i="2"/>
  <c r="AS212" i="2"/>
  <c r="AQ212" i="2"/>
  <c r="AP212" i="2"/>
  <c r="AO212" i="2"/>
  <c r="AN212" i="2"/>
  <c r="AI212" i="2"/>
  <c r="AF212" i="2"/>
  <c r="AC212" i="2"/>
  <c r="AC212" i="2" a="1"/>
  <c r="AA212" i="2"/>
  <c r="AA212" i="2" a="1"/>
  <c r="Z212" i="2"/>
  <c r="Z212" i="2" a="1"/>
  <c r="Y212" i="2"/>
  <c r="Y212" i="2" a="1"/>
  <c r="X212" i="2"/>
  <c r="BC211" i="2"/>
  <c r="BB211" i="2"/>
  <c r="BA211" i="2"/>
  <c r="AZ211" i="2"/>
  <c r="AY211" i="2"/>
  <c r="AS211" i="2"/>
  <c r="AQ211" i="2"/>
  <c r="AP211" i="2"/>
  <c r="AO211" i="2"/>
  <c r="AN211" i="2"/>
  <c r="AI211" i="2"/>
  <c r="AF211" i="2"/>
  <c r="AC211" i="2"/>
  <c r="AC211" i="2" a="1"/>
  <c r="AA211" i="2"/>
  <c r="AA211" i="2" a="1"/>
  <c r="Z211" i="2"/>
  <c r="Z211" i="2" a="1"/>
  <c r="Y211" i="2"/>
  <c r="Y211" i="2" a="1"/>
  <c r="X211" i="2"/>
  <c r="BJ210" i="2"/>
  <c r="BJ210" i="2" a="1"/>
  <c r="BC210" i="2"/>
  <c r="BB210" i="2"/>
  <c r="BA210" i="2"/>
  <c r="AZ210" i="2"/>
  <c r="AY210" i="2"/>
  <c r="AS210" i="2"/>
  <c r="AQ210" i="2"/>
  <c r="AP210" i="2"/>
  <c r="AO210" i="2"/>
  <c r="AN210" i="2"/>
  <c r="AI210" i="2"/>
  <c r="AF210" i="2"/>
  <c r="AC210" i="2"/>
  <c r="AC210" i="2" a="1"/>
  <c r="AA210" i="2"/>
  <c r="AA210" i="2" a="1"/>
  <c r="Z210" i="2"/>
  <c r="Z210" i="2" a="1"/>
  <c r="Y210" i="2"/>
  <c r="Y210" i="2" a="1"/>
  <c r="X210" i="2"/>
  <c r="BC209" i="2"/>
  <c r="BB209" i="2"/>
  <c r="BA209" i="2"/>
  <c r="AZ209" i="2"/>
  <c r="AY209" i="2"/>
  <c r="AS209" i="2"/>
  <c r="AQ209" i="2"/>
  <c r="AP209" i="2"/>
  <c r="AO209" i="2"/>
  <c r="AN209" i="2"/>
  <c r="AI209" i="2"/>
  <c r="AF209" i="2"/>
  <c r="AC209" i="2"/>
  <c r="AC209" i="2" a="1"/>
  <c r="AA209" i="2"/>
  <c r="AA209" i="2" a="1"/>
  <c r="Z209" i="2"/>
  <c r="Z209" i="2" a="1"/>
  <c r="Y209" i="2"/>
  <c r="Y209" i="2" a="1"/>
  <c r="X209" i="2"/>
  <c r="BC208" i="2"/>
  <c r="BB208" i="2"/>
  <c r="BA208" i="2"/>
  <c r="AZ208" i="2"/>
  <c r="AY208" i="2"/>
  <c r="AS208" i="2"/>
  <c r="AQ208" i="2"/>
  <c r="AP208" i="2"/>
  <c r="AO208" i="2"/>
  <c r="AN208" i="2"/>
  <c r="AI208" i="2"/>
  <c r="AF208" i="2"/>
  <c r="AC208" i="2"/>
  <c r="AC208" i="2" a="1"/>
  <c r="AA208" i="2"/>
  <c r="AA208" i="2" a="1"/>
  <c r="Z208" i="2"/>
  <c r="Z208" i="2" a="1"/>
  <c r="Y208" i="2"/>
  <c r="Y208" i="2" a="1"/>
  <c r="X208" i="2"/>
  <c r="BC207" i="2"/>
  <c r="BB207" i="2"/>
  <c r="BA207" i="2"/>
  <c r="AZ207" i="2"/>
  <c r="AY207" i="2"/>
  <c r="AS207" i="2"/>
  <c r="AQ207" i="2"/>
  <c r="AP207" i="2"/>
  <c r="AO207" i="2"/>
  <c r="AN207" i="2"/>
  <c r="AI207" i="2"/>
  <c r="AF207" i="2"/>
  <c r="AC207" i="2"/>
  <c r="AC207" i="2" a="1"/>
  <c r="AA207" i="2"/>
  <c r="AA207" i="2" a="1"/>
  <c r="Z207" i="2"/>
  <c r="Z207" i="2" a="1"/>
  <c r="Y207" i="2"/>
  <c r="Y207" i="2" a="1"/>
  <c r="X207" i="2"/>
  <c r="BC206" i="2"/>
  <c r="BB206" i="2"/>
  <c r="BA206" i="2"/>
  <c r="AZ206" i="2"/>
  <c r="AY206" i="2"/>
  <c r="AS206" i="2"/>
  <c r="AQ206" i="2"/>
  <c r="AP206" i="2"/>
  <c r="AO206" i="2"/>
  <c r="AN206" i="2"/>
  <c r="AI206" i="2"/>
  <c r="AF206" i="2"/>
  <c r="AC206" i="2"/>
  <c r="AC206" i="2" a="1"/>
  <c r="AA206" i="2"/>
  <c r="AA206" i="2" a="1"/>
  <c r="Z206" i="2"/>
  <c r="Z206" i="2" a="1"/>
  <c r="Y206" i="2"/>
  <c r="Y206" i="2" a="1"/>
  <c r="X206" i="2"/>
  <c r="BC205" i="2"/>
  <c r="BB205" i="2"/>
  <c r="BA205" i="2"/>
  <c r="AZ205" i="2"/>
  <c r="AY205" i="2"/>
  <c r="AS205" i="2"/>
  <c r="AQ205" i="2"/>
  <c r="AP205" i="2"/>
  <c r="AO205" i="2"/>
  <c r="AN205" i="2"/>
  <c r="AI205" i="2"/>
  <c r="AF205" i="2"/>
  <c r="AC205" i="2"/>
  <c r="AC205" i="2" a="1"/>
  <c r="AA205" i="2"/>
  <c r="AA205" i="2" a="1"/>
  <c r="Z205" i="2"/>
  <c r="Z205" i="2" a="1"/>
  <c r="Y205" i="2"/>
  <c r="Y205" i="2" a="1"/>
  <c r="X205" i="2"/>
  <c r="BJ204" i="2"/>
  <c r="BJ204" i="2" a="1"/>
  <c r="BC204" i="2"/>
  <c r="BB204" i="2"/>
  <c r="BA204" i="2"/>
  <c r="AZ204" i="2"/>
  <c r="AY204" i="2"/>
  <c r="AS204" i="2"/>
  <c r="AQ204" i="2"/>
  <c r="AP204" i="2"/>
  <c r="AO204" i="2"/>
  <c r="AN204" i="2"/>
  <c r="AI204" i="2"/>
  <c r="AF204" i="2"/>
  <c r="BJ203" i="2"/>
  <c r="BJ203" i="2" a="1"/>
  <c r="BC203" i="2"/>
  <c r="BB203" i="2"/>
  <c r="BA203" i="2"/>
  <c r="AZ203" i="2"/>
  <c r="AY203" i="2"/>
  <c r="AS203" i="2"/>
  <c r="AQ203" i="2"/>
  <c r="AP203" i="2"/>
  <c r="AO203" i="2"/>
  <c r="AN203" i="2"/>
  <c r="AI203" i="2"/>
  <c r="AF203" i="2"/>
  <c r="BJ202" i="2"/>
  <c r="BJ202" i="2" a="1"/>
  <c r="BC202" i="2"/>
  <c r="BB202" i="2"/>
  <c r="BA202" i="2"/>
  <c r="AZ202" i="2"/>
  <c r="AY202" i="2"/>
  <c r="AS202" i="2"/>
  <c r="AQ202" i="2"/>
  <c r="AP202" i="2"/>
  <c r="AO202" i="2"/>
  <c r="AN202" i="2"/>
  <c r="AI202" i="2"/>
  <c r="AF202" i="2"/>
  <c r="BB201" i="2"/>
  <c r="BA201" i="2"/>
  <c r="AZ201" i="2"/>
  <c r="AY201" i="2"/>
  <c r="AS201" i="2"/>
  <c r="AQ201" i="2"/>
  <c r="AP201" i="2"/>
  <c r="AO201" i="2"/>
  <c r="AN201" i="2"/>
  <c r="AI201" i="2"/>
  <c r="AF201" i="2"/>
  <c r="BJ200" i="2"/>
  <c r="BJ200" i="2" a="1"/>
  <c r="BC200" i="2"/>
  <c r="BB200" i="2"/>
  <c r="BA200" i="2"/>
  <c r="AZ200" i="2"/>
  <c r="AY200" i="2"/>
  <c r="AS200" i="2"/>
  <c r="AQ200" i="2"/>
  <c r="AP200" i="2"/>
  <c r="AO200" i="2"/>
  <c r="AN200" i="2"/>
  <c r="AI200" i="2"/>
  <c r="AF200" i="2"/>
  <c r="BC199" i="2"/>
  <c r="BB199" i="2"/>
  <c r="BA199" i="2"/>
  <c r="AZ199" i="2"/>
  <c r="AY199" i="2"/>
  <c r="AS199" i="2"/>
  <c r="AQ199" i="2"/>
  <c r="AP199" i="2"/>
  <c r="AO199" i="2"/>
  <c r="AN199" i="2"/>
  <c r="AI199" i="2"/>
  <c r="AF199" i="2"/>
  <c r="BC198" i="2"/>
  <c r="BB198" i="2"/>
  <c r="BA198" i="2"/>
  <c r="AZ198" i="2"/>
  <c r="AY198" i="2"/>
  <c r="AS198" i="2"/>
  <c r="AQ198" i="2"/>
  <c r="AP198" i="2"/>
  <c r="AO198" i="2"/>
  <c r="AN198" i="2"/>
  <c r="AI198" i="2"/>
  <c r="AF198" i="2"/>
  <c r="BC197" i="2"/>
  <c r="BB197" i="2"/>
  <c r="BA197" i="2"/>
  <c r="AZ197" i="2"/>
  <c r="AY197" i="2"/>
  <c r="AS197" i="2"/>
  <c r="AQ197" i="2"/>
  <c r="AP197" i="2"/>
  <c r="AO197" i="2"/>
  <c r="AN197" i="2"/>
  <c r="AI197" i="2"/>
  <c r="AF197" i="2"/>
  <c r="BJ196" i="2"/>
  <c r="BJ196" i="2" a="1"/>
  <c r="BC196" i="2"/>
  <c r="BB196" i="2"/>
  <c r="BA196" i="2"/>
  <c r="AZ196" i="2"/>
  <c r="AY196" i="2"/>
  <c r="AS196" i="2"/>
  <c r="AQ196" i="2"/>
  <c r="AP196" i="2"/>
  <c r="AO196" i="2"/>
  <c r="AN196" i="2"/>
  <c r="AI196" i="2"/>
  <c r="AF196" i="2"/>
  <c r="BC195" i="2"/>
  <c r="BB195" i="2"/>
  <c r="BA195" i="2"/>
  <c r="AZ195" i="2"/>
  <c r="AY195" i="2"/>
  <c r="AS195" i="2"/>
  <c r="AQ195" i="2"/>
  <c r="AP195" i="2"/>
  <c r="AO195" i="2"/>
  <c r="AN195" i="2"/>
  <c r="AI195" i="2"/>
  <c r="AF195" i="2"/>
  <c r="BC194" i="2"/>
  <c r="BB194" i="2"/>
  <c r="BA194" i="2"/>
  <c r="AZ194" i="2"/>
  <c r="AY194" i="2"/>
  <c r="AS194" i="2"/>
  <c r="AQ194" i="2"/>
  <c r="AP194" i="2"/>
  <c r="AO194" i="2"/>
  <c r="AN194" i="2"/>
  <c r="AI194" i="2"/>
  <c r="AF194" i="2"/>
  <c r="BC193" i="2"/>
  <c r="BB193" i="2"/>
  <c r="BA193" i="2"/>
  <c r="AZ193" i="2"/>
  <c r="AY193" i="2"/>
  <c r="AS193" i="2"/>
  <c r="AQ193" i="2"/>
  <c r="AP193" i="2"/>
  <c r="AO193" i="2"/>
  <c r="AN193" i="2"/>
  <c r="AI193" i="2"/>
  <c r="AF193" i="2"/>
  <c r="BC192" i="2"/>
  <c r="BB192" i="2"/>
  <c r="BA192" i="2"/>
  <c r="AZ192" i="2"/>
  <c r="AY192" i="2"/>
  <c r="AS192" i="2"/>
  <c r="AQ192" i="2"/>
  <c r="AP192" i="2"/>
  <c r="AO192" i="2"/>
  <c r="AN192" i="2"/>
  <c r="AI192" i="2"/>
  <c r="AF192" i="2"/>
  <c r="V192" i="2"/>
  <c r="V192" i="2" a="1"/>
  <c r="BC191" i="2"/>
  <c r="BB191" i="2"/>
  <c r="BA191" i="2"/>
  <c r="AZ191" i="2"/>
  <c r="AY191" i="2"/>
  <c r="AS191" i="2"/>
  <c r="AQ191" i="2"/>
  <c r="AP191" i="2"/>
  <c r="AO191" i="2"/>
  <c r="AN191" i="2"/>
  <c r="AI191" i="2"/>
  <c r="AF191" i="2"/>
  <c r="BC190" i="2"/>
  <c r="BB190" i="2"/>
  <c r="BA190" i="2"/>
  <c r="AZ190" i="2"/>
  <c r="AY190" i="2"/>
  <c r="AS190" i="2"/>
  <c r="AQ190" i="2"/>
  <c r="AP190" i="2"/>
  <c r="AO190" i="2"/>
  <c r="AN190" i="2"/>
  <c r="AI190" i="2"/>
  <c r="AF190" i="2"/>
  <c r="BC189" i="2"/>
  <c r="BB189" i="2"/>
  <c r="BA189" i="2"/>
  <c r="AZ189" i="2"/>
  <c r="AY189" i="2"/>
  <c r="AS189" i="2"/>
  <c r="AQ189" i="2"/>
  <c r="AP189" i="2"/>
  <c r="AO189" i="2"/>
  <c r="AN189" i="2"/>
  <c r="AI189" i="2"/>
  <c r="AF189" i="2"/>
  <c r="BC188" i="2"/>
  <c r="BB188" i="2"/>
  <c r="BA188" i="2"/>
  <c r="AZ188" i="2"/>
  <c r="AY188" i="2"/>
  <c r="AS188" i="2"/>
  <c r="AQ188" i="2"/>
  <c r="AP188" i="2"/>
  <c r="AO188" i="2"/>
  <c r="AN188" i="2"/>
  <c r="AI188" i="2"/>
  <c r="AF188" i="2"/>
  <c r="BC187" i="2"/>
  <c r="BB187" i="2"/>
  <c r="BA187" i="2"/>
  <c r="AZ187" i="2"/>
  <c r="AY187" i="2"/>
  <c r="AS187" i="2"/>
  <c r="AQ187" i="2"/>
  <c r="AP187" i="2"/>
  <c r="AO187" i="2"/>
  <c r="AN187" i="2"/>
  <c r="AI187" i="2"/>
  <c r="AF187" i="2"/>
  <c r="BC186" i="2"/>
  <c r="BB186" i="2"/>
  <c r="BA186" i="2"/>
  <c r="AZ186" i="2"/>
  <c r="AY186" i="2"/>
  <c r="AS186" i="2"/>
  <c r="AQ186" i="2"/>
  <c r="AP186" i="2"/>
  <c r="AO186" i="2"/>
  <c r="AN186" i="2"/>
  <c r="AI186" i="2"/>
  <c r="AF186" i="2"/>
  <c r="BC185" i="2"/>
  <c r="BB185" i="2"/>
  <c r="BA185" i="2"/>
  <c r="AZ185" i="2"/>
  <c r="AY185" i="2"/>
  <c r="AS185" i="2"/>
  <c r="AQ185" i="2"/>
  <c r="AP185" i="2"/>
  <c r="AO185" i="2"/>
  <c r="AN185" i="2"/>
  <c r="AI185" i="2"/>
  <c r="AF185" i="2"/>
  <c r="BC184" i="2"/>
  <c r="BB184" i="2"/>
  <c r="BA184" i="2"/>
  <c r="AZ184" i="2"/>
  <c r="AY184" i="2"/>
  <c r="AS184" i="2"/>
  <c r="AQ184" i="2"/>
  <c r="AP184" i="2"/>
  <c r="AO184" i="2"/>
  <c r="AN184" i="2"/>
  <c r="AI184" i="2"/>
  <c r="AF184" i="2"/>
  <c r="BC183" i="2"/>
  <c r="BB183" i="2"/>
  <c r="BA183" i="2"/>
  <c r="AZ183" i="2"/>
  <c r="AY183" i="2"/>
  <c r="AS183" i="2"/>
  <c r="AQ183" i="2"/>
  <c r="AP183" i="2"/>
  <c r="AO183" i="2"/>
  <c r="AN183" i="2"/>
  <c r="AI183" i="2"/>
  <c r="AF183" i="2"/>
  <c r="BC182" i="2"/>
  <c r="BB182" i="2"/>
  <c r="BA182" i="2"/>
  <c r="AZ182" i="2"/>
  <c r="AY182" i="2"/>
  <c r="AS182" i="2"/>
  <c r="AQ182" i="2"/>
  <c r="AP182" i="2"/>
  <c r="AO182" i="2"/>
  <c r="AN182" i="2"/>
  <c r="AI182" i="2"/>
  <c r="AF182" i="2"/>
  <c r="BC181" i="2"/>
  <c r="BB181" i="2"/>
  <c r="BA181" i="2"/>
  <c r="AZ181" i="2"/>
  <c r="AY181" i="2"/>
  <c r="AS181" i="2"/>
  <c r="AQ181" i="2"/>
  <c r="AP181" i="2"/>
  <c r="AO181" i="2"/>
  <c r="AN181" i="2"/>
  <c r="AI181" i="2"/>
  <c r="AF181" i="2"/>
  <c r="BC180" i="2"/>
  <c r="BB180" i="2"/>
  <c r="BA180" i="2"/>
  <c r="AZ180" i="2"/>
  <c r="AY180" i="2"/>
  <c r="AS180" i="2"/>
  <c r="AQ180" i="2"/>
  <c r="AP180" i="2"/>
  <c r="AO180" i="2"/>
  <c r="AN180" i="2"/>
  <c r="AI180" i="2"/>
  <c r="AF180" i="2"/>
  <c r="BC179" i="2"/>
  <c r="BB179" i="2"/>
  <c r="BA179" i="2"/>
  <c r="AZ179" i="2"/>
  <c r="AY179" i="2"/>
  <c r="AS179" i="2"/>
  <c r="AQ179" i="2"/>
  <c r="AP179" i="2"/>
  <c r="AO179" i="2"/>
  <c r="AN179" i="2"/>
  <c r="AI179" i="2"/>
  <c r="AF179" i="2"/>
  <c r="BC178" i="2"/>
  <c r="BB178" i="2"/>
  <c r="BA178" i="2"/>
  <c r="AZ178" i="2"/>
  <c r="AY178" i="2"/>
  <c r="AS178" i="2"/>
  <c r="AQ178" i="2"/>
  <c r="AP178" i="2"/>
  <c r="AO178" i="2"/>
  <c r="AN178" i="2"/>
  <c r="AI178" i="2"/>
  <c r="AF178" i="2"/>
  <c r="BC177" i="2"/>
  <c r="BB177" i="2"/>
  <c r="BA177" i="2"/>
  <c r="AZ177" i="2"/>
  <c r="AY177" i="2"/>
  <c r="AS177" i="2"/>
  <c r="AQ177" i="2"/>
  <c r="AP177" i="2"/>
  <c r="AO177" i="2"/>
  <c r="AN177" i="2"/>
  <c r="AI177" i="2"/>
  <c r="AF177" i="2"/>
  <c r="BC176" i="2"/>
  <c r="BB176" i="2"/>
  <c r="BA176" i="2"/>
  <c r="AZ176" i="2"/>
  <c r="AY176" i="2"/>
  <c r="AS176" i="2"/>
  <c r="AQ176" i="2"/>
  <c r="AP176" i="2"/>
  <c r="AO176" i="2"/>
  <c r="AN176" i="2"/>
  <c r="AI176" i="2"/>
  <c r="AF176" i="2"/>
  <c r="BC175" i="2"/>
  <c r="BB175" i="2"/>
  <c r="BA175" i="2"/>
  <c r="AZ175" i="2"/>
  <c r="AY175" i="2"/>
  <c r="AS175" i="2"/>
  <c r="AQ175" i="2"/>
  <c r="AP175" i="2"/>
  <c r="AO175" i="2"/>
  <c r="AN175" i="2"/>
  <c r="AI175" i="2"/>
  <c r="AF175" i="2"/>
  <c r="BC174" i="2"/>
  <c r="BB174" i="2"/>
  <c r="BA174" i="2"/>
  <c r="AZ174" i="2"/>
  <c r="AY174" i="2"/>
  <c r="AS174" i="2"/>
  <c r="AQ174" i="2"/>
  <c r="AP174" i="2"/>
  <c r="AO174" i="2"/>
  <c r="AN174" i="2"/>
  <c r="AI174" i="2"/>
  <c r="AF174" i="2"/>
  <c r="BC173" i="2"/>
  <c r="BB173" i="2"/>
  <c r="BA173" i="2"/>
  <c r="AZ173" i="2"/>
  <c r="AY173" i="2"/>
  <c r="AS173" i="2"/>
  <c r="AQ173" i="2"/>
  <c r="AP173" i="2"/>
  <c r="AO173" i="2"/>
  <c r="AN173" i="2"/>
  <c r="AI173" i="2"/>
  <c r="AF173" i="2"/>
  <c r="BC172" i="2"/>
  <c r="BB172" i="2"/>
  <c r="BA172" i="2"/>
  <c r="AZ172" i="2"/>
  <c r="AY172" i="2"/>
  <c r="AS172" i="2"/>
  <c r="AQ172" i="2"/>
  <c r="AP172" i="2"/>
  <c r="AO172" i="2"/>
  <c r="AN172" i="2"/>
  <c r="AI172" i="2"/>
  <c r="AF172" i="2"/>
  <c r="BC171" i="2"/>
  <c r="BB171" i="2"/>
  <c r="BA171" i="2"/>
  <c r="AZ171" i="2"/>
  <c r="AY171" i="2"/>
  <c r="AS171" i="2"/>
  <c r="AQ171" i="2"/>
  <c r="AP171" i="2"/>
  <c r="AO171" i="2"/>
  <c r="AN171" i="2"/>
  <c r="AI171" i="2"/>
  <c r="AF171" i="2"/>
  <c r="BC170" i="2"/>
  <c r="BB170" i="2"/>
  <c r="BA170" i="2"/>
  <c r="AZ170" i="2"/>
  <c r="AY170" i="2"/>
  <c r="AS170" i="2"/>
  <c r="AQ170" i="2"/>
  <c r="AP170" i="2"/>
  <c r="AO170" i="2"/>
  <c r="AN170" i="2"/>
  <c r="AI170" i="2"/>
  <c r="AF170" i="2"/>
  <c r="BC169" i="2"/>
  <c r="BB169" i="2"/>
  <c r="BA169" i="2"/>
  <c r="AZ169" i="2"/>
  <c r="AY169" i="2"/>
  <c r="AS169" i="2"/>
  <c r="AQ169" i="2"/>
  <c r="AP169" i="2"/>
  <c r="AO169" i="2"/>
  <c r="AN169" i="2"/>
  <c r="AI169" i="2"/>
  <c r="AF169" i="2"/>
  <c r="BC168" i="2"/>
  <c r="BB168" i="2"/>
  <c r="BA168" i="2"/>
  <c r="AZ168" i="2"/>
  <c r="AY168" i="2"/>
  <c r="AS168" i="2"/>
  <c r="AQ168" i="2"/>
  <c r="AP168" i="2"/>
  <c r="AO168" i="2"/>
  <c r="AN168" i="2"/>
  <c r="AI168" i="2"/>
  <c r="AF168" i="2"/>
  <c r="BC167" i="2"/>
  <c r="BB167" i="2"/>
  <c r="BA167" i="2"/>
  <c r="AZ167" i="2"/>
  <c r="AY167" i="2"/>
  <c r="AS167" i="2"/>
  <c r="AQ167" i="2"/>
  <c r="AP167" i="2"/>
  <c r="AO167" i="2"/>
  <c r="AN167" i="2"/>
  <c r="AI167" i="2"/>
  <c r="AF167" i="2"/>
  <c r="BC166" i="2"/>
  <c r="BB166" i="2"/>
  <c r="BA166" i="2"/>
  <c r="AZ166" i="2"/>
  <c r="AY166" i="2"/>
  <c r="AS166" i="2"/>
  <c r="AQ166" i="2"/>
  <c r="AP166" i="2"/>
  <c r="AO166" i="2"/>
  <c r="AN166" i="2"/>
  <c r="AI166" i="2"/>
  <c r="AF166" i="2"/>
  <c r="BC165" i="2"/>
  <c r="BB165" i="2"/>
  <c r="BA165" i="2"/>
  <c r="AZ165" i="2"/>
  <c r="AY165" i="2"/>
  <c r="AS165" i="2"/>
  <c r="AQ165" i="2"/>
  <c r="AP165" i="2"/>
  <c r="AO165" i="2"/>
  <c r="AN165" i="2"/>
  <c r="AI165" i="2"/>
  <c r="AF165" i="2"/>
  <c r="BC164" i="2"/>
  <c r="BB164" i="2"/>
  <c r="BA164" i="2"/>
  <c r="AZ164" i="2"/>
  <c r="AY164" i="2"/>
  <c r="AS164" i="2"/>
  <c r="AQ164" i="2"/>
  <c r="AP164" i="2"/>
  <c r="AO164" i="2"/>
  <c r="AN164" i="2"/>
  <c r="AI164" i="2"/>
  <c r="AF164" i="2"/>
  <c r="BC163" i="2"/>
  <c r="BB163" i="2"/>
  <c r="BA163" i="2"/>
  <c r="AZ163" i="2"/>
  <c r="AY163" i="2"/>
  <c r="AS163" i="2"/>
  <c r="AQ163" i="2"/>
  <c r="AP163" i="2"/>
  <c r="AO163" i="2"/>
  <c r="AN163" i="2"/>
  <c r="AI163" i="2"/>
  <c r="AF163" i="2"/>
  <c r="BC162" i="2"/>
  <c r="BB162" i="2"/>
  <c r="BA162" i="2"/>
  <c r="AZ162" i="2"/>
  <c r="AY162" i="2"/>
  <c r="AS162" i="2"/>
  <c r="AQ162" i="2"/>
  <c r="AP162" i="2"/>
  <c r="AO162" i="2"/>
  <c r="AN162" i="2"/>
  <c r="AI162" i="2"/>
  <c r="AF162" i="2"/>
  <c r="BC161" i="2"/>
  <c r="BB161" i="2"/>
  <c r="BA161" i="2"/>
  <c r="AZ161" i="2"/>
  <c r="AY161" i="2"/>
  <c r="AS161" i="2"/>
  <c r="AQ161" i="2"/>
  <c r="AP161" i="2"/>
  <c r="AO161" i="2"/>
  <c r="AN161" i="2"/>
  <c r="AI161" i="2"/>
  <c r="AF161" i="2"/>
  <c r="BC160" i="2"/>
  <c r="BB160" i="2"/>
  <c r="BA160" i="2"/>
  <c r="AZ160" i="2"/>
  <c r="AY160" i="2"/>
  <c r="AS160" i="2"/>
  <c r="AQ160" i="2"/>
  <c r="AP160" i="2"/>
  <c r="AO160" i="2"/>
  <c r="AN160" i="2"/>
  <c r="AI160" i="2"/>
  <c r="AF160" i="2"/>
  <c r="BC159" i="2"/>
  <c r="BB159" i="2"/>
  <c r="BA159" i="2"/>
  <c r="AZ159" i="2"/>
  <c r="AY159" i="2"/>
  <c r="AS159" i="2"/>
  <c r="AQ159" i="2"/>
  <c r="AP159" i="2"/>
  <c r="AO159" i="2"/>
  <c r="AN159" i="2"/>
  <c r="AI159" i="2"/>
  <c r="AF159" i="2"/>
  <c r="BJ158" i="2"/>
  <c r="BJ158" i="2" a="1"/>
  <c r="BC158" i="2"/>
  <c r="BB158" i="2"/>
  <c r="BA158" i="2"/>
  <c r="AZ158" i="2"/>
  <c r="AY158" i="2"/>
  <c r="AS158" i="2"/>
  <c r="AQ158" i="2"/>
  <c r="AP158" i="2"/>
  <c r="AO158" i="2"/>
  <c r="AN158" i="2"/>
  <c r="AI158" i="2"/>
  <c r="AF158" i="2"/>
  <c r="BJ157" i="2"/>
  <c r="BJ157" i="2" a="1"/>
  <c r="BC157" i="2"/>
  <c r="BB157" i="2"/>
  <c r="BA157" i="2"/>
  <c r="AZ157" i="2"/>
  <c r="AY157" i="2"/>
  <c r="AS157" i="2"/>
  <c r="AQ157" i="2"/>
  <c r="AP157" i="2"/>
  <c r="AO157" i="2"/>
  <c r="AN157" i="2"/>
  <c r="AI157" i="2"/>
  <c r="AF157" i="2"/>
  <c r="BC156" i="2"/>
  <c r="BB156" i="2"/>
  <c r="BA156" i="2"/>
  <c r="AZ156" i="2"/>
  <c r="AY156" i="2"/>
  <c r="AS156" i="2"/>
  <c r="AQ156" i="2"/>
  <c r="AP156" i="2"/>
  <c r="AO156" i="2"/>
  <c r="AN156" i="2"/>
  <c r="AI156" i="2"/>
  <c r="AF156" i="2"/>
  <c r="BC155" i="2"/>
  <c r="BB155" i="2"/>
  <c r="BA155" i="2"/>
  <c r="AZ155" i="2"/>
  <c r="AY155" i="2"/>
  <c r="AS155" i="2"/>
  <c r="AQ155" i="2"/>
  <c r="AP155" i="2"/>
  <c r="AO155" i="2"/>
  <c r="AN155" i="2"/>
  <c r="AI155" i="2"/>
  <c r="AF155" i="2"/>
  <c r="BC154" i="2"/>
  <c r="BB154" i="2"/>
  <c r="BA154" i="2"/>
  <c r="AZ154" i="2"/>
  <c r="AY154" i="2"/>
  <c r="AS154" i="2"/>
  <c r="AQ154" i="2"/>
  <c r="AP154" i="2"/>
  <c r="AO154" i="2"/>
  <c r="AN154" i="2"/>
  <c r="AI154" i="2"/>
  <c r="AF154" i="2"/>
  <c r="BC153" i="2"/>
  <c r="BB153" i="2"/>
  <c r="BA153" i="2"/>
  <c r="AZ153" i="2"/>
  <c r="AY153" i="2"/>
  <c r="AS153" i="2"/>
  <c r="AQ153" i="2"/>
  <c r="AP153" i="2"/>
  <c r="AO153" i="2"/>
  <c r="AN153" i="2"/>
  <c r="AI153" i="2"/>
  <c r="AF153" i="2"/>
  <c r="BC152" i="2"/>
  <c r="BB152" i="2"/>
  <c r="BA152" i="2"/>
  <c r="AZ152" i="2"/>
  <c r="AY152" i="2"/>
  <c r="AS152" i="2"/>
  <c r="AQ152" i="2"/>
  <c r="AP152" i="2"/>
  <c r="AO152" i="2"/>
  <c r="AN152" i="2"/>
  <c r="AI152" i="2"/>
  <c r="AF152" i="2"/>
  <c r="BC151" i="2"/>
  <c r="BB151" i="2"/>
  <c r="BA151" i="2"/>
  <c r="AZ151" i="2"/>
  <c r="AY151" i="2"/>
  <c r="AS151" i="2"/>
  <c r="AQ151" i="2"/>
  <c r="AP151" i="2"/>
  <c r="AO151" i="2"/>
  <c r="AN151" i="2"/>
  <c r="AI151" i="2"/>
  <c r="AF151" i="2"/>
  <c r="BC150" i="2"/>
  <c r="BB150" i="2"/>
  <c r="BA150" i="2"/>
  <c r="AZ150" i="2"/>
  <c r="AY150" i="2"/>
  <c r="AS150" i="2"/>
  <c r="AQ150" i="2"/>
  <c r="AP150" i="2"/>
  <c r="AO150" i="2"/>
  <c r="AN150" i="2"/>
  <c r="AI150" i="2"/>
  <c r="AF150" i="2"/>
  <c r="BC149" i="2"/>
  <c r="BB149" i="2"/>
  <c r="BA149" i="2"/>
  <c r="AZ149" i="2"/>
  <c r="AY149" i="2"/>
  <c r="AS149" i="2"/>
  <c r="AQ149" i="2"/>
  <c r="AP149" i="2"/>
  <c r="AO149" i="2"/>
  <c r="AN149" i="2"/>
  <c r="AI149" i="2"/>
  <c r="AF149" i="2"/>
  <c r="BC148" i="2"/>
  <c r="BB148" i="2"/>
  <c r="BA148" i="2"/>
  <c r="AZ148" i="2"/>
  <c r="AY148" i="2"/>
  <c r="AS148" i="2"/>
  <c r="AQ148" i="2"/>
  <c r="AP148" i="2"/>
  <c r="AO148" i="2"/>
  <c r="AN148" i="2"/>
  <c r="AI148" i="2"/>
  <c r="AF148" i="2"/>
  <c r="BC147" i="2"/>
  <c r="BB147" i="2"/>
  <c r="BA147" i="2"/>
  <c r="AZ147" i="2"/>
  <c r="AY147" i="2"/>
  <c r="AS147" i="2"/>
  <c r="AQ147" i="2"/>
  <c r="AP147" i="2"/>
  <c r="AO147" i="2"/>
  <c r="AN147" i="2"/>
  <c r="AI147" i="2"/>
  <c r="AF147" i="2"/>
  <c r="BB146" i="2"/>
  <c r="BA146" i="2"/>
  <c r="AZ146" i="2"/>
  <c r="AY146" i="2"/>
  <c r="AS146" i="2"/>
  <c r="AQ146" i="2"/>
  <c r="AP146" i="2"/>
  <c r="AO146" i="2"/>
  <c r="AN146" i="2"/>
  <c r="AI146" i="2"/>
  <c r="AF146" i="2"/>
  <c r="BC145" i="2"/>
  <c r="BB145" i="2"/>
  <c r="BA145" i="2"/>
  <c r="AZ145" i="2"/>
  <c r="AY145" i="2"/>
  <c r="AS145" i="2"/>
  <c r="AQ145" i="2"/>
  <c r="AP145" i="2"/>
  <c r="AO145" i="2"/>
  <c r="AN145" i="2"/>
  <c r="AI145" i="2"/>
  <c r="AF145" i="2"/>
  <c r="BC144" i="2"/>
  <c r="BB144" i="2"/>
  <c r="BA144" i="2"/>
  <c r="AZ144" i="2"/>
  <c r="AY144" i="2"/>
  <c r="AS144" i="2"/>
  <c r="AQ144" i="2"/>
  <c r="AP144" i="2"/>
  <c r="AO144" i="2"/>
  <c r="AN144" i="2"/>
  <c r="AI144" i="2"/>
  <c r="AF144" i="2"/>
  <c r="BC143" i="2"/>
  <c r="BB143" i="2"/>
  <c r="BA143" i="2"/>
  <c r="AZ143" i="2"/>
  <c r="AY143" i="2"/>
  <c r="AS143" i="2"/>
  <c r="AQ143" i="2"/>
  <c r="AP143" i="2"/>
  <c r="AO143" i="2"/>
  <c r="AN143" i="2"/>
  <c r="AI143" i="2"/>
  <c r="AF143" i="2"/>
  <c r="BC142" i="2"/>
  <c r="BB142" i="2"/>
  <c r="BA142" i="2"/>
  <c r="AZ142" i="2"/>
  <c r="AY142" i="2"/>
  <c r="AS142" i="2"/>
  <c r="AQ142" i="2"/>
  <c r="AP142" i="2"/>
  <c r="AO142" i="2"/>
  <c r="AN142" i="2"/>
  <c r="AI142" i="2"/>
  <c r="AF142" i="2"/>
  <c r="BC141" i="2"/>
  <c r="BB141" i="2"/>
  <c r="BA141" i="2"/>
  <c r="AZ141" i="2"/>
  <c r="AY141" i="2"/>
  <c r="AS141" i="2"/>
  <c r="AQ141" i="2"/>
  <c r="AP141" i="2"/>
  <c r="AO141" i="2"/>
  <c r="AN141" i="2"/>
  <c r="AI141" i="2"/>
  <c r="AF141" i="2"/>
  <c r="BC140" i="2"/>
  <c r="BB140" i="2"/>
  <c r="BA140" i="2"/>
  <c r="AZ140" i="2"/>
  <c r="AY140" i="2"/>
  <c r="AS140" i="2"/>
  <c r="AQ140" i="2"/>
  <c r="AP140" i="2"/>
  <c r="AO140" i="2"/>
  <c r="AN140" i="2"/>
  <c r="AI140" i="2"/>
  <c r="AF140" i="2"/>
  <c r="BC139" i="2"/>
  <c r="BB139" i="2"/>
  <c r="BA139" i="2"/>
  <c r="AZ139" i="2"/>
  <c r="AY139" i="2"/>
  <c r="AS139" i="2"/>
  <c r="AQ139" i="2"/>
  <c r="AP139" i="2"/>
  <c r="AO139" i="2"/>
  <c r="AN139" i="2"/>
  <c r="AI139" i="2"/>
  <c r="AF139" i="2"/>
  <c r="BC138" i="2"/>
  <c r="BB138" i="2"/>
  <c r="BA138" i="2"/>
  <c r="AZ138" i="2"/>
  <c r="AY138" i="2"/>
  <c r="AS138" i="2"/>
  <c r="AQ138" i="2"/>
  <c r="AP138" i="2"/>
  <c r="AO138" i="2"/>
  <c r="AN138" i="2"/>
  <c r="AI138" i="2"/>
  <c r="AF138" i="2"/>
  <c r="BC137" i="2"/>
  <c r="BB137" i="2"/>
  <c r="BA137" i="2"/>
  <c r="AZ137" i="2"/>
  <c r="AY137" i="2"/>
  <c r="AS137" i="2"/>
  <c r="AQ137" i="2"/>
  <c r="AP137" i="2"/>
  <c r="AO137" i="2"/>
  <c r="AN137" i="2"/>
  <c r="AI137" i="2"/>
  <c r="AF137" i="2"/>
  <c r="BC136" i="2"/>
  <c r="BB136" i="2"/>
  <c r="BA136" i="2"/>
  <c r="AZ136" i="2"/>
  <c r="AY136" i="2"/>
  <c r="AS136" i="2"/>
  <c r="AQ136" i="2"/>
  <c r="AP136" i="2"/>
  <c r="AO136" i="2"/>
  <c r="AN136" i="2"/>
  <c r="AI136" i="2"/>
  <c r="AF136" i="2"/>
  <c r="BC135" i="2"/>
  <c r="BB135" i="2"/>
  <c r="BA135" i="2"/>
  <c r="AZ135" i="2"/>
  <c r="AY135" i="2"/>
  <c r="AS135" i="2"/>
  <c r="AQ135" i="2"/>
  <c r="AP135" i="2"/>
  <c r="AO135" i="2"/>
  <c r="AN135" i="2"/>
  <c r="AI135" i="2"/>
  <c r="AF135" i="2"/>
  <c r="BC134" i="2"/>
  <c r="BB134" i="2"/>
  <c r="BA134" i="2"/>
  <c r="AZ134" i="2"/>
  <c r="AY134" i="2"/>
  <c r="AS134" i="2"/>
  <c r="AQ134" i="2"/>
  <c r="AP134" i="2"/>
  <c r="AO134" i="2"/>
  <c r="AN134" i="2"/>
  <c r="AI134" i="2"/>
  <c r="AF134" i="2"/>
  <c r="BC133" i="2"/>
  <c r="BB133" i="2"/>
  <c r="BA133" i="2"/>
  <c r="AZ133" i="2"/>
  <c r="AY133" i="2"/>
  <c r="AS133" i="2"/>
  <c r="AQ133" i="2"/>
  <c r="AP133" i="2"/>
  <c r="AO133" i="2"/>
  <c r="AN133" i="2"/>
  <c r="AI133" i="2"/>
  <c r="AF133" i="2"/>
  <c r="BC132" i="2"/>
  <c r="BB132" i="2"/>
  <c r="BA132" i="2"/>
  <c r="AZ132" i="2"/>
  <c r="AY132" i="2"/>
  <c r="AS132" i="2"/>
  <c r="AQ132" i="2"/>
  <c r="AP132" i="2"/>
  <c r="AO132" i="2"/>
  <c r="AN132" i="2"/>
  <c r="AI132" i="2"/>
  <c r="AF132" i="2"/>
  <c r="BC131" i="2"/>
  <c r="BB131" i="2"/>
  <c r="BA131" i="2"/>
  <c r="AZ131" i="2"/>
  <c r="AY131" i="2"/>
  <c r="AS131" i="2"/>
  <c r="AQ131" i="2"/>
  <c r="AP131" i="2"/>
  <c r="AO131" i="2"/>
  <c r="AN131" i="2"/>
  <c r="AI131" i="2"/>
  <c r="AF131" i="2"/>
  <c r="BC130" i="2"/>
  <c r="BB130" i="2"/>
  <c r="BA130" i="2"/>
  <c r="AZ130" i="2"/>
  <c r="AY130" i="2"/>
  <c r="AS130" i="2"/>
  <c r="AQ130" i="2"/>
  <c r="AP130" i="2"/>
  <c r="AO130" i="2"/>
  <c r="AN130" i="2"/>
  <c r="AI130" i="2"/>
  <c r="AF130" i="2"/>
  <c r="BC129" i="2"/>
  <c r="BB129" i="2"/>
  <c r="BA129" i="2"/>
  <c r="AZ129" i="2"/>
  <c r="AY129" i="2"/>
  <c r="AS129" i="2"/>
  <c r="AQ129" i="2"/>
  <c r="AP129" i="2"/>
  <c r="AO129" i="2"/>
  <c r="AN129" i="2"/>
  <c r="AI129" i="2"/>
  <c r="AF129" i="2"/>
  <c r="BC128" i="2"/>
  <c r="BB128" i="2"/>
  <c r="BA128" i="2"/>
  <c r="AZ128" i="2"/>
  <c r="AY128" i="2"/>
  <c r="AS128" i="2"/>
  <c r="AQ128" i="2"/>
  <c r="AP128" i="2"/>
  <c r="AO128" i="2"/>
  <c r="AN128" i="2"/>
  <c r="AI128" i="2"/>
  <c r="AF128" i="2"/>
  <c r="BC127" i="2"/>
  <c r="BB127" i="2"/>
  <c r="BA127" i="2"/>
  <c r="AZ127" i="2"/>
  <c r="AY127" i="2"/>
  <c r="AS127" i="2"/>
  <c r="AQ127" i="2"/>
  <c r="AP127" i="2"/>
  <c r="AO127" i="2"/>
  <c r="AN127" i="2"/>
  <c r="AI127" i="2"/>
  <c r="AF127" i="2"/>
  <c r="BC126" i="2"/>
  <c r="BB126" i="2"/>
  <c r="BA126" i="2"/>
  <c r="AZ126" i="2"/>
  <c r="AY126" i="2"/>
  <c r="AS126" i="2"/>
  <c r="AQ126" i="2"/>
  <c r="AP126" i="2"/>
  <c r="AO126" i="2"/>
  <c r="AN126" i="2"/>
  <c r="AI126" i="2"/>
  <c r="AF126" i="2"/>
  <c r="BC125" i="2"/>
  <c r="BB125" i="2"/>
  <c r="BA125" i="2"/>
  <c r="AZ125" i="2"/>
  <c r="AY125" i="2"/>
  <c r="AS125" i="2"/>
  <c r="AQ125" i="2"/>
  <c r="AP125" i="2"/>
  <c r="AO125" i="2"/>
  <c r="AN125" i="2"/>
  <c r="AI125" i="2"/>
  <c r="AF125" i="2"/>
  <c r="BC124" i="2"/>
  <c r="BB124" i="2"/>
  <c r="BA124" i="2"/>
  <c r="AZ124" i="2"/>
  <c r="AY124" i="2"/>
  <c r="AS124" i="2"/>
  <c r="AQ124" i="2"/>
  <c r="AP124" i="2"/>
  <c r="AO124" i="2"/>
  <c r="AN124" i="2"/>
  <c r="AI124" i="2"/>
  <c r="AF124" i="2"/>
  <c r="BC123" i="2"/>
  <c r="BB123" i="2"/>
  <c r="BA123" i="2"/>
  <c r="AZ123" i="2"/>
  <c r="AY123" i="2"/>
  <c r="AS123" i="2"/>
  <c r="AQ123" i="2"/>
  <c r="AP123" i="2"/>
  <c r="AO123" i="2"/>
  <c r="AN123" i="2"/>
  <c r="AI123" i="2"/>
  <c r="AF123" i="2"/>
  <c r="BC122" i="2"/>
  <c r="BB122" i="2"/>
  <c r="BA122" i="2"/>
  <c r="AZ122" i="2"/>
  <c r="AY122" i="2"/>
  <c r="AS122" i="2"/>
  <c r="AQ122" i="2"/>
  <c r="AP122" i="2"/>
  <c r="AO122" i="2"/>
  <c r="AN122" i="2"/>
  <c r="AI122" i="2"/>
  <c r="AF122" i="2"/>
  <c r="BC121" i="2"/>
  <c r="BB121" i="2"/>
  <c r="BA121" i="2"/>
  <c r="AZ121" i="2"/>
  <c r="AY121" i="2"/>
  <c r="AS121" i="2"/>
  <c r="AQ121" i="2"/>
  <c r="AP121" i="2"/>
  <c r="AO121" i="2"/>
  <c r="AN121" i="2"/>
  <c r="AI121" i="2"/>
  <c r="AF121" i="2"/>
  <c r="BC120" i="2"/>
  <c r="BB120" i="2"/>
  <c r="BA120" i="2"/>
  <c r="AZ120" i="2"/>
  <c r="AY120" i="2"/>
  <c r="AS120" i="2"/>
  <c r="AQ120" i="2"/>
  <c r="AP120" i="2"/>
  <c r="AO120" i="2"/>
  <c r="AN120" i="2"/>
  <c r="AI120" i="2"/>
  <c r="AF120" i="2"/>
  <c r="BC119" i="2"/>
  <c r="BB119" i="2"/>
  <c r="BA119" i="2"/>
  <c r="AZ119" i="2"/>
  <c r="AY119" i="2"/>
  <c r="AS119" i="2"/>
  <c r="AQ119" i="2"/>
  <c r="AP119" i="2"/>
  <c r="AO119" i="2"/>
  <c r="AN119" i="2"/>
  <c r="AI119" i="2"/>
  <c r="AF119" i="2"/>
  <c r="BC118" i="2"/>
  <c r="BB118" i="2"/>
  <c r="BA118" i="2"/>
  <c r="AZ118" i="2"/>
  <c r="AY118" i="2"/>
  <c r="AS118" i="2"/>
  <c r="AQ118" i="2"/>
  <c r="AP118" i="2"/>
  <c r="AO118" i="2"/>
  <c r="AN118" i="2"/>
  <c r="AI118" i="2"/>
  <c r="AF118" i="2"/>
  <c r="BC117" i="2"/>
  <c r="BB117" i="2"/>
  <c r="BA117" i="2"/>
  <c r="AZ117" i="2"/>
  <c r="AY117" i="2"/>
  <c r="AS117" i="2"/>
  <c r="AQ117" i="2"/>
  <c r="AP117" i="2"/>
  <c r="AO117" i="2"/>
  <c r="AN117" i="2"/>
  <c r="AI117" i="2"/>
  <c r="AF117" i="2"/>
  <c r="BC116" i="2"/>
  <c r="BB116" i="2"/>
  <c r="BA116" i="2"/>
  <c r="AZ116" i="2"/>
  <c r="AY116" i="2"/>
  <c r="AV116" i="2"/>
  <c r="AS116" i="2"/>
  <c r="AQ116" i="2"/>
  <c r="AP116" i="2"/>
  <c r="AO116" i="2"/>
  <c r="AN116" i="2"/>
  <c r="AI116" i="2"/>
  <c r="AF116" i="2"/>
  <c r="BC115" i="2"/>
  <c r="BB115" i="2"/>
  <c r="BA115" i="2"/>
  <c r="AZ115" i="2"/>
  <c r="AY115" i="2"/>
  <c r="AV115" i="2"/>
  <c r="AS115" i="2"/>
  <c r="AQ115" i="2"/>
  <c r="AP115" i="2"/>
  <c r="AO115" i="2"/>
  <c r="AN115" i="2"/>
  <c r="AI115" i="2"/>
  <c r="AF115" i="2"/>
  <c r="BJ114" i="2"/>
  <c r="BJ114" i="2" a="1"/>
  <c r="BC114" i="2"/>
  <c r="BB114" i="2"/>
  <c r="BA114" i="2"/>
  <c r="AZ114" i="2"/>
  <c r="AY114" i="2"/>
  <c r="AV114" i="2"/>
  <c r="AS114" i="2"/>
  <c r="AQ114" i="2"/>
  <c r="AP114" i="2"/>
  <c r="AO114" i="2"/>
  <c r="AN114" i="2"/>
  <c r="AI114" i="2"/>
  <c r="AF114" i="2"/>
  <c r="BC113" i="2"/>
  <c r="BB113" i="2"/>
  <c r="BA113" i="2"/>
  <c r="AZ113" i="2"/>
  <c r="AY113" i="2"/>
  <c r="AV113" i="2"/>
  <c r="AS113" i="2"/>
  <c r="AQ113" i="2"/>
  <c r="AP113" i="2"/>
  <c r="AO113" i="2"/>
  <c r="AN113" i="2"/>
  <c r="AI113" i="2"/>
  <c r="AF113" i="2"/>
  <c r="BC112" i="2"/>
  <c r="BB112" i="2"/>
  <c r="BA112" i="2"/>
  <c r="AZ112" i="2"/>
  <c r="AY112" i="2"/>
  <c r="AV112" i="2"/>
  <c r="AS112" i="2"/>
  <c r="AQ112" i="2"/>
  <c r="AP112" i="2"/>
  <c r="AO112" i="2"/>
  <c r="AN112" i="2"/>
  <c r="AI112" i="2"/>
  <c r="AF112" i="2"/>
  <c r="BC111" i="2"/>
  <c r="BB111" i="2"/>
  <c r="BA111" i="2"/>
  <c r="AZ111" i="2"/>
  <c r="AY111" i="2"/>
  <c r="AV111" i="2"/>
  <c r="AS111" i="2"/>
  <c r="AQ111" i="2"/>
  <c r="AP111" i="2"/>
  <c r="AO111" i="2"/>
  <c r="AN111" i="2"/>
  <c r="AI111" i="2"/>
  <c r="AF111" i="2"/>
  <c r="BC110" i="2"/>
  <c r="BB110" i="2"/>
  <c r="BA110" i="2"/>
  <c r="AZ110" i="2"/>
  <c r="AY110" i="2"/>
  <c r="AV110" i="2"/>
  <c r="AS110" i="2"/>
  <c r="AQ110" i="2"/>
  <c r="AP110" i="2"/>
  <c r="AO110" i="2"/>
  <c r="AN110" i="2"/>
  <c r="AI110" i="2"/>
  <c r="AF110" i="2"/>
  <c r="BC109" i="2"/>
  <c r="BB109" i="2"/>
  <c r="BA109" i="2"/>
  <c r="AZ109" i="2"/>
  <c r="AY109" i="2"/>
  <c r="AV109" i="2"/>
  <c r="AS109" i="2"/>
  <c r="AQ109" i="2"/>
  <c r="AP109" i="2"/>
  <c r="AO109" i="2"/>
  <c r="AN109" i="2"/>
  <c r="AI109" i="2"/>
  <c r="AF109" i="2"/>
  <c r="BC108" i="2"/>
  <c r="BB108" i="2"/>
  <c r="BA108" i="2"/>
  <c r="AZ108" i="2"/>
  <c r="AY108" i="2"/>
  <c r="AV108" i="2"/>
  <c r="AS108" i="2"/>
  <c r="AQ108" i="2"/>
  <c r="AP108" i="2"/>
  <c r="AO108" i="2"/>
  <c r="AN108" i="2"/>
  <c r="AI108" i="2"/>
  <c r="AF108" i="2"/>
  <c r="BC107" i="2"/>
  <c r="BB107" i="2"/>
  <c r="BA107" i="2"/>
  <c r="AZ107" i="2"/>
  <c r="AY107" i="2"/>
  <c r="AV107" i="2"/>
  <c r="AS107" i="2"/>
  <c r="AQ107" i="2"/>
  <c r="AP107" i="2"/>
  <c r="AO107" i="2"/>
  <c r="AN107" i="2"/>
  <c r="AI107" i="2"/>
  <c r="AF107" i="2"/>
  <c r="BC106" i="2"/>
  <c r="BB106" i="2"/>
  <c r="BA106" i="2"/>
  <c r="AZ106" i="2"/>
  <c r="AY106" i="2"/>
  <c r="AV106" i="2"/>
  <c r="AS106" i="2"/>
  <c r="AQ106" i="2"/>
  <c r="AP106" i="2"/>
  <c r="AO106" i="2"/>
  <c r="AN106" i="2"/>
  <c r="AI106" i="2"/>
  <c r="AF106" i="2"/>
  <c r="BC105" i="2"/>
  <c r="BB105" i="2"/>
  <c r="BA105" i="2"/>
  <c r="AZ105" i="2"/>
  <c r="AY105" i="2"/>
  <c r="AV105" i="2"/>
  <c r="AS105" i="2"/>
  <c r="AQ105" i="2"/>
  <c r="AP105" i="2"/>
  <c r="AO105" i="2"/>
  <c r="AN105" i="2"/>
  <c r="AI105" i="2"/>
  <c r="AF105" i="2"/>
  <c r="BC104" i="2"/>
  <c r="BB104" i="2"/>
  <c r="BA104" i="2"/>
  <c r="AZ104" i="2"/>
  <c r="AY104" i="2"/>
  <c r="AV104" i="2"/>
  <c r="AS104" i="2"/>
  <c r="AQ104" i="2"/>
  <c r="AP104" i="2"/>
  <c r="AO104" i="2"/>
  <c r="AN104" i="2"/>
  <c r="AI104" i="2"/>
  <c r="AF104" i="2"/>
  <c r="BC103" i="2"/>
  <c r="BB103" i="2"/>
  <c r="BA103" i="2"/>
  <c r="AZ103" i="2"/>
  <c r="AY103" i="2"/>
  <c r="AV103" i="2"/>
  <c r="AS103" i="2"/>
  <c r="AQ103" i="2"/>
  <c r="AP103" i="2"/>
  <c r="AO103" i="2"/>
  <c r="AN103" i="2"/>
  <c r="AI103" i="2"/>
  <c r="AF103" i="2"/>
  <c r="BC102" i="2"/>
  <c r="BB102" i="2"/>
  <c r="BA102" i="2"/>
  <c r="AZ102" i="2"/>
  <c r="AY102" i="2"/>
  <c r="AV102" i="2"/>
  <c r="AS102" i="2"/>
  <c r="AQ102" i="2"/>
  <c r="AP102" i="2"/>
  <c r="AO102" i="2"/>
  <c r="AN102" i="2"/>
  <c r="AI102" i="2"/>
  <c r="AF102" i="2"/>
  <c r="BC101" i="2"/>
  <c r="BB101" i="2"/>
  <c r="BA101" i="2"/>
  <c r="AZ101" i="2"/>
  <c r="AY101" i="2"/>
  <c r="AV101" i="2"/>
  <c r="AS101" i="2"/>
  <c r="AQ101" i="2"/>
  <c r="AP101" i="2"/>
  <c r="AO101" i="2"/>
  <c r="AN101" i="2"/>
  <c r="AI101" i="2"/>
  <c r="AF101" i="2"/>
  <c r="BC100" i="2"/>
  <c r="BB100" i="2"/>
  <c r="BA100" i="2"/>
  <c r="AZ100" i="2"/>
  <c r="AY100" i="2"/>
  <c r="AV100" i="2"/>
  <c r="AS100" i="2"/>
  <c r="AQ100" i="2"/>
  <c r="AP100" i="2"/>
  <c r="AO100" i="2"/>
  <c r="AN100" i="2"/>
  <c r="AI100" i="2"/>
  <c r="AF100" i="2"/>
  <c r="BC99" i="2"/>
  <c r="BB99" i="2"/>
  <c r="BA99" i="2"/>
  <c r="AZ99" i="2"/>
  <c r="AY99" i="2"/>
  <c r="AV99" i="2"/>
  <c r="AS99" i="2"/>
  <c r="AQ99" i="2"/>
  <c r="AP99" i="2"/>
  <c r="AO99" i="2"/>
  <c r="AN99" i="2"/>
  <c r="AI99" i="2"/>
  <c r="AF99" i="2"/>
  <c r="BC98" i="2"/>
  <c r="BB98" i="2"/>
  <c r="BA98" i="2"/>
  <c r="AZ98" i="2"/>
  <c r="AY98" i="2"/>
  <c r="AV98" i="2"/>
  <c r="AS98" i="2"/>
  <c r="AQ98" i="2"/>
  <c r="AP98" i="2"/>
  <c r="AO98" i="2"/>
  <c r="AN98" i="2"/>
  <c r="AI98" i="2"/>
  <c r="AF98" i="2"/>
  <c r="BC97" i="2"/>
  <c r="BB97" i="2"/>
  <c r="BA97" i="2"/>
  <c r="AZ97" i="2"/>
  <c r="AY97" i="2"/>
  <c r="AV97" i="2"/>
  <c r="AS97" i="2"/>
  <c r="AQ97" i="2"/>
  <c r="AP97" i="2"/>
  <c r="AO97" i="2"/>
  <c r="AN97" i="2"/>
  <c r="AI97" i="2"/>
  <c r="AF97" i="2"/>
  <c r="BC96" i="2"/>
  <c r="BB96" i="2"/>
  <c r="BA96" i="2"/>
  <c r="AZ96" i="2"/>
  <c r="AY96" i="2"/>
  <c r="AV96" i="2"/>
  <c r="AS96" i="2"/>
  <c r="AQ96" i="2"/>
  <c r="AP96" i="2"/>
  <c r="AO96" i="2"/>
  <c r="AN96" i="2"/>
  <c r="AI96" i="2"/>
  <c r="AF96" i="2"/>
  <c r="BC95" i="2"/>
  <c r="BB95" i="2"/>
  <c r="BA95" i="2"/>
  <c r="AZ95" i="2"/>
  <c r="AY95" i="2"/>
  <c r="AV95" i="2"/>
  <c r="AS95" i="2"/>
  <c r="AQ95" i="2"/>
  <c r="AP95" i="2"/>
  <c r="AO95" i="2"/>
  <c r="AN95" i="2"/>
  <c r="AI95" i="2"/>
  <c r="AF95" i="2"/>
  <c r="BC94" i="2"/>
  <c r="BB94" i="2"/>
  <c r="BA94" i="2"/>
  <c r="AZ94" i="2"/>
  <c r="AY94" i="2"/>
  <c r="AV94" i="2"/>
  <c r="AS94" i="2"/>
  <c r="AQ94" i="2"/>
  <c r="AP94" i="2"/>
  <c r="AO94" i="2"/>
  <c r="AN94" i="2"/>
  <c r="AI94" i="2"/>
  <c r="AF94" i="2"/>
  <c r="BC93" i="2"/>
  <c r="BB93" i="2"/>
  <c r="BA93" i="2"/>
  <c r="AZ93" i="2"/>
  <c r="AY93" i="2"/>
  <c r="AV93" i="2"/>
  <c r="AS93" i="2"/>
  <c r="AQ93" i="2"/>
  <c r="AP93" i="2"/>
  <c r="AO93" i="2"/>
  <c r="AN93" i="2"/>
  <c r="AI93" i="2"/>
  <c r="AF93" i="2"/>
  <c r="S93" i="2"/>
  <c r="BI92" i="2"/>
  <c r="BI92" i="2" a="1"/>
  <c r="BC92" i="2"/>
  <c r="BB92" i="2"/>
  <c r="BA92" i="2"/>
  <c r="AZ92" i="2"/>
  <c r="AY92" i="2"/>
  <c r="AV92" i="2"/>
  <c r="AS92" i="2"/>
  <c r="AQ92" i="2"/>
  <c r="AP92" i="2"/>
  <c r="AO92" i="2"/>
  <c r="AN92" i="2"/>
  <c r="AI92" i="2"/>
  <c r="AF92" i="2"/>
  <c r="S92" i="2"/>
  <c r="R92" i="2"/>
  <c r="Q92" i="2"/>
  <c r="BC91" i="2"/>
  <c r="BB91" i="2"/>
  <c r="BA91" i="2"/>
  <c r="AZ91" i="2"/>
  <c r="AY91" i="2"/>
  <c r="AV91" i="2"/>
  <c r="AS91" i="2"/>
  <c r="AQ91" i="2"/>
  <c r="AP91" i="2"/>
  <c r="AO91" i="2"/>
  <c r="AN91" i="2"/>
  <c r="AI91" i="2"/>
  <c r="AF91" i="2"/>
  <c r="S91" i="2"/>
  <c r="R91" i="2"/>
  <c r="J91" i="2"/>
  <c r="BC90" i="2"/>
  <c r="BB90" i="2"/>
  <c r="BA90" i="2"/>
  <c r="AZ90" i="2"/>
  <c r="AY90" i="2"/>
  <c r="AV90" i="2"/>
  <c r="AS90" i="2"/>
  <c r="AQ90" i="2"/>
  <c r="AP90" i="2"/>
  <c r="AO90" i="2"/>
  <c r="AN90" i="2"/>
  <c r="AI90" i="2"/>
  <c r="AF90" i="2"/>
  <c r="R90" i="2"/>
  <c r="J90" i="2"/>
  <c r="BC89" i="2"/>
  <c r="BB89" i="2"/>
  <c r="BA89" i="2"/>
  <c r="AZ89" i="2"/>
  <c r="AY89" i="2"/>
  <c r="AV89" i="2"/>
  <c r="AS89" i="2"/>
  <c r="AQ89" i="2"/>
  <c r="AP89" i="2"/>
  <c r="AO89" i="2"/>
  <c r="AN89" i="2"/>
  <c r="AI89" i="2"/>
  <c r="AF89" i="2"/>
  <c r="R89" i="2"/>
  <c r="J89" i="2"/>
  <c r="BC88" i="2"/>
  <c r="BB88" i="2"/>
  <c r="BA88" i="2"/>
  <c r="AZ88" i="2"/>
  <c r="AY88" i="2"/>
  <c r="AV88" i="2"/>
  <c r="AS88" i="2"/>
  <c r="AQ88" i="2"/>
  <c r="AP88" i="2"/>
  <c r="AO88" i="2"/>
  <c r="AN88" i="2"/>
  <c r="AI88" i="2"/>
  <c r="AF88" i="2"/>
  <c r="J88" i="2"/>
  <c r="BC87" i="2"/>
  <c r="BB87" i="2"/>
  <c r="BA87" i="2"/>
  <c r="AZ87" i="2"/>
  <c r="AY87" i="2"/>
  <c r="AV87" i="2"/>
  <c r="AS87" i="2"/>
  <c r="AQ87" i="2"/>
  <c r="AP87" i="2"/>
  <c r="AO87" i="2"/>
  <c r="AN87" i="2"/>
  <c r="AI87" i="2"/>
  <c r="AF87" i="2"/>
  <c r="S87" i="2"/>
  <c r="J87" i="2"/>
  <c r="BC86" i="2"/>
  <c r="BB86" i="2"/>
  <c r="BA86" i="2"/>
  <c r="AZ86" i="2"/>
  <c r="AY86" i="2"/>
  <c r="AV86" i="2"/>
  <c r="AS86" i="2"/>
  <c r="AQ86" i="2"/>
  <c r="AP86" i="2"/>
  <c r="AO86" i="2"/>
  <c r="AN86" i="2"/>
  <c r="AI86" i="2"/>
  <c r="AF86" i="2"/>
  <c r="S86" i="2"/>
  <c r="R86" i="2"/>
  <c r="J86" i="2"/>
  <c r="BC85" i="2"/>
  <c r="BB85" i="2"/>
  <c r="BA85" i="2"/>
  <c r="AZ85" i="2"/>
  <c r="AY85" i="2"/>
  <c r="AV85" i="2"/>
  <c r="AS85" i="2"/>
  <c r="AQ85" i="2"/>
  <c r="AP85" i="2"/>
  <c r="AO85" i="2"/>
  <c r="AN85" i="2"/>
  <c r="AI85" i="2"/>
  <c r="AF85" i="2"/>
  <c r="S85" i="2"/>
  <c r="R85" i="2"/>
  <c r="J85" i="2"/>
  <c r="BC84" i="2"/>
  <c r="BB84" i="2"/>
  <c r="BA84" i="2"/>
  <c r="AZ84" i="2"/>
  <c r="AY84" i="2"/>
  <c r="AV84" i="2"/>
  <c r="AS84" i="2"/>
  <c r="AQ84" i="2"/>
  <c r="AP84" i="2"/>
  <c r="AO84" i="2"/>
  <c r="AN84" i="2"/>
  <c r="AI84" i="2"/>
  <c r="AF84" i="2"/>
  <c r="R84" i="2"/>
  <c r="J84" i="2"/>
  <c r="BC83" i="2"/>
  <c r="BB83" i="2"/>
  <c r="BA83" i="2"/>
  <c r="AZ83" i="2"/>
  <c r="AY83" i="2"/>
  <c r="AV83" i="2"/>
  <c r="AS83" i="2"/>
  <c r="AQ83" i="2"/>
  <c r="AP83" i="2"/>
  <c r="AO83" i="2"/>
  <c r="AN83" i="2"/>
  <c r="AI83" i="2"/>
  <c r="AF83" i="2"/>
  <c r="R83" i="2"/>
  <c r="J83" i="2"/>
  <c r="BC82" i="2"/>
  <c r="BB82" i="2"/>
  <c r="BA82" i="2"/>
  <c r="AZ82" i="2"/>
  <c r="AY82" i="2"/>
  <c r="AV82" i="2"/>
  <c r="AS82" i="2"/>
  <c r="AQ82" i="2"/>
  <c r="AP82" i="2"/>
  <c r="AO82" i="2"/>
  <c r="AN82" i="2"/>
  <c r="AI82" i="2"/>
  <c r="AF82" i="2"/>
  <c r="J82" i="2"/>
  <c r="BC81" i="2"/>
  <c r="BB81" i="2"/>
  <c r="BA81" i="2"/>
  <c r="AZ81" i="2"/>
  <c r="AY81" i="2"/>
  <c r="AV81" i="2"/>
  <c r="AS81" i="2"/>
  <c r="AQ81" i="2"/>
  <c r="AP81" i="2"/>
  <c r="AO81" i="2"/>
  <c r="AN81" i="2"/>
  <c r="AI81" i="2"/>
  <c r="AF81" i="2"/>
  <c r="S81" i="2"/>
  <c r="J81" i="2"/>
  <c r="BC80" i="2"/>
  <c r="BB80" i="2"/>
  <c r="BA80" i="2"/>
  <c r="AZ80" i="2"/>
  <c r="AY80" i="2"/>
  <c r="AV80" i="2"/>
  <c r="AS80" i="2"/>
  <c r="AQ80" i="2"/>
  <c r="AP80" i="2"/>
  <c r="AO80" i="2"/>
  <c r="AN80" i="2"/>
  <c r="AI80" i="2"/>
  <c r="AF80" i="2"/>
  <c r="S80" i="2"/>
  <c r="R80" i="2"/>
  <c r="Q80" i="2"/>
  <c r="J80" i="2"/>
  <c r="BC79" i="2"/>
  <c r="BB79" i="2"/>
  <c r="BA79" i="2"/>
  <c r="AZ79" i="2"/>
  <c r="AY79" i="2"/>
  <c r="AV79" i="2"/>
  <c r="AS79" i="2"/>
  <c r="AQ79" i="2"/>
  <c r="AP79" i="2"/>
  <c r="AO79" i="2"/>
  <c r="AN79" i="2"/>
  <c r="AI79" i="2"/>
  <c r="AF79" i="2"/>
  <c r="S79" i="2"/>
  <c r="R79" i="2"/>
  <c r="J79" i="2"/>
  <c r="BC78" i="2"/>
  <c r="BB78" i="2"/>
  <c r="BA78" i="2"/>
  <c r="AZ78" i="2"/>
  <c r="AY78" i="2"/>
  <c r="AV78" i="2"/>
  <c r="AS78" i="2"/>
  <c r="AQ78" i="2"/>
  <c r="AP78" i="2"/>
  <c r="AO78" i="2"/>
  <c r="AN78" i="2"/>
  <c r="AI78" i="2"/>
  <c r="AF78" i="2"/>
  <c r="R78" i="2"/>
  <c r="J78" i="2"/>
  <c r="BC77" i="2"/>
  <c r="BB77" i="2"/>
  <c r="BA77" i="2"/>
  <c r="AZ77" i="2"/>
  <c r="AY77" i="2"/>
  <c r="AV77" i="2"/>
  <c r="AS77" i="2"/>
  <c r="AQ77" i="2"/>
  <c r="AP77" i="2"/>
  <c r="AO77" i="2"/>
  <c r="AN77" i="2"/>
  <c r="AI77" i="2"/>
  <c r="AF77" i="2"/>
  <c r="R77" i="2"/>
  <c r="J77" i="2"/>
  <c r="BC76" i="2"/>
  <c r="BB76" i="2"/>
  <c r="BA76" i="2"/>
  <c r="AZ76" i="2"/>
  <c r="AY76" i="2"/>
  <c r="AV76" i="2"/>
  <c r="AS76" i="2"/>
  <c r="AQ76" i="2"/>
  <c r="AP76" i="2"/>
  <c r="AO76" i="2"/>
  <c r="AN76" i="2"/>
  <c r="AI76" i="2"/>
  <c r="AF76" i="2"/>
  <c r="J76" i="2"/>
  <c r="BC75" i="2"/>
  <c r="BB75" i="2"/>
  <c r="BA75" i="2"/>
  <c r="AZ75" i="2"/>
  <c r="AY75" i="2"/>
  <c r="AV75" i="2"/>
  <c r="AS75" i="2"/>
  <c r="AQ75" i="2"/>
  <c r="AP75" i="2"/>
  <c r="AO75" i="2"/>
  <c r="AN75" i="2"/>
  <c r="AI75" i="2"/>
  <c r="AF75" i="2"/>
  <c r="J75" i="2"/>
  <c r="BC74" i="2"/>
  <c r="BB74" i="2"/>
  <c r="BA74" i="2"/>
  <c r="AZ74" i="2"/>
  <c r="AY74" i="2"/>
  <c r="AV74" i="2"/>
  <c r="AS74" i="2"/>
  <c r="AQ74" i="2"/>
  <c r="AP74" i="2"/>
  <c r="AO74" i="2"/>
  <c r="AN74" i="2"/>
  <c r="AI74" i="2"/>
  <c r="AF74" i="2"/>
  <c r="J74" i="2"/>
  <c r="BC73" i="2"/>
  <c r="BB73" i="2"/>
  <c r="BA73" i="2"/>
  <c r="AZ73" i="2"/>
  <c r="AY73" i="2"/>
  <c r="AV73" i="2"/>
  <c r="AS73" i="2"/>
  <c r="AQ73" i="2"/>
  <c r="AP73" i="2"/>
  <c r="AO73" i="2"/>
  <c r="AN73" i="2"/>
  <c r="AI73" i="2"/>
  <c r="AF73" i="2"/>
  <c r="Z73" i="2"/>
  <c r="S73" i="2"/>
  <c r="J73" i="2"/>
  <c r="BC72" i="2"/>
  <c r="BB72" i="2"/>
  <c r="BA72" i="2"/>
  <c r="AZ72" i="2"/>
  <c r="AY72" i="2"/>
  <c r="AV72" i="2"/>
  <c r="AS72" i="2"/>
  <c r="AQ72" i="2"/>
  <c r="AP72" i="2"/>
  <c r="AO72" i="2"/>
  <c r="AN72" i="2"/>
  <c r="AI72" i="2"/>
  <c r="AF72" i="2"/>
  <c r="Z72" i="2"/>
  <c r="S72" i="2"/>
  <c r="R72" i="2"/>
  <c r="Q72" i="2"/>
  <c r="J72" i="2"/>
  <c r="BC71" i="2"/>
  <c r="BB71" i="2"/>
  <c r="BA71" i="2"/>
  <c r="AZ71" i="2"/>
  <c r="AY71" i="2"/>
  <c r="AV71" i="2"/>
  <c r="AS71" i="2"/>
  <c r="AQ71" i="2"/>
  <c r="AP71" i="2"/>
  <c r="AO71" i="2"/>
  <c r="AN71" i="2"/>
  <c r="AI71" i="2"/>
  <c r="AF71" i="2"/>
  <c r="Z71" i="2"/>
  <c r="S71" i="2"/>
  <c r="R71" i="2"/>
  <c r="J71" i="2"/>
  <c r="BC70" i="2"/>
  <c r="BB70" i="2"/>
  <c r="BA70" i="2"/>
  <c r="AZ70" i="2"/>
  <c r="AY70" i="2"/>
  <c r="AV70" i="2"/>
  <c r="AS70" i="2"/>
  <c r="AQ70" i="2"/>
  <c r="AP70" i="2"/>
  <c r="AO70" i="2"/>
  <c r="AN70" i="2"/>
  <c r="AI70" i="2"/>
  <c r="AF70" i="2"/>
  <c r="Z70" i="2"/>
  <c r="R70" i="2"/>
  <c r="J70" i="2"/>
  <c r="BC69" i="2"/>
  <c r="BB69" i="2"/>
  <c r="BA69" i="2"/>
  <c r="AZ69" i="2"/>
  <c r="AY69" i="2"/>
  <c r="AV69" i="2"/>
  <c r="AS69" i="2"/>
  <c r="AQ69" i="2"/>
  <c r="AP69" i="2"/>
  <c r="AO69" i="2"/>
  <c r="AN69" i="2"/>
  <c r="AI69" i="2"/>
  <c r="AF69" i="2"/>
  <c r="Z69" i="2"/>
  <c r="R69" i="2"/>
  <c r="J69" i="2"/>
  <c r="BC68" i="2"/>
  <c r="BB68" i="2"/>
  <c r="BA68" i="2"/>
  <c r="AZ68" i="2"/>
  <c r="AY68" i="2"/>
  <c r="AV68" i="2"/>
  <c r="AS68" i="2"/>
  <c r="AQ68" i="2"/>
  <c r="AP68" i="2"/>
  <c r="AO68" i="2"/>
  <c r="AN68" i="2"/>
  <c r="AI68" i="2"/>
  <c r="AF68" i="2"/>
  <c r="Z68" i="2"/>
  <c r="J68" i="2"/>
  <c r="BC67" i="2"/>
  <c r="BB67" i="2"/>
  <c r="BA67" i="2"/>
  <c r="AZ67" i="2"/>
  <c r="AY67" i="2"/>
  <c r="AV67" i="2"/>
  <c r="AS67" i="2"/>
  <c r="AQ67" i="2"/>
  <c r="AP67" i="2"/>
  <c r="AO67" i="2"/>
  <c r="AN67" i="2"/>
  <c r="AI67" i="2"/>
  <c r="AF67" i="2"/>
  <c r="Z67" i="2"/>
  <c r="J67" i="2"/>
  <c r="BC66" i="2"/>
  <c r="BB66" i="2"/>
  <c r="BA66" i="2"/>
  <c r="AZ66" i="2"/>
  <c r="AY66" i="2"/>
  <c r="AV66" i="2"/>
  <c r="AS66" i="2"/>
  <c r="AQ66" i="2"/>
  <c r="AP66" i="2"/>
  <c r="AO66" i="2"/>
  <c r="AN66" i="2"/>
  <c r="AI66" i="2"/>
  <c r="AF66" i="2"/>
  <c r="Z66" i="2"/>
  <c r="J66" i="2"/>
  <c r="BC65" i="2"/>
  <c r="BB65" i="2"/>
  <c r="BA65" i="2"/>
  <c r="AZ65" i="2"/>
  <c r="AY65" i="2"/>
  <c r="AV65" i="2"/>
  <c r="AS65" i="2"/>
  <c r="AQ65" i="2"/>
  <c r="AP65" i="2"/>
  <c r="AO65" i="2"/>
  <c r="AN65" i="2"/>
  <c r="AI65" i="2"/>
  <c r="AF65" i="2"/>
  <c r="Z65" i="2"/>
  <c r="J65" i="2"/>
  <c r="BC64" i="2"/>
  <c r="BB64" i="2"/>
  <c r="BA64" i="2"/>
  <c r="AZ64" i="2"/>
  <c r="AY64" i="2"/>
  <c r="AV64" i="2"/>
  <c r="AS64" i="2"/>
  <c r="AQ64" i="2"/>
  <c r="AP64" i="2"/>
  <c r="AO64" i="2"/>
  <c r="AN64" i="2"/>
  <c r="AI64" i="2"/>
  <c r="AF64" i="2"/>
  <c r="Z64" i="2"/>
  <c r="J64" i="2"/>
  <c r="BC63" i="2"/>
  <c r="BB63" i="2"/>
  <c r="BA63" i="2"/>
  <c r="AZ63" i="2"/>
  <c r="AY63" i="2"/>
  <c r="AV63" i="2"/>
  <c r="AS63" i="2"/>
  <c r="AQ63" i="2"/>
  <c r="AP63" i="2"/>
  <c r="AO63" i="2"/>
  <c r="AN63" i="2"/>
  <c r="AI63" i="2"/>
  <c r="AF63" i="2"/>
  <c r="J63" i="2"/>
  <c r="BC62" i="2"/>
  <c r="BB62" i="2"/>
  <c r="BA62" i="2"/>
  <c r="AZ62" i="2"/>
  <c r="AY62" i="2"/>
  <c r="AV62" i="2"/>
  <c r="AS62" i="2"/>
  <c r="AQ62" i="2"/>
  <c r="AP62" i="2"/>
  <c r="AO62" i="2"/>
  <c r="AN62" i="2"/>
  <c r="AI62" i="2"/>
  <c r="AF62" i="2"/>
  <c r="J62" i="2"/>
  <c r="BC61" i="2"/>
  <c r="BB61" i="2"/>
  <c r="BA61" i="2"/>
  <c r="AZ61" i="2"/>
  <c r="AY61" i="2"/>
  <c r="AV61" i="2"/>
  <c r="AS61" i="2"/>
  <c r="AQ61" i="2"/>
  <c r="AP61" i="2"/>
  <c r="AO61" i="2"/>
  <c r="AN61" i="2"/>
  <c r="AI61" i="2"/>
  <c r="AF61" i="2"/>
  <c r="J61" i="2"/>
  <c r="BC60" i="2"/>
  <c r="BB60" i="2"/>
  <c r="BA60" i="2"/>
  <c r="AZ60" i="2"/>
  <c r="AY60" i="2"/>
  <c r="AV60" i="2"/>
  <c r="AS60" i="2"/>
  <c r="AQ60" i="2"/>
  <c r="AP60" i="2"/>
  <c r="AO60" i="2"/>
  <c r="AN60" i="2"/>
  <c r="AI60" i="2"/>
  <c r="AF60" i="2"/>
  <c r="J60" i="2"/>
  <c r="BC59" i="2"/>
  <c r="BB59" i="2"/>
  <c r="BA59" i="2"/>
  <c r="AZ59" i="2"/>
  <c r="AY59" i="2"/>
  <c r="AV59" i="2"/>
  <c r="AS59" i="2"/>
  <c r="AQ59" i="2"/>
  <c r="AP59" i="2"/>
  <c r="AO59" i="2"/>
  <c r="AN59" i="2"/>
  <c r="AI59" i="2"/>
  <c r="AF59" i="2"/>
  <c r="J59" i="2"/>
  <c r="BC58" i="2"/>
  <c r="BB58" i="2"/>
  <c r="BA58" i="2"/>
  <c r="AZ58" i="2"/>
  <c r="AY58" i="2"/>
  <c r="AV58" i="2"/>
  <c r="AS58" i="2"/>
  <c r="AQ58" i="2"/>
  <c r="AP58" i="2"/>
  <c r="AO58" i="2"/>
  <c r="AN58" i="2"/>
  <c r="AI58" i="2"/>
  <c r="AF58" i="2"/>
  <c r="Z58" i="2"/>
  <c r="J58" i="2"/>
  <c r="BC57" i="2"/>
  <c r="BB57" i="2"/>
  <c r="BA57" i="2"/>
  <c r="AZ57" i="2"/>
  <c r="AY57" i="2"/>
  <c r="AV57" i="2"/>
  <c r="AS57" i="2"/>
  <c r="AQ57" i="2"/>
  <c r="AP57" i="2"/>
  <c r="AO57" i="2"/>
  <c r="AN57" i="2"/>
  <c r="AI57" i="2"/>
  <c r="AF57" i="2"/>
  <c r="Z57" i="2"/>
  <c r="J57" i="2"/>
  <c r="BC56" i="2"/>
  <c r="BB56" i="2"/>
  <c r="BA56" i="2"/>
  <c r="AZ56" i="2"/>
  <c r="AY56" i="2"/>
  <c r="AV56" i="2"/>
  <c r="AS56" i="2"/>
  <c r="AQ56" i="2"/>
  <c r="AP56" i="2"/>
  <c r="AO56" i="2"/>
  <c r="AN56" i="2"/>
  <c r="AI56" i="2"/>
  <c r="AF56" i="2"/>
  <c r="Z56" i="2"/>
  <c r="J56" i="2"/>
  <c r="BC55" i="2"/>
  <c r="BB55" i="2"/>
  <c r="BA55" i="2"/>
  <c r="AZ55" i="2"/>
  <c r="AY55" i="2"/>
  <c r="AV55" i="2"/>
  <c r="AS55" i="2"/>
  <c r="AQ55" i="2"/>
  <c r="AP55" i="2"/>
  <c r="AO55" i="2"/>
  <c r="AN55" i="2"/>
  <c r="AI55" i="2"/>
  <c r="AF55" i="2"/>
  <c r="Z55" i="2"/>
  <c r="J55" i="2"/>
  <c r="BC54" i="2"/>
  <c r="BB54" i="2"/>
  <c r="BA54" i="2"/>
  <c r="AZ54" i="2"/>
  <c r="AY54" i="2"/>
  <c r="AV54" i="2"/>
  <c r="AS54" i="2"/>
  <c r="AQ54" i="2"/>
  <c r="AP54" i="2"/>
  <c r="AO54" i="2"/>
  <c r="AN54" i="2"/>
  <c r="AI54" i="2"/>
  <c r="AF54" i="2"/>
  <c r="Z54" i="2"/>
  <c r="J54" i="2"/>
  <c r="BC53" i="2"/>
  <c r="BB53" i="2"/>
  <c r="BA53" i="2"/>
  <c r="AZ53" i="2"/>
  <c r="AY53" i="2"/>
  <c r="AV53" i="2"/>
  <c r="AS53" i="2"/>
  <c r="AQ53" i="2"/>
  <c r="AP53" i="2"/>
  <c r="AO53" i="2"/>
  <c r="AN53" i="2"/>
  <c r="AI53" i="2"/>
  <c r="AF53" i="2"/>
  <c r="Z53" i="2"/>
  <c r="J53" i="2"/>
  <c r="BC52" i="2"/>
  <c r="BB52" i="2"/>
  <c r="BA52" i="2"/>
  <c r="AZ52" i="2"/>
  <c r="AY52" i="2"/>
  <c r="AV52" i="2"/>
  <c r="AS52" i="2"/>
  <c r="AQ52" i="2"/>
  <c r="AP52" i="2"/>
  <c r="AO52" i="2"/>
  <c r="AN52" i="2"/>
  <c r="AI52" i="2"/>
  <c r="AF52" i="2"/>
  <c r="Z52" i="2"/>
  <c r="J52" i="2"/>
  <c r="BC51" i="2"/>
  <c r="BB51" i="2"/>
  <c r="BA51" i="2"/>
  <c r="AZ51" i="2"/>
  <c r="AY51" i="2"/>
  <c r="AV51" i="2"/>
  <c r="AS51" i="2"/>
  <c r="AQ51" i="2"/>
  <c r="AP51" i="2"/>
  <c r="AO51" i="2"/>
  <c r="AN51" i="2"/>
  <c r="AI51" i="2"/>
  <c r="AF51" i="2"/>
  <c r="Z51" i="2"/>
  <c r="J51" i="2"/>
  <c r="E51" i="2"/>
  <c r="D51" i="2"/>
  <c r="C51" i="2"/>
  <c r="B51" i="2"/>
  <c r="G51" i="2" s="1"/>
  <c r="D23" i="12" s="1"/>
  <c r="BC50" i="2"/>
  <c r="BB50" i="2"/>
  <c r="BA50" i="2"/>
  <c r="AZ50" i="2"/>
  <c r="AY50" i="2"/>
  <c r="AV50" i="2"/>
  <c r="AS50" i="2"/>
  <c r="AQ50" i="2"/>
  <c r="AP50" i="2"/>
  <c r="AO50" i="2"/>
  <c r="AN50" i="2"/>
  <c r="AI50" i="2"/>
  <c r="AF50" i="2"/>
  <c r="Z50" i="2"/>
  <c r="J50" i="2"/>
  <c r="G50" i="2"/>
  <c r="E50" i="2"/>
  <c r="D50" i="2"/>
  <c r="C50" i="2"/>
  <c r="B50" i="2"/>
  <c r="BC49" i="2"/>
  <c r="BB49" i="2"/>
  <c r="BA49" i="2"/>
  <c r="AZ49" i="2"/>
  <c r="AY49" i="2"/>
  <c r="AV49" i="2"/>
  <c r="AS49" i="2"/>
  <c r="AQ49" i="2"/>
  <c r="AP49" i="2"/>
  <c r="AO49" i="2"/>
  <c r="AN49" i="2"/>
  <c r="AI49" i="2"/>
  <c r="AF49" i="2"/>
  <c r="Z49" i="2"/>
  <c r="J49" i="2"/>
  <c r="G49" i="2"/>
  <c r="E49" i="2"/>
  <c r="D49" i="2"/>
  <c r="C49" i="2"/>
  <c r="B49" i="2"/>
  <c r="BC48" i="2"/>
  <c r="BB48" i="2"/>
  <c r="BA48" i="2"/>
  <c r="AZ48" i="2"/>
  <c r="AY48" i="2"/>
  <c r="AV48" i="2"/>
  <c r="AS48" i="2"/>
  <c r="AQ48" i="2"/>
  <c r="AP48" i="2"/>
  <c r="AO48" i="2"/>
  <c r="AN48" i="2"/>
  <c r="AI48" i="2"/>
  <c r="AF48" i="2"/>
  <c r="Z48" i="2"/>
  <c r="J48" i="2"/>
  <c r="E48" i="2"/>
  <c r="D48" i="2"/>
  <c r="C48" i="2"/>
  <c r="B48" i="2"/>
  <c r="G48" i="2" s="1"/>
  <c r="D20" i="12" s="1"/>
  <c r="BC47" i="2"/>
  <c r="BB47" i="2"/>
  <c r="BA47" i="2"/>
  <c r="AZ47" i="2"/>
  <c r="AY47" i="2"/>
  <c r="AV47" i="2"/>
  <c r="AS47" i="2"/>
  <c r="AQ47" i="2"/>
  <c r="AP47" i="2"/>
  <c r="AO47" i="2"/>
  <c r="AN47" i="2"/>
  <c r="AI47" i="2"/>
  <c r="AF47" i="2"/>
  <c r="Z47" i="2"/>
  <c r="J47" i="2"/>
  <c r="E47" i="2"/>
  <c r="D47" i="2"/>
  <c r="C47" i="2"/>
  <c r="B47" i="2"/>
  <c r="G47" i="2" s="1"/>
  <c r="D39" i="12" s="1"/>
  <c r="BC46" i="2"/>
  <c r="BB46" i="2"/>
  <c r="BA46" i="2"/>
  <c r="AZ46" i="2"/>
  <c r="AY46" i="2"/>
  <c r="AV46" i="2"/>
  <c r="AS46" i="2"/>
  <c r="AQ46" i="2"/>
  <c r="AP46" i="2"/>
  <c r="AO46" i="2"/>
  <c r="AN46" i="2"/>
  <c r="AI46" i="2"/>
  <c r="AF46" i="2"/>
  <c r="Z46" i="2"/>
  <c r="J46" i="2"/>
  <c r="E46" i="2"/>
  <c r="D46" i="2"/>
  <c r="C46" i="2"/>
  <c r="B46" i="2"/>
  <c r="G46" i="2" s="1"/>
  <c r="D38" i="12" s="1"/>
  <c r="BI45" i="2"/>
  <c r="BI45" i="2" a="1"/>
  <c r="BC45" i="2"/>
  <c r="BB45" i="2"/>
  <c r="BA45" i="2"/>
  <c r="AZ45" i="2"/>
  <c r="AY45" i="2"/>
  <c r="AV45" i="2"/>
  <c r="AS45" i="2"/>
  <c r="AQ45" i="2"/>
  <c r="AP45" i="2"/>
  <c r="AO45" i="2"/>
  <c r="AN45" i="2"/>
  <c r="AI45" i="2"/>
  <c r="AF45" i="2"/>
  <c r="Z45" i="2"/>
  <c r="J45" i="2"/>
  <c r="E45" i="2"/>
  <c r="D45" i="2"/>
  <c r="C45" i="2"/>
  <c r="B45" i="2"/>
  <c r="BC44" i="2"/>
  <c r="BB44" i="2"/>
  <c r="BA44" i="2"/>
  <c r="AZ44" i="2"/>
  <c r="AY44" i="2"/>
  <c r="AV44" i="2"/>
  <c r="AS44" i="2"/>
  <c r="AQ44" i="2"/>
  <c r="AP44" i="2"/>
  <c r="AO44" i="2"/>
  <c r="AN44" i="2"/>
  <c r="AI44" i="2"/>
  <c r="AF44" i="2"/>
  <c r="Z44" i="2"/>
  <c r="J44" i="2"/>
  <c r="G44" i="2"/>
  <c r="E44" i="2"/>
  <c r="D44" i="2"/>
  <c r="C44" i="2"/>
  <c r="B44" i="2"/>
  <c r="BC43" i="2"/>
  <c r="BB43" i="2"/>
  <c r="BA43" i="2"/>
  <c r="AZ43" i="2"/>
  <c r="AY43" i="2"/>
  <c r="AV43" i="2"/>
  <c r="AS43" i="2"/>
  <c r="AQ43" i="2"/>
  <c r="AP43" i="2"/>
  <c r="AO43" i="2"/>
  <c r="AN43" i="2"/>
  <c r="AI43" i="2"/>
  <c r="AF43" i="2"/>
  <c r="Z43" i="2"/>
  <c r="J43" i="2"/>
  <c r="G43" i="2"/>
  <c r="E43" i="2"/>
  <c r="D43" i="2"/>
  <c r="C43" i="2"/>
  <c r="B43" i="2"/>
  <c r="BC42" i="2"/>
  <c r="BB42" i="2"/>
  <c r="BA42" i="2"/>
  <c r="AZ42" i="2"/>
  <c r="AY42" i="2"/>
  <c r="AV42" i="2"/>
  <c r="AS42" i="2"/>
  <c r="AQ42" i="2"/>
  <c r="AP42" i="2"/>
  <c r="AO42" i="2"/>
  <c r="AI42" i="2"/>
  <c r="AF42" i="2"/>
  <c r="Z42" i="2"/>
  <c r="J42" i="2"/>
  <c r="G42" i="2"/>
  <c r="E42" i="2"/>
  <c r="D42" i="2"/>
  <c r="C42" i="2"/>
  <c r="B42" i="2"/>
  <c r="BC41" i="2"/>
  <c r="BB41" i="2"/>
  <c r="BA41" i="2"/>
  <c r="AZ41" i="2"/>
  <c r="AY41" i="2"/>
  <c r="AV41" i="2"/>
  <c r="AS41" i="2"/>
  <c r="AQ41" i="2"/>
  <c r="AP41" i="2"/>
  <c r="AO41" i="2"/>
  <c r="AI41" i="2"/>
  <c r="AF41" i="2"/>
  <c r="Z41" i="2"/>
  <c r="J41" i="2"/>
  <c r="BC40" i="2"/>
  <c r="BB40" i="2"/>
  <c r="BA40" i="2"/>
  <c r="AZ40" i="2"/>
  <c r="AY40" i="2"/>
  <c r="AV40" i="2"/>
  <c r="AS40" i="2"/>
  <c r="AQ40" i="2"/>
  <c r="AP40" i="2"/>
  <c r="AO40" i="2"/>
  <c r="AI40" i="2"/>
  <c r="AF40" i="2"/>
  <c r="Z40" i="2"/>
  <c r="J40" i="2"/>
  <c r="BC39" i="2"/>
  <c r="BB39" i="2"/>
  <c r="BA39" i="2"/>
  <c r="AZ39" i="2"/>
  <c r="AY39" i="2"/>
  <c r="AV39" i="2"/>
  <c r="AS39" i="2"/>
  <c r="AQ39" i="2"/>
  <c r="AP39" i="2"/>
  <c r="AO39" i="2"/>
  <c r="AI39" i="2"/>
  <c r="AF39" i="2"/>
  <c r="AE39" i="2"/>
  <c r="Z39" i="2"/>
  <c r="J39" i="2"/>
  <c r="BC38" i="2"/>
  <c r="BB38" i="2"/>
  <c r="BA38" i="2"/>
  <c r="AZ38" i="2"/>
  <c r="AY38" i="2"/>
  <c r="AV38" i="2"/>
  <c r="AS38" i="2"/>
  <c r="AQ38" i="2"/>
  <c r="AP38" i="2"/>
  <c r="AO38" i="2"/>
  <c r="AI38" i="2"/>
  <c r="AF38" i="2"/>
  <c r="Z38" i="2"/>
  <c r="J38" i="2"/>
  <c r="BC37" i="2"/>
  <c r="BB37" i="2"/>
  <c r="BA37" i="2"/>
  <c r="AZ37" i="2"/>
  <c r="AY37" i="2"/>
  <c r="AV37" i="2"/>
  <c r="AS37" i="2"/>
  <c r="AQ37" i="2"/>
  <c r="AP37" i="2"/>
  <c r="AO37" i="2"/>
  <c r="AI37" i="2"/>
  <c r="AF37" i="2"/>
  <c r="Z37" i="2"/>
  <c r="J37" i="2"/>
  <c r="BI36" i="2"/>
  <c r="BI36" i="2" a="1"/>
  <c r="BC36" i="2"/>
  <c r="BB36" i="2"/>
  <c r="BA36" i="2"/>
  <c r="AZ36" i="2"/>
  <c r="AY36" i="2"/>
  <c r="AV36" i="2"/>
  <c r="AS36" i="2"/>
  <c r="AQ36" i="2"/>
  <c r="AP36" i="2"/>
  <c r="AO36" i="2"/>
  <c r="AI36" i="2"/>
  <c r="AF36" i="2"/>
  <c r="Z36" i="2"/>
  <c r="J36" i="2"/>
  <c r="BC35" i="2"/>
  <c r="BB35" i="2"/>
  <c r="BA35" i="2"/>
  <c r="AZ35" i="2"/>
  <c r="AY35" i="2"/>
  <c r="AV35" i="2"/>
  <c r="AS35" i="2"/>
  <c r="AQ35" i="2"/>
  <c r="AP35" i="2"/>
  <c r="AO35" i="2"/>
  <c r="AI35" i="2"/>
  <c r="AF35" i="2"/>
  <c r="Z35" i="2"/>
  <c r="J35" i="2"/>
  <c r="BC34" i="2"/>
  <c r="BB34" i="2"/>
  <c r="BA34" i="2"/>
  <c r="AZ34" i="2"/>
  <c r="AY34" i="2"/>
  <c r="AV34" i="2"/>
  <c r="AS34" i="2"/>
  <c r="AQ34" i="2"/>
  <c r="AP34" i="2"/>
  <c r="AO34" i="2"/>
  <c r="AI34" i="2"/>
  <c r="AF34" i="2"/>
  <c r="Z34" i="2"/>
  <c r="J34" i="2"/>
  <c r="D34" i="2"/>
  <c r="BC33" i="2"/>
  <c r="BB33" i="2"/>
  <c r="BA33" i="2"/>
  <c r="AZ33" i="2"/>
  <c r="AY33" i="2"/>
  <c r="AV33" i="2"/>
  <c r="AS33" i="2"/>
  <c r="AQ33" i="2"/>
  <c r="AP33" i="2"/>
  <c r="AO33" i="2"/>
  <c r="AI33" i="2"/>
  <c r="AF33" i="2"/>
  <c r="Z33" i="2"/>
  <c r="J33" i="2"/>
  <c r="BC32" i="2"/>
  <c r="BB32" i="2"/>
  <c r="BA32" i="2"/>
  <c r="AZ32" i="2"/>
  <c r="AY32" i="2"/>
  <c r="AV32" i="2"/>
  <c r="AS32" i="2"/>
  <c r="AQ32" i="2"/>
  <c r="AP32" i="2"/>
  <c r="AO32" i="2"/>
  <c r="AI32" i="2"/>
  <c r="AF32" i="2"/>
  <c r="Z32" i="2"/>
  <c r="J32" i="2"/>
  <c r="BC31" i="2"/>
  <c r="BB31" i="2"/>
  <c r="BA31" i="2"/>
  <c r="AZ31" i="2"/>
  <c r="AY31" i="2"/>
  <c r="AV31" i="2"/>
  <c r="AS31" i="2"/>
  <c r="AQ31" i="2"/>
  <c r="AP31" i="2"/>
  <c r="AO31" i="2"/>
  <c r="AI31" i="2"/>
  <c r="AF31" i="2"/>
  <c r="Z31" i="2"/>
  <c r="J31" i="2"/>
  <c r="E31" i="2"/>
  <c r="BC30" i="2"/>
  <c r="BB30" i="2"/>
  <c r="BA30" i="2"/>
  <c r="AZ30" i="2"/>
  <c r="AY30" i="2"/>
  <c r="AV30" i="2"/>
  <c r="AS30" i="2"/>
  <c r="AQ30" i="2"/>
  <c r="AP30" i="2"/>
  <c r="AO30" i="2"/>
  <c r="AI30" i="2"/>
  <c r="AF30" i="2"/>
  <c r="Z30" i="2"/>
  <c r="J30" i="2"/>
  <c r="BC29" i="2"/>
  <c r="BB29" i="2"/>
  <c r="BA29" i="2"/>
  <c r="AZ29" i="2"/>
  <c r="AY29" i="2"/>
  <c r="AV29" i="2"/>
  <c r="AS29" i="2"/>
  <c r="AQ29" i="2"/>
  <c r="AP29" i="2"/>
  <c r="AO29" i="2"/>
  <c r="AI29" i="2"/>
  <c r="AF29" i="2"/>
  <c r="Z29" i="2"/>
  <c r="J29" i="2"/>
  <c r="G29" i="2"/>
  <c r="C29" i="2"/>
  <c r="B29" i="2"/>
  <c r="B29" i="2" a="1"/>
  <c r="A29" i="2"/>
  <c r="A29" i="2" a="1"/>
  <c r="BC28" i="2"/>
  <c r="BB28" i="2"/>
  <c r="BA28" i="2"/>
  <c r="AZ28" i="2"/>
  <c r="AY28" i="2"/>
  <c r="AV28" i="2"/>
  <c r="AS28" i="2"/>
  <c r="AQ28" i="2"/>
  <c r="AP28" i="2"/>
  <c r="AO28" i="2"/>
  <c r="AI28" i="2"/>
  <c r="AF28" i="2"/>
  <c r="Z28" i="2"/>
  <c r="J28" i="2"/>
  <c r="G28" i="2"/>
  <c r="G28" i="2" a="1"/>
  <c r="F28" i="2"/>
  <c r="F28" i="2" a="1"/>
  <c r="E28" i="2"/>
  <c r="E28" i="2" a="1"/>
  <c r="D28" i="2"/>
  <c r="D28" i="2" a="1"/>
  <c r="C28" i="2"/>
  <c r="C28" i="2" a="1"/>
  <c r="BC27" i="2"/>
  <c r="BB27" i="2"/>
  <c r="BA27" i="2"/>
  <c r="AZ27" i="2"/>
  <c r="AY27" i="2"/>
  <c r="AV27" i="2"/>
  <c r="AS27" i="2"/>
  <c r="AQ27" i="2"/>
  <c r="AP27" i="2"/>
  <c r="AO27" i="2"/>
  <c r="AI27" i="2"/>
  <c r="AF27" i="2"/>
  <c r="Z27" i="2"/>
  <c r="J27" i="2"/>
  <c r="BC26" i="2"/>
  <c r="BB26" i="2"/>
  <c r="BA26" i="2"/>
  <c r="AZ26" i="2"/>
  <c r="AY26" i="2"/>
  <c r="AV26" i="2"/>
  <c r="AS26" i="2"/>
  <c r="AQ26" i="2"/>
  <c r="AP26" i="2"/>
  <c r="AO26" i="2"/>
  <c r="AN26" i="2"/>
  <c r="AI26" i="2"/>
  <c r="AF26" i="2"/>
  <c r="Z26" i="2"/>
  <c r="J26" i="2"/>
  <c r="BI25" i="2"/>
  <c r="BI25" i="2" a="1"/>
  <c r="BC25" i="2"/>
  <c r="BB25" i="2"/>
  <c r="BA25" i="2"/>
  <c r="AZ25" i="2"/>
  <c r="AY25" i="2"/>
  <c r="AV25" i="2"/>
  <c r="AS25" i="2"/>
  <c r="AQ25" i="2"/>
  <c r="AP25" i="2"/>
  <c r="AO25" i="2"/>
  <c r="AN25" i="2"/>
  <c r="AI25" i="2"/>
  <c r="AF25" i="2"/>
  <c r="Z25" i="2"/>
  <c r="J25" i="2"/>
  <c r="BC24" i="2"/>
  <c r="BB24" i="2"/>
  <c r="BA24" i="2"/>
  <c r="AZ24" i="2"/>
  <c r="AY24" i="2"/>
  <c r="AV24" i="2"/>
  <c r="AS24" i="2"/>
  <c r="AQ24" i="2"/>
  <c r="AP24" i="2"/>
  <c r="AO24" i="2"/>
  <c r="AN24" i="2"/>
  <c r="AI24" i="2"/>
  <c r="AF24" i="2"/>
  <c r="Z24" i="2"/>
  <c r="J24" i="2"/>
  <c r="BC23" i="2"/>
  <c r="BB23" i="2"/>
  <c r="BA23" i="2"/>
  <c r="AZ23" i="2"/>
  <c r="AY23" i="2"/>
  <c r="AV23" i="2"/>
  <c r="AS23" i="2"/>
  <c r="AQ23" i="2"/>
  <c r="AP23" i="2"/>
  <c r="AO23" i="2"/>
  <c r="AN23" i="2"/>
  <c r="AI23" i="2"/>
  <c r="AF23" i="2"/>
  <c r="Z23" i="2"/>
  <c r="J23" i="2"/>
  <c r="BC22" i="2"/>
  <c r="BB22" i="2"/>
  <c r="BA22" i="2"/>
  <c r="AZ22" i="2"/>
  <c r="AY22" i="2"/>
  <c r="AV22" i="2"/>
  <c r="AS22" i="2"/>
  <c r="AQ22" i="2"/>
  <c r="AP22" i="2"/>
  <c r="AO22" i="2"/>
  <c r="AN22" i="2"/>
  <c r="AI22" i="2"/>
  <c r="AF22" i="2"/>
  <c r="Z22" i="2"/>
  <c r="J22" i="2"/>
  <c r="BC21" i="2"/>
  <c r="BB21" i="2"/>
  <c r="BA21" i="2"/>
  <c r="AZ21" i="2"/>
  <c r="AY21" i="2"/>
  <c r="AV21" i="2"/>
  <c r="AS21" i="2"/>
  <c r="AQ21" i="2"/>
  <c r="AP21" i="2"/>
  <c r="AO21" i="2"/>
  <c r="AN21" i="2"/>
  <c r="AI21" i="2"/>
  <c r="AF21" i="2"/>
  <c r="Z21" i="2"/>
  <c r="J21" i="2"/>
  <c r="BC20" i="2"/>
  <c r="BB20" i="2"/>
  <c r="BA20" i="2"/>
  <c r="AZ20" i="2"/>
  <c r="AY20" i="2"/>
  <c r="AV20" i="2"/>
  <c r="AS20" i="2"/>
  <c r="AQ20" i="2"/>
  <c r="AP20" i="2"/>
  <c r="AO20" i="2"/>
  <c r="AN20" i="2"/>
  <c r="AI20" i="2"/>
  <c r="AF20" i="2"/>
  <c r="Z20" i="2"/>
  <c r="J20" i="2"/>
  <c r="BC19" i="2"/>
  <c r="BB19" i="2"/>
  <c r="BA19" i="2"/>
  <c r="AZ19" i="2"/>
  <c r="AY19" i="2"/>
  <c r="AV19" i="2"/>
  <c r="AS19" i="2"/>
  <c r="AQ19" i="2"/>
  <c r="AP19" i="2"/>
  <c r="AO19" i="2"/>
  <c r="AN19" i="2"/>
  <c r="AI19" i="2"/>
  <c r="AF19" i="2"/>
  <c r="Z19" i="2"/>
  <c r="J19" i="2"/>
  <c r="BC18" i="2"/>
  <c r="BB18" i="2"/>
  <c r="BA18" i="2"/>
  <c r="AZ18" i="2"/>
  <c r="AY18" i="2"/>
  <c r="AV18" i="2"/>
  <c r="AS18" i="2"/>
  <c r="AQ18" i="2"/>
  <c r="AP18" i="2"/>
  <c r="AO18" i="2"/>
  <c r="AN18" i="2"/>
  <c r="AI18" i="2"/>
  <c r="AF18" i="2"/>
  <c r="Z18" i="2"/>
  <c r="J18" i="2"/>
  <c r="BC17" i="2"/>
  <c r="BB17" i="2"/>
  <c r="BA17" i="2"/>
  <c r="AZ17" i="2"/>
  <c r="AY17" i="2"/>
  <c r="AV17" i="2"/>
  <c r="AS17" i="2"/>
  <c r="AQ17" i="2"/>
  <c r="AP17" i="2"/>
  <c r="AO17" i="2"/>
  <c r="AN17" i="2"/>
  <c r="AI17" i="2"/>
  <c r="AF17" i="2"/>
  <c r="Z17" i="2"/>
  <c r="J17" i="2"/>
  <c r="BC16" i="2"/>
  <c r="BB16" i="2"/>
  <c r="BA16" i="2"/>
  <c r="AZ16" i="2"/>
  <c r="AY16" i="2"/>
  <c r="AV16" i="2"/>
  <c r="AS16" i="2"/>
  <c r="AQ16" i="2"/>
  <c r="AP16" i="2"/>
  <c r="AO16" i="2"/>
  <c r="AN16" i="2"/>
  <c r="AI16" i="2"/>
  <c r="AF16" i="2"/>
  <c r="Z16" i="2"/>
  <c r="J16" i="2"/>
  <c r="BC15" i="2"/>
  <c r="BB15" i="2"/>
  <c r="BA15" i="2"/>
  <c r="AZ15" i="2"/>
  <c r="AY15" i="2"/>
  <c r="AV15" i="2"/>
  <c r="AS15" i="2"/>
  <c r="AQ15" i="2"/>
  <c r="AP15" i="2"/>
  <c r="AO15" i="2"/>
  <c r="AN15" i="2"/>
  <c r="AI15" i="2"/>
  <c r="AF15" i="2"/>
  <c r="Z15" i="2"/>
  <c r="J15" i="2"/>
  <c r="BC14" i="2"/>
  <c r="BB14" i="2"/>
  <c r="BA14" i="2"/>
  <c r="AZ14" i="2"/>
  <c r="AY14" i="2"/>
  <c r="AV14" i="2"/>
  <c r="AS14" i="2"/>
  <c r="AQ14" i="2"/>
  <c r="AP14" i="2"/>
  <c r="AO14" i="2"/>
  <c r="AN14" i="2"/>
  <c r="AI14" i="2"/>
  <c r="AF14" i="2"/>
  <c r="Z14" i="2"/>
  <c r="J14" i="2"/>
  <c r="BC13" i="2"/>
  <c r="BB13" i="2"/>
  <c r="BA13" i="2"/>
  <c r="AZ13" i="2"/>
  <c r="AY13" i="2"/>
  <c r="AV13" i="2"/>
  <c r="AS13" i="2"/>
  <c r="AQ13" i="2"/>
  <c r="AP13" i="2"/>
  <c r="AO13" i="2"/>
  <c r="AN13" i="2"/>
  <c r="AI13" i="2"/>
  <c r="AF13" i="2"/>
  <c r="Z13" i="2"/>
  <c r="BC12" i="2"/>
  <c r="BB12" i="2"/>
  <c r="BA12" i="2"/>
  <c r="AZ12" i="2"/>
  <c r="AY12" i="2"/>
  <c r="AV12" i="2"/>
  <c r="AS12" i="2"/>
  <c r="AQ12" i="2"/>
  <c r="AP12" i="2"/>
  <c r="AO12" i="2"/>
  <c r="AN12" i="2"/>
  <c r="AI12" i="2"/>
  <c r="AF12" i="2"/>
  <c r="Z12" i="2"/>
  <c r="BC11" i="2"/>
  <c r="BB11" i="2"/>
  <c r="BA11" i="2"/>
  <c r="AZ11" i="2"/>
  <c r="AY11" i="2"/>
  <c r="AV11" i="2"/>
  <c r="AS11" i="2"/>
  <c r="AQ11" i="2"/>
  <c r="AP11" i="2"/>
  <c r="AO11" i="2"/>
  <c r="AN11" i="2"/>
  <c r="AI11" i="2"/>
  <c r="AF11" i="2"/>
  <c r="Z11" i="2"/>
  <c r="BC10" i="2"/>
  <c r="BB10" i="2"/>
  <c r="BA10" i="2"/>
  <c r="AZ10" i="2"/>
  <c r="AY10" i="2"/>
  <c r="AV10" i="2"/>
  <c r="AS10" i="2"/>
  <c r="AQ10" i="2"/>
  <c r="AP10" i="2"/>
  <c r="AO10" i="2"/>
  <c r="AN10" i="2"/>
  <c r="AI10" i="2"/>
  <c r="AF10" i="2"/>
  <c r="Z10" i="2"/>
  <c r="BC9" i="2"/>
  <c r="BB9" i="2"/>
  <c r="BA9" i="2"/>
  <c r="AZ9" i="2"/>
  <c r="AY9" i="2"/>
  <c r="AV9" i="2"/>
  <c r="AS9" i="2"/>
  <c r="AQ9" i="2"/>
  <c r="AP9" i="2"/>
  <c r="AO9" i="2"/>
  <c r="AN9" i="2"/>
  <c r="AI9" i="2"/>
  <c r="AF9" i="2"/>
  <c r="Z9" i="2"/>
  <c r="BC8" i="2"/>
  <c r="BB8" i="2"/>
  <c r="BA8" i="2"/>
  <c r="AZ8" i="2"/>
  <c r="AY8" i="2"/>
  <c r="AV8" i="2"/>
  <c r="AS8" i="2"/>
  <c r="AQ8" i="2"/>
  <c r="AP8" i="2"/>
  <c r="AO8" i="2"/>
  <c r="AN8" i="2"/>
  <c r="AI8" i="2"/>
  <c r="AF8" i="2"/>
  <c r="Z8" i="2"/>
  <c r="BC7" i="2"/>
  <c r="BB7" i="2"/>
  <c r="BA7" i="2"/>
  <c r="AZ7" i="2"/>
  <c r="AY7" i="2"/>
  <c r="AV7" i="2"/>
  <c r="AS7" i="2"/>
  <c r="AQ7" i="2"/>
  <c r="AP7" i="2"/>
  <c r="AO7" i="2"/>
  <c r="AN7" i="2"/>
  <c r="AI7" i="2"/>
  <c r="AF7" i="2"/>
  <c r="Z7" i="2"/>
  <c r="BC6" i="2"/>
  <c r="BB6" i="2"/>
  <c r="BA6" i="2"/>
  <c r="AZ6" i="2"/>
  <c r="AY6" i="2"/>
  <c r="AV6" i="2"/>
  <c r="AS6" i="2"/>
  <c r="AQ6" i="2"/>
  <c r="AP6" i="2"/>
  <c r="AO6" i="2"/>
  <c r="AN6" i="2"/>
  <c r="AI6" i="2"/>
  <c r="AF6" i="2"/>
  <c r="Z6" i="2"/>
  <c r="T6" i="2"/>
  <c r="S6" i="2"/>
  <c r="R6" i="2"/>
  <c r="P6" i="2"/>
  <c r="O6" i="2"/>
  <c r="N6" i="2"/>
  <c r="M6" i="2"/>
  <c r="L6" i="2"/>
  <c r="K6" i="2"/>
  <c r="J6" i="2"/>
  <c r="I6" i="2"/>
  <c r="H6" i="2"/>
  <c r="G6" i="2"/>
  <c r="F6" i="2"/>
  <c r="E6" i="2"/>
  <c r="D6" i="2"/>
  <c r="C6" i="2"/>
  <c r="BC5" i="2"/>
  <c r="BB5" i="2"/>
  <c r="BA5" i="2"/>
  <c r="AZ5" i="2"/>
  <c r="AY5" i="2"/>
  <c r="AV5" i="2"/>
  <c r="AS5" i="2"/>
  <c r="AQ5" i="2"/>
  <c r="AP5" i="2"/>
  <c r="AO5" i="2"/>
  <c r="AN5" i="2"/>
  <c r="AI5" i="2"/>
  <c r="AF5" i="2"/>
  <c r="Z5" i="2"/>
  <c r="BC4" i="2"/>
  <c r="BB4" i="2"/>
  <c r="BA4" i="2"/>
  <c r="AZ4" i="2"/>
  <c r="AY4" i="2"/>
  <c r="AV4" i="2"/>
  <c r="AS4" i="2"/>
  <c r="AQ4" i="2"/>
  <c r="AP4" i="2"/>
  <c r="AO4" i="2"/>
  <c r="AN4" i="2"/>
  <c r="AI4" i="2"/>
  <c r="AF4" i="2"/>
  <c r="Z4" i="2"/>
  <c r="S4" i="2"/>
  <c r="R4" i="2"/>
  <c r="Q4" i="2"/>
  <c r="P4" i="2"/>
  <c r="O4" i="2"/>
  <c r="N4" i="2"/>
  <c r="M4" i="2"/>
  <c r="L4" i="2"/>
  <c r="K4" i="2"/>
  <c r="J4" i="2"/>
  <c r="I4" i="2"/>
  <c r="H4" i="2"/>
  <c r="G4" i="2"/>
  <c r="F4" i="2"/>
  <c r="E4" i="2"/>
  <c r="D4" i="2"/>
  <c r="C4" i="2"/>
  <c r="BC3" i="2"/>
  <c r="BB3" i="2"/>
  <c r="BA3" i="2"/>
  <c r="AZ3" i="2"/>
  <c r="AY3" i="2"/>
  <c r="AV3" i="2"/>
  <c r="AS3" i="2"/>
  <c r="AQ3" i="2"/>
  <c r="AP3" i="2"/>
  <c r="AO3" i="2"/>
  <c r="AN3" i="2"/>
  <c r="AM3" i="2" a="1"/>
  <c r="AM3" i="2" s="1"/>
  <c r="AI3" i="2"/>
  <c r="AF3" i="2"/>
  <c r="Z3" i="2"/>
  <c r="S3" i="2"/>
  <c r="R3" i="2"/>
  <c r="Q3" i="2"/>
  <c r="P3" i="2"/>
  <c r="O3" i="2"/>
  <c r="N3" i="2"/>
  <c r="M3" i="2"/>
  <c r="L3" i="2"/>
  <c r="K3" i="2"/>
  <c r="J3" i="2"/>
  <c r="I3" i="2"/>
  <c r="H3" i="2"/>
  <c r="G3" i="2"/>
  <c r="F3" i="2"/>
  <c r="E3" i="2"/>
  <c r="D3" i="2"/>
  <c r="C3" i="2"/>
  <c r="BC2" i="2"/>
  <c r="BB2" i="2"/>
  <c r="BA2" i="2"/>
  <c r="AZ2" i="2"/>
  <c r="AY2" i="2"/>
  <c r="AV2" i="2"/>
  <c r="AS2" i="2"/>
  <c r="AQ2" i="2"/>
  <c r="AP2" i="2"/>
  <c r="AO2" i="2"/>
  <c r="AN2" i="2"/>
  <c r="AM2" i="2" a="1"/>
  <c r="AM2" i="2" s="1"/>
  <c r="AI2" i="2"/>
  <c r="AF2" i="2"/>
  <c r="Z2" i="2"/>
  <c r="S2" i="2"/>
  <c r="S9" i="2" s="1"/>
  <c r="D25" i="12" s="1"/>
  <c r="R2" i="2"/>
  <c r="R9" i="2" s="1"/>
  <c r="D24" i="12" s="1"/>
  <c r="Q2" i="2"/>
  <c r="P2" i="2"/>
  <c r="P9" i="2" s="1"/>
  <c r="D19" i="12" s="1"/>
  <c r="O2" i="2"/>
  <c r="O9" i="2" s="1"/>
  <c r="N2" i="2"/>
  <c r="N9" i="2" s="1"/>
  <c r="M2" i="2"/>
  <c r="M9" i="2" s="1"/>
  <c r="D16" i="12" s="1"/>
  <c r="I2" i="2" l="1"/>
  <c r="I9" i="2" s="1"/>
  <c r="D30" i="12" s="1"/>
  <c r="G45" i="2"/>
  <c r="D37" i="12" s="1"/>
  <c r="K9" i="2"/>
  <c r="D32" i="12" s="1"/>
  <c r="X659" i="10"/>
  <c r="F2" i="2"/>
  <c r="F9" i="2" s="1"/>
  <c r="D27" i="12" s="1"/>
  <c r="D17" i="12"/>
  <c r="E2" i="2"/>
  <c r="E9" i="2" s="1"/>
  <c r="D26" i="12" s="1"/>
  <c r="L2" i="2"/>
  <c r="L9" i="2" s="1"/>
  <c r="D33" i="12" s="1"/>
  <c r="D2" i="2"/>
  <c r="D9" i="2" s="1"/>
  <c r="D15" i="12" s="1"/>
  <c r="I51" i="10"/>
  <c r="J9" i="2"/>
  <c r="D31" i="12" s="1"/>
  <c r="L11" i="11"/>
  <c r="Q11" i="11" s="1"/>
  <c r="S11" i="11" s="1"/>
  <c r="L51" i="9"/>
  <c r="Q51" i="9" s="1"/>
  <c r="S51" i="9" s="1"/>
  <c r="B24" i="10"/>
  <c r="G24" i="10" s="1"/>
  <c r="I24" i="10" s="1"/>
  <c r="L62" i="10"/>
  <c r="Q62" i="10" s="1"/>
  <c r="L14" i="10"/>
  <c r="U14" i="10" s="1"/>
  <c r="Q14" i="10" s="1"/>
  <c r="S14" i="10" s="1"/>
  <c r="B9" i="10"/>
  <c r="G9" i="10" s="1"/>
  <c r="I9" i="10" s="1"/>
  <c r="B39" i="10"/>
  <c r="G39" i="10" s="1"/>
  <c r="L10" i="11"/>
  <c r="Q10" i="11" s="1"/>
  <c r="S10" i="11" s="1"/>
  <c r="L23" i="10"/>
  <c r="Q23" i="10" s="1"/>
  <c r="S23" i="10" s="1"/>
  <c r="L6" i="10"/>
  <c r="Q6" i="10" s="1"/>
  <c r="S6" i="10" s="1"/>
  <c r="C2" i="2"/>
  <c r="C9" i="2" s="1"/>
  <c r="D8" i="12" s="1"/>
  <c r="AB654" i="10"/>
  <c r="H2" i="2"/>
  <c r="H9" i="2" s="1"/>
  <c r="D29" i="12" s="1"/>
  <c r="AB655" i="10"/>
  <c r="L24" i="10" l="1"/>
  <c r="Q24" i="10" s="1"/>
  <c r="S24" i="10" s="1"/>
  <c r="B25" i="10"/>
  <c r="G25" i="10" s="1"/>
  <c r="I25" i="10" s="1"/>
  <c r="L7" i="10"/>
  <c r="Q7" i="10" s="1"/>
  <c r="S7" i="10" s="1"/>
  <c r="B10" i="10"/>
  <c r="G10" i="10" s="1"/>
  <c r="I10" i="10" s="1"/>
  <c r="L75" i="8"/>
  <c r="Q75" i="8" s="1"/>
  <c r="AB391" i="8" s="1"/>
  <c r="L17" i="10"/>
  <c r="U17" i="10" s="1"/>
  <c r="Q17" i="10" s="1"/>
  <c r="S17" i="10" s="1"/>
  <c r="L42" i="10"/>
  <c r="Q42" i="10" s="1"/>
  <c r="S42" i="10" s="1"/>
  <c r="L9" i="10"/>
  <c r="Q9" i="10" s="1"/>
  <c r="S9" i="10" s="1"/>
  <c r="L15" i="10"/>
  <c r="U15" i="10" s="1"/>
  <c r="Q15" i="10" s="1"/>
  <c r="S15" i="10" s="1"/>
  <c r="L10" i="10"/>
  <c r="U10" i="10" s="1"/>
  <c r="Q10" i="10" s="1"/>
  <c r="S10" i="10" s="1"/>
  <c r="L25" i="10"/>
  <c r="Q25" i="10" s="1"/>
  <c r="S25" i="10" s="1"/>
  <c r="L43" i="10"/>
  <c r="Q43" i="10" s="1"/>
  <c r="S43" i="10" s="1"/>
  <c r="S23" i="11"/>
  <c r="N27" i="11"/>
  <c r="B8" i="10"/>
  <c r="G8" i="10" s="1"/>
  <c r="I8" i="10" s="1"/>
  <c r="B6" i="10"/>
  <c r="G6" i="10" s="1"/>
  <c r="I6" i="10" s="1"/>
  <c r="B23" i="10"/>
  <c r="G23" i="10" s="1"/>
  <c r="I23" i="10" s="1"/>
  <c r="L13" i="10"/>
  <c r="U13" i="10" s="1"/>
  <c r="Q13" i="10" s="1"/>
  <c r="S13" i="10" s="1"/>
  <c r="S62" i="10"/>
  <c r="AC617" i="10" s="1"/>
  <c r="AA617" i="10"/>
  <c r="B11" i="10"/>
  <c r="G11" i="10" s="1"/>
  <c r="I11" i="10" s="1"/>
  <c r="L38" i="10"/>
  <c r="Q38" i="10" s="1"/>
  <c r="S38" i="10" s="1"/>
  <c r="L40" i="10"/>
  <c r="Q40" i="10" s="1"/>
  <c r="S40" i="10" s="1"/>
  <c r="L12" i="10"/>
  <c r="U12" i="10" s="1"/>
  <c r="Q12" i="10" s="1"/>
  <c r="S12" i="10" s="1"/>
  <c r="L39" i="10"/>
  <c r="Q39" i="10" s="1"/>
  <c r="S39" i="10" s="1"/>
  <c r="B7" i="10"/>
  <c r="G7" i="10" s="1"/>
  <c r="I7" i="10" s="1"/>
  <c r="L28" i="10"/>
  <c r="Q28" i="10" s="1"/>
  <c r="S28" i="10" s="1"/>
  <c r="L11" i="10"/>
  <c r="U11" i="10" s="1"/>
  <c r="Q11" i="10" s="1"/>
  <c r="S11" i="10" s="1"/>
  <c r="L52" i="9"/>
  <c r="Q52" i="9" s="1"/>
  <c r="S52" i="9" s="1"/>
  <c r="D68" i="9" s="1"/>
  <c r="B38" i="10"/>
  <c r="G38" i="10" s="1"/>
  <c r="L26" i="10"/>
  <c r="Q26" i="10" s="1"/>
  <c r="S26" i="10" s="1"/>
  <c r="L8" i="10"/>
  <c r="Q8" i="10" s="1"/>
  <c r="S8" i="10" s="1"/>
  <c r="L41" i="10"/>
  <c r="Q41" i="10" s="1"/>
  <c r="S41" i="10" s="1"/>
  <c r="L61" i="10"/>
  <c r="Q61" i="10" s="1"/>
  <c r="I34" i="10" l="1"/>
  <c r="S64" i="9"/>
  <c r="S19" i="10"/>
  <c r="S75" i="8"/>
  <c r="AD391" i="8" s="1"/>
  <c r="S34" i="10"/>
  <c r="N68" i="9"/>
  <c r="B3" i="2"/>
  <c r="N69" i="9"/>
  <c r="AA616" i="10"/>
  <c r="S61" i="10"/>
  <c r="U7" i="10"/>
  <c r="U8" i="10"/>
  <c r="I19" i="10"/>
  <c r="U6" i="10"/>
  <c r="B6" i="2"/>
  <c r="N47" i="11"/>
  <c r="N46" i="11"/>
  <c r="S51" i="10"/>
  <c r="S87" i="8" l="1"/>
  <c r="AD403" i="8" s="1"/>
  <c r="D91" i="8"/>
  <c r="N91" i="8" s="1"/>
  <c r="M52" i="11"/>
  <c r="U6" i="2" s="1"/>
  <c r="D77" i="10"/>
  <c r="AC616" i="10"/>
  <c r="S73" i="10"/>
  <c r="AC628" i="10" s="1"/>
  <c r="T3" i="2"/>
  <c r="M74" i="9"/>
  <c r="U3" i="2" s="1"/>
  <c r="BI23" i="2" a="1"/>
  <c r="BI23" i="2" s="1"/>
  <c r="BI24" i="2" a="1"/>
  <c r="BI24" i="2" s="1"/>
  <c r="B4" i="2"/>
  <c r="C53" i="4"/>
  <c r="N51" i="11"/>
  <c r="N73" i="9"/>
  <c r="C51" i="4"/>
  <c r="Y429" i="8" l="1"/>
  <c r="N92" i="8"/>
  <c r="T4" i="2" s="1"/>
  <c r="Q6" i="2"/>
  <c r="Q9" i="2" s="1"/>
  <c r="D41" i="12" s="1"/>
  <c r="M97" i="8"/>
  <c r="Y448" i="8"/>
  <c r="Y447" i="8"/>
  <c r="C50" i="4"/>
  <c r="N96" i="8"/>
  <c r="R71" i="9"/>
  <c r="E51" i="4"/>
  <c r="R49" i="11"/>
  <c r="E53" i="4"/>
  <c r="X654" i="10"/>
  <c r="N78" i="10"/>
  <c r="N77" i="10"/>
  <c r="B2" i="2"/>
  <c r="B9" i="2" s="1"/>
  <c r="D7" i="12" s="1"/>
  <c r="C52" i="4" l="1"/>
  <c r="X672" i="10"/>
  <c r="N82" i="10"/>
  <c r="T2" i="2"/>
  <c r="T9" i="2" s="1"/>
  <c r="D40" i="12" s="1"/>
  <c r="X673" i="10"/>
  <c r="M83" i="10"/>
  <c r="R48" i="11"/>
  <c r="H53" i="4" s="1"/>
  <c r="R47" i="11"/>
  <c r="G53" i="4" s="1"/>
  <c r="V6" i="2"/>
  <c r="R70" i="9"/>
  <c r="H51" i="4" s="1"/>
  <c r="V3" i="2"/>
  <c r="R69" i="9"/>
  <c r="G51" i="4" s="1"/>
  <c r="E50" i="4"/>
  <c r="R94" i="8"/>
  <c r="U4" i="2"/>
  <c r="X452" i="8"/>
  <c r="V4" i="2" l="1"/>
  <c r="AC450" i="8"/>
  <c r="R93" i="8"/>
  <c r="R92" i="8"/>
  <c r="U2" i="2"/>
  <c r="U9" i="2" s="1"/>
  <c r="W677" i="10"/>
  <c r="R80" i="10"/>
  <c r="E52" i="4"/>
  <c r="V2" i="2" l="1"/>
  <c r="V9" i="2" s="1"/>
  <c r="R79" i="10"/>
  <c r="R78" i="10"/>
  <c r="AB675" i="10"/>
  <c r="G50" i="4"/>
  <c r="AC448" i="8"/>
  <c r="H50" i="4"/>
  <c r="AC449" i="8"/>
  <c r="AB673" i="10" l="1"/>
  <c r="G52" i="4"/>
  <c r="AB674" i="10"/>
  <c r="H5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tc={70F4E732-5541-46C8-A184-19576185EC2B}</author>
  </authors>
  <commentList>
    <comment ref="C50" authorId="0" shapeId="0" xr:uid="{70F4E732-5541-46C8-A184-19576185EC2B}">
      <text>
        <t>[Threaded comment]
Your version of Excel allows you to read this threaded comment; however, any edits to it will get removed if the file is opened in a newer version of Excel. Learn more: https://go.microsoft.com/fwlink/?linkid=870924
Comment:
    Should pull from “SW Tab Total”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Amber Strand</author>
    <author>tc={E884DD1A-055C-4F4C-A43D-52F1F92DAB69}</author>
  </authors>
  <commentList>
    <comment ref="H79" authorId="0" shapeId="0" xr:uid="{A2ED9E45-9747-42E9-807E-00D9C7196393}">
      <text>
        <r>
          <rPr>
            <sz val="11"/>
            <color indexed="81"/>
            <rFont val="Calibri"/>
            <family val="2"/>
          </rPr>
          <t>$350 per flight one way, plus $70 luggage fee</t>
        </r>
      </text>
    </comment>
    <comment ref="H80" authorId="0" shapeId="0" xr:uid="{60AE4EAF-1566-4EF7-A896-CF7A58A66A5C}">
      <text>
        <r>
          <rPr>
            <sz val="11"/>
            <color indexed="81"/>
            <rFont val="Calibri"/>
            <family val="2"/>
          </rPr>
          <t>Use $180/room per day. Assume 2 per room except for Super.</t>
        </r>
      </text>
    </comment>
    <comment ref="Q91" authorId="1" shapeId="0" xr:uid="{E884DD1A-055C-4F4C-A43D-52F1F92DAB69}">
      <text>
        <t xml:space="preserve">[Threaded comment]
Your version of Excel allows you to read this threaded comment; however, any edits to it will get removed if the file is opened in a newer version of Excel. Learn more: https://go.microsoft.com/fwlink/?linkid=870924
Comment:
    Should populate to/from PO tab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Amber Strand</author>
  </authors>
  <commentList>
    <comment ref="Q5" authorId="0" shapeId="0" xr:uid="{DF039805-9C8E-4494-9E01-A8C00F6724A5}">
      <text>
        <r>
          <rPr>
            <b/>
            <sz val="9"/>
            <color indexed="81"/>
            <rFont val="Tahoma"/>
            <family val="2"/>
          </rPr>
          <t>NOTE:
Pigmented kit prices will initially be higher as you cannot order less than a pint of pigment</t>
        </r>
      </text>
    </comment>
    <comment ref="H65" authorId="0" shapeId="0" xr:uid="{82E9C6D8-1591-4FF3-93DE-E0E0C557E973}">
      <text>
        <r>
          <rPr>
            <sz val="11"/>
            <color indexed="81"/>
            <rFont val="Calibri"/>
            <family val="2"/>
          </rPr>
          <t>$350 per flight one way, plus $70 luggage fee</t>
        </r>
      </text>
    </comment>
    <comment ref="H66" authorId="0" shapeId="0" xr:uid="{2B2DAB6F-19D2-4743-9897-C046E9AFF03D}">
      <text>
        <r>
          <rPr>
            <sz val="11"/>
            <color indexed="81"/>
            <rFont val="Calibri"/>
            <family val="2"/>
          </rPr>
          <t>Use $180/room per day. 2 per room, except for Super.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Amber Strand</author>
  </authors>
  <commentList>
    <comment ref="H56" authorId="0" shapeId="0" xr:uid="{6FD693DE-4882-441A-BCA0-96ECFCF7F2F7}">
      <text>
        <r>
          <rPr>
            <sz val="11"/>
            <color indexed="81"/>
            <rFont val="Calibri"/>
            <family val="2"/>
            <scheme val="minor"/>
          </rPr>
          <t>$350 per flight one way, plus $70 luggage fee</t>
        </r>
      </text>
    </comment>
    <comment ref="H57" authorId="0" shapeId="0" xr:uid="{C706900F-D64E-4884-8504-21E4B720406B}">
      <text>
        <r>
          <rPr>
            <sz val="11"/>
            <color indexed="81"/>
            <rFont val="Calibri"/>
            <family val="2"/>
            <scheme val="minor"/>
          </rPr>
          <t>use $85/man per day. Please use even number for crew size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D330B-7D14-4189-8BC1-D59BCF38C985}"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3100AD58-D602-4FB5-AC8A-D11974DBF417}" keepAlive="1" name="Query - BLANK" description="Connection to the 'BLANK' query in the workbook." type="5" refreshedVersion="0" background="1">
    <dbPr connection="Provider=Microsoft.Mashup.OleDb.1;Data Source=$Workbook$;Location=BLANK;Extended Properties=&quot;&quot;" command="SELECT * FROM [BLANK]"/>
  </connection>
  <connection id="3" xr16:uid="{1EEBAB77-85E0-4078-AAD2-AC186442EA5E}" keepAlive="1" name="Query - BLANKADDS" description="Connection to the 'BLANKADDS' query in the workbook." type="5" refreshedVersion="0" background="1">
    <dbPr connection="Provider=Microsoft.Mashup.OleDb.1;Data Source=$Workbook$;Location=BLANKADDS;Extended Properties=&quot;&quot;" command="SELECT * FROM [BLANKADDS]"/>
  </connection>
  <connection id="4" xr16:uid="{3EB8C210-A89D-49C8-BCC1-BC36E9BE854C}" keepAlive="1" interval="1" name="Query - Pack List" description="Connection to the 'Pack List' query in the workbook." type="5" refreshedVersion="8" background="1" refreshOnLoad="1" saveData="1">
    <dbPr connection="Provider=Microsoft.Mashup.OleDb.1;Data Source=$Workbook$;Location=&quot;Pack List&quot;;Extended Properties=&quot;&quot;" command="SELECT * FROM [Pack List]"/>
  </connection>
  <connection id="5" xr16:uid="{696F9EEC-80B8-4C77-98B6-704DB59EF7CA}" keepAlive="1" interval="1" name="Query - PO Summary" description="Connection to the 'PO Summary' query in the workbook." type="5" refreshedVersion="8" background="1" refreshOnLoad="1" saveData="1">
    <dbPr connection="Provider=Microsoft.Mashup.OleDb.1;Data Source=$Workbook$;Location=&quot;PO Summary&quot;;Extended Properties=&quot;&quot;" command="SELECT * FROM [PO Summary]"/>
  </connection>
  <connection id="6" xr16:uid="{B5630A3C-E697-4B60-9018-208E8133E67D}" keepAlive="1" interval="1" name="Query - PO Summary (2)" description="Connection to the 'PO Summary (2)' query in the workbook." type="5" refreshedVersion="8" background="1" refreshOnLoad="1" saveData="1">
    <dbPr connection="Provider=Microsoft.Mashup.OleDb.1;Data Source=$Workbook$;Location=&quot;PO Summary (2)&quot;;Extended Properties=&quot;&quot;" command="SELECT * FROM [PO Summary (2)]"/>
  </connection>
  <connection id="7" xr16:uid="{7D5A51C9-22C3-4907-92D3-14C2E8595780}" keepAlive="1" interval="1" name="Query - PO Summary (3)" description="Connection to the 'PO Summary (3)' query in the workbook." type="5" refreshedVersion="8" background="1" refreshOnLoad="1" saveData="1">
    <dbPr connection="Provider=Microsoft.Mashup.OleDb.1;Data Source=$Workbook$;Location=&quot;PO Summary (3)&quot;;Extended Properties=&quot;&quot;" command="SELECT * FROM [PO Summary (3)]"/>
  </connection>
  <connection id="8" xr16:uid="{22120BD7-5441-4010-8AA1-B42B89C78AA7}" keepAlive="1" name="Query - RIOADDS" description="Connection to the 'RIOADDS' query in the workbook." type="5" refreshedVersion="0" background="1">
    <dbPr connection="Provider=Microsoft.Mashup.OleDb.1;Data Source=$Workbook$;Location=RIOADDS;Extended Properties=&quot;&quot;" command="SELECT * FROM [RIOADDS]"/>
  </connection>
  <connection id="9" xr16:uid="{5744DFDA-15DA-4E92-B9A1-F87D44F003E5}" keepAlive="1" name="Query - RIOCOLOR" description="Connection to the 'RIOCOLOR' query in the workbook." type="5" refreshedVersion="0" background="1">
    <dbPr connection="Provider=Microsoft.Mashup.OleDb.1;Data Source=$Workbook$;Location=RIOCOLOR;Extended Properties=&quot;&quot;" command="SELECT * FROM [RIOCOLOR]"/>
  </connection>
  <connection id="10" xr16:uid="{2122EDDE-A0AD-42A1-A5FC-273458A38E41}" keepAlive="1" name="Query - RIOEPOXY" description="Connection to the 'RIOEPOXY' query in the workbook." type="5" refreshedVersion="0" background="1">
    <dbPr connection="Provider=Microsoft.Mashup.OleDb.1;Data Source=$Workbook$;Location=RIOEPOXY;Extended Properties=&quot;&quot;" command="SELECT * FROM [RIOEPOXY]"/>
  </connection>
  <connection id="11" xr16:uid="{1A833735-E302-431F-9466-EA7C5B54B69A}" keepAlive="1" name="Query - RIOLABOR" description="Connection to the 'RIOLABOR' query in the workbook." type="5" refreshedVersion="0" background="1">
    <dbPr connection="Provider=Microsoft.Mashup.OleDb.1;Data Source=$Workbook$;Location=RIOLABOR;Extended Properties=&quot;&quot;" command="SELECT * FROM [RIOLABOR]"/>
  </connection>
  <connection id="12" xr16:uid="{E77EED5A-0001-4C3C-8568-AB7EAFCEC98F}" keepAlive="1" name="Query - RIOMMA" description="Connection to the 'RIOMMA' query in the workbook." type="5" refreshedVersion="0" background="1">
    <dbPr connection="Provider=Microsoft.Mashup.OleDb.1;Data Source=$Workbook$;Location=RIOMMA;Extended Properties=&quot;&quot;" command="SELECT * FROM [RIOMMA]"/>
  </connection>
  <connection id="13" xr16:uid="{9D85E9A7-6995-4526-BEFE-BB1856F10B1C}" keepAlive="1" name="Query - RIOPOLY" description="Connection to the 'RIOPOLY' query in the workbook." type="5" refreshedVersion="0" background="1">
    <dbPr connection="Provider=Microsoft.Mashup.OleDb.1;Data Source=$Workbook$;Location=RIOPOLY;Extended Properties=&quot;&quot;" command="SELECT * FROM [RIOPOLY]"/>
  </connection>
  <connection id="14" xr16:uid="{6E384B71-C455-46FC-A744-36B3AB0E2EBD}" keepAlive="1" name="Query - SIKAADDS" description="Connection to the 'SIKAADDS' query in the workbook." type="5" refreshedVersion="0" background="1">
    <dbPr connection="Provider=Microsoft.Mashup.OleDb.1;Data Source=$Workbook$;Location=SIKAADDS;Extended Properties=&quot;&quot;" command="SELECT * FROM [SIKAADDS]"/>
  </connection>
  <connection id="15" xr16:uid="{EEB96D04-DA7B-4A7E-AB2B-4C4E03121AA1}" keepAlive="1" name="Query - SIKAAGG" description="Connection to the 'SIKAAGG' query in the workbook." type="5" refreshedVersion="0" background="1">
    <dbPr connection="Provider=Microsoft.Mashup.OleDb.1;Data Source=$Workbook$;Location=SIKAAGG;Extended Properties=&quot;&quot;" command="SELECT * FROM [SIKAAGG]"/>
  </connection>
  <connection id="16" xr16:uid="{A81C276C-E821-4311-990D-29036C4BE7CD}" keepAlive="1" name="Query - SIKACOLOR" description="Connection to the 'SIKACOLOR' query in the workbook." type="5" refreshedVersion="0" background="1">
    <dbPr connection="Provider=Microsoft.Mashup.OleDb.1;Data Source=$Workbook$;Location=SIKACOLOR;Extended Properties=&quot;&quot;" command="SELECT * FROM [SIKACOLOR]"/>
  </connection>
  <connection id="17" xr16:uid="{2014ED7F-5DB4-4450-812F-8468503E6523}" keepAlive="1" name="Query - SIKACRETE" description="Connection to the 'SIKACRETE' query in the workbook." type="5" refreshedVersion="0" background="1">
    <dbPr connection="Provider=Microsoft.Mashup.OleDb.1;Data Source=$Workbook$;Location=SIKACRETE;Extended Properties=&quot;&quot;" command="SELECT * FROM [SIKACRETE]"/>
  </connection>
  <connection id="18" xr16:uid="{C6EBAE7E-5D3F-4D50-9322-1CCC27E73BA7}" keepAlive="1" name="Query - SIKAEPOXY" description="Connection to the 'SIKAEPOXY' query in the workbook." type="5" refreshedVersion="0" background="1">
    <dbPr connection="Provider=Microsoft.Mashup.OleDb.1;Data Source=$Workbook$;Location=SIKAEPOXY;Extended Properties=&quot;&quot;" command="SELECT * FROM [SIKAEPOXY]"/>
  </connection>
  <connection id="19" xr16:uid="{B94CF125-0BD9-43D9-B0ED-97B6990D5EBE}" keepAlive="1" name="Query - SIKAPOLY" description="Connection to the 'SIKAPOLY' query in the workbook." type="5" refreshedVersion="0" background="1">
    <dbPr connection="Provider=Microsoft.Mashup.OleDb.1;Data Source=$Workbook$;Location=SIKAPOLY;Extended Properties=&quot;&quot;" command="SELECT * FROM [SIKAPOLY]"/>
  </connection>
  <connection id="20" xr16:uid="{A7ADC64B-BDDD-4929-988A-E572A81DED69}" keepAlive="1" name="Query - SIKAPRIME" description="Connection to the 'SIKAPRIME' query in the workbook." type="5" refreshedVersion="0" background="1">
    <dbPr connection="Provider=Microsoft.Mashup.OleDb.1;Data Source=$Workbook$;Location=SIKAPRIME;Extended Properties=&quot;&quot;" command="SELECT * FROM [SIKAPRIME]"/>
  </connection>
  <connection id="21" xr16:uid="{7644AB08-D9F1-411E-BF3E-6CBFD7EDC417}" keepAlive="1" name="Query - SWADDS" description="Connection to the 'SWADDS' query in the workbook." type="5" refreshedVersion="0" background="1">
    <dbPr connection="Provider=Microsoft.Mashup.OleDb.1;Data Source=$Workbook$;Location=SWADDS;Extended Properties=&quot;&quot;" command="SELECT * FROM [SWADDS]"/>
  </connection>
  <connection id="22" xr16:uid="{014712B8-CAD5-48BB-AAC4-3BBBBC616282}" keepAlive="1" name="Query - SWAGG" description="Connection to the 'SWAGG' query in the workbook." type="5" refreshedVersion="0" background="1">
    <dbPr connection="Provider=Microsoft.Mashup.OleDb.1;Data Source=$Workbook$;Location=SWAGG;Extended Properties=&quot;&quot;" command="SELECT * FROM [SWAGG]"/>
  </connection>
  <connection id="23" xr16:uid="{564D2CE6-FDBC-4944-9E44-B14459F43EA6}" keepAlive="1" name="Query - SWCRETE" description="Connection to the 'SWCRETE' query in the workbook." type="5" refreshedVersion="0" background="1">
    <dbPr connection="Provider=Microsoft.Mashup.OleDb.1;Data Source=$Workbook$;Location=SWCRETE;Extended Properties=&quot;&quot;" command="SELECT * FROM [SWCRETE]"/>
  </connection>
  <connection id="24" xr16:uid="{4AC17445-C16A-4E79-A0E8-9886024D3F26}" keepAlive="1" name="Query - SWEPOXY" description="Connection to the 'SWEPOXY' query in the workbook." type="5" refreshedVersion="0" background="1">
    <dbPr connection="Provider=Microsoft.Mashup.OleDb.1;Data Source=$Workbook$;Location=SWEPOXY;Extended Properties=&quot;&quot;" command="SELECT * FROM [SWEPOXY]"/>
  </connection>
  <connection id="25" xr16:uid="{1116FB40-410C-4F64-A0F1-9C7CA8EE07F5}" keepAlive="1" name="Query - SWLABOR" description="Connection to the 'SWLABOR' query in the workbook." type="5" refreshedVersion="0" background="1">
    <dbPr connection="Provider=Microsoft.Mashup.OleDb.1;Data Source=$Workbook$;Location=SWLABOR;Extended Properties=&quot;&quot;" command="SELECT * FROM [SWLABOR]"/>
  </connection>
  <connection id="26" xr16:uid="{BC25FFF5-759F-4556-8AB3-10DED491650F}" keepAlive="1" name="Query - SWMMA" description="Connection to the 'SWMMA' query in the workbook." type="5" refreshedVersion="0" background="1">
    <dbPr connection="Provider=Microsoft.Mashup.OleDb.1;Data Source=$Workbook$;Location=SWMMA;Extended Properties=&quot;&quot;" command="SELECT * FROM [SWMMA]"/>
  </connection>
  <connection id="27" xr16:uid="{F940837D-F9AC-427A-B150-0D916A2183AF}" keepAlive="1" name="Query - SWPATCH" description="Connection to the 'SWPATCH' query in the workbook." type="5" refreshedVersion="0" background="1">
    <dbPr connection="Provider=Microsoft.Mashup.OleDb.1;Data Source=$Workbook$;Location=SWPATCH;Extended Properties=&quot;&quot;" command="SELECT * FROM [SWPATCH]"/>
  </connection>
  <connection id="28" xr16:uid="{84C0A7AF-171C-4448-AFA1-643DA58D9C97}" keepAlive="1" name="Query - SWPOLY" description="Connection to the 'SWPOLY' query in the workbook." type="5" refreshedVersion="0" background="1">
    <dbPr connection="Provider=Microsoft.Mashup.OleDb.1;Data Source=$Workbook$;Location=SWPOLY;Extended Properties=&quot;&quot;" command="SELECT * FROM [SWPOLY]"/>
  </connection>
  <connection id="29" xr16:uid="{91C32ADB-FC1C-4A55-B716-49D3797BC140}" keepAlive="1" name="Query - SWPRIME" description="Connection to the 'SWPRIME' query in the workbook." type="5" refreshedVersion="0" background="1">
    <dbPr connection="Provider=Microsoft.Mashup.OleDb.1;Data Source=$Workbook$;Location=SWPRIME;Extended Properties=&quot;&quot;" command="SELECT * FROM [SWPRIME]"/>
  </connection>
  <connection id="30" xr16:uid="{8A0A1FD1-6875-4752-BB33-F511EA33848B}" keepAlive="1" name="Query - SWURETHANE" description="Connection to the 'SWURETHANE' query in the workbook." type="5" refreshedVersion="0" background="1">
    <dbPr connection="Provider=Microsoft.Mashup.OleDb.1;Data Source=$Workbook$;Location=SWURETHANE;Extended Properties=&quot;&quot;" command="SELECT * FROM [SWURETHANE]"/>
  </connection>
  <connection id="31" xr16:uid="{010F3E46-91F2-422D-9AEA-105BBBC4212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2" xr16:uid="{8A165131-B372-4455-92AE-1EC8B801923D}" keepAlive="1" name="Query - Table21" description="Connection to the 'Table21' query in the workbook." type="5" refreshedVersion="0" background="1">
    <dbPr connection="Provider=Microsoft.Mashup.OleDb.1;Data Source=$Workbook$;Location=Table21;Extended Properties=&quot;&quot;" command="SELECT * FROM [Table21]"/>
  </connection>
  <connection id="33" xr16:uid="{4D86B216-9608-48F7-B208-4525BD28BDF6}" keepAlive="1" name="Query - Table22" description="Connection to the 'Table22' query in the workbook." type="5" refreshedVersion="0" background="1">
    <dbPr connection="Provider=Microsoft.Mashup.OleDb.1;Data Source=$Workbook$;Location=Table22;Extended Properties=&quot;&quot;" command="SELECT * FROM [Table2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1"/>
        </ext>
      </extLst>
    </bk>
    <bk>
      <extLst>
        <ext uri="{3e2802c4-a4d2-4d8b-9148-e3be6c30e623}">
          <xlrd:rvb i="3"/>
        </ext>
      </extLst>
    </bk>
    <bk>
      <extLst>
        <ext uri="{3e2802c4-a4d2-4d8b-9148-e3be6c30e623}">
          <xlrd:rvb i="4"/>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<sst xmlns="http://schemas.openxmlformats.org/spreadsheetml/2006/main" count="7440" uniqueCount="1094">
  <si>
    <t>1-100 MATERIALS</t>
  </si>
  <si>
    <t>2-100 LABOR</t>
  </si>
  <si>
    <t>4-100 SUBCONTRACTOR</t>
  </si>
  <si>
    <t>7-100 AIRLINE EXPENSES</t>
  </si>
  <si>
    <t>7-200 HOTEL EXPENSES</t>
  </si>
  <si>
    <t>7-300 AUTO RENTAL</t>
  </si>
  <si>
    <t>7-400 MILEAGE/FUEL EXPENSE</t>
  </si>
  <si>
    <t>7-600 PARKING / TOLLS</t>
  </si>
  <si>
    <t>7-750 PER DIEM (TRAVEL DAYS)</t>
  </si>
  <si>
    <t>7-760 PER DIEM (WORK DAYS)</t>
  </si>
  <si>
    <t>7-770 TRAVEL PAY</t>
  </si>
  <si>
    <t>5-000 OTHER COSTS</t>
  </si>
  <si>
    <t>5-100 FREIGHT</t>
  </si>
  <si>
    <t>5-100 RETURN FREIGHT</t>
  </si>
  <si>
    <t>5-300 RENTALS</t>
  </si>
  <si>
    <t>5-900 MISC. EXPENSES</t>
  </si>
  <si>
    <t>Total</t>
  </si>
  <si>
    <t>RIO</t>
  </si>
  <si>
    <t>SIKA</t>
  </si>
  <si>
    <t>SW</t>
  </si>
  <si>
    <t>BLANK</t>
  </si>
  <si>
    <t>POLISH</t>
  </si>
  <si>
    <t>Product #</t>
  </si>
  <si>
    <t>Description</t>
  </si>
  <si>
    <t>Cost</t>
  </si>
  <si>
    <t>Unit Size</t>
  </si>
  <si>
    <t>Weight</t>
  </si>
  <si>
    <t>Color</t>
  </si>
  <si>
    <t>B:B</t>
  </si>
  <si>
    <t>C:C</t>
  </si>
  <si>
    <t>D:D</t>
  </si>
  <si>
    <t>L:L</t>
  </si>
  <si>
    <t>M:M</t>
  </si>
  <si>
    <t>N:N</t>
  </si>
  <si>
    <t>Total Qty</t>
  </si>
  <si>
    <t>SGC Crete A - 5 gal</t>
  </si>
  <si>
    <t>SGC Crete B - 5 gal</t>
  </si>
  <si>
    <t>SGC Crete A - 50 gal</t>
  </si>
  <si>
    <t>SGC Crete B - 50 gal</t>
  </si>
  <si>
    <t>SL - Part C</t>
  </si>
  <si>
    <t>SF - Part C</t>
  </si>
  <si>
    <t>CB - Part C</t>
  </si>
  <si>
    <t>TC - Part C</t>
  </si>
  <si>
    <t xml:space="preserve">SGC Speed </t>
  </si>
  <si>
    <t>S-GCA-5</t>
  </si>
  <si>
    <t>S-GCB-5</t>
  </si>
  <si>
    <t>S-GCA-50</t>
  </si>
  <si>
    <t>S-GCB-50</t>
  </si>
  <si>
    <t>R-CSL-1</t>
  </si>
  <si>
    <t>R-CSF-1</t>
  </si>
  <si>
    <t>R-CCB-1</t>
  </si>
  <si>
    <t>R-CTC-1</t>
  </si>
  <si>
    <t>S-SCS-1</t>
  </si>
  <si>
    <t>S-QBS-1</t>
  </si>
  <si>
    <t>S-QMT-1</t>
  </si>
  <si>
    <t>S-QSM-1</t>
  </si>
  <si>
    <t>S-QSA-1</t>
  </si>
  <si>
    <t>R-S20-1</t>
  </si>
  <si>
    <t>R-A60-1</t>
  </si>
  <si>
    <t>Ash Flake</t>
  </si>
  <si>
    <t>20/40 Silica Sand</t>
  </si>
  <si>
    <t>#60 Grit Clear White Alu Oxide</t>
  </si>
  <si>
    <t>Ash</t>
  </si>
  <si>
    <t>Malt</t>
  </si>
  <si>
    <t>Gray</t>
  </si>
  <si>
    <t>Solid Smoke</t>
  </si>
  <si>
    <t>NP-1</t>
  </si>
  <si>
    <t>NP-1 Tubes</t>
  </si>
  <si>
    <t>Aluminum Gray</t>
  </si>
  <si>
    <t>Tube</t>
  </si>
  <si>
    <t>Bag</t>
  </si>
  <si>
    <t>40lb bag</t>
  </si>
  <si>
    <t>50lb bag</t>
  </si>
  <si>
    <t>5 gal</t>
  </si>
  <si>
    <t>Drum</t>
  </si>
  <si>
    <t>20lb bag</t>
  </si>
  <si>
    <t>35lb bag</t>
  </si>
  <si>
    <t>28lb bag</t>
  </si>
  <si>
    <t>6.5 lb bag</t>
  </si>
  <si>
    <t>32 oz</t>
  </si>
  <si>
    <t>R-EPT-3</t>
  </si>
  <si>
    <t>RIO Coat EPT 3 Gal Kit</t>
  </si>
  <si>
    <t>R-EPT-15</t>
  </si>
  <si>
    <t>RIO Coat EPT 15 Gal Kit</t>
  </si>
  <si>
    <t>ROAD10600</t>
  </si>
  <si>
    <t>Roadware 10 Minute Concrete Mender 600ML</t>
  </si>
  <si>
    <t>3 gal kit</t>
  </si>
  <si>
    <t>15 gal</t>
  </si>
  <si>
    <t>S-DEB-5</t>
  </si>
  <si>
    <t>SGC Deck Base Coat 308 Kit (4:1)</t>
  </si>
  <si>
    <t>S-SPS-2.5</t>
  </si>
  <si>
    <t>S-SPS-25</t>
  </si>
  <si>
    <t>R-MMB-5</t>
  </si>
  <si>
    <t>SGC Shield Body Coat 5 Gal</t>
  </si>
  <si>
    <t>R-MMB-50</t>
  </si>
  <si>
    <t>SGC Shield Body Coat 50 Gal</t>
  </si>
  <si>
    <t>R-MMT-5</t>
  </si>
  <si>
    <t>SGC Shield Topcoat 5 Gal</t>
  </si>
  <si>
    <t>R-MMT-50</t>
  </si>
  <si>
    <t>SGC Shield Topcoat 50 Gal</t>
  </si>
  <si>
    <t>R-MBP-10</t>
  </si>
  <si>
    <t>SGC MMA BPO Catalyst 10 lbs</t>
  </si>
  <si>
    <t>R-MMC-5</t>
  </si>
  <si>
    <t>SGC Coat MMA Cleaner 5 Gal</t>
  </si>
  <si>
    <t>2.5 gal kit</t>
  </si>
  <si>
    <t>25 gal kit</t>
  </si>
  <si>
    <t>50 gal</t>
  </si>
  <si>
    <t>10lb box</t>
  </si>
  <si>
    <t>JS4U</t>
  </si>
  <si>
    <t>JS4C</t>
  </si>
  <si>
    <t>600UV Joint Filler</t>
  </si>
  <si>
    <t>600UV Joint Filler Pigment</t>
  </si>
  <si>
    <t>R-CBG-1</t>
  </si>
  <si>
    <t>RIO Battleship Gray</t>
  </si>
  <si>
    <t>Pint</t>
  </si>
  <si>
    <t>Pack</t>
  </si>
  <si>
    <t>Box</t>
  </si>
  <si>
    <t>R-CBG-25</t>
  </si>
  <si>
    <t>25 Pint</t>
  </si>
  <si>
    <t>R-CBK-1</t>
  </si>
  <si>
    <t>RIO Black Colorant</t>
  </si>
  <si>
    <t>R-CMG-1</t>
  </si>
  <si>
    <t>R-CMG-25</t>
  </si>
  <si>
    <t>R-CRR-1</t>
  </si>
  <si>
    <t>R-CSB-1</t>
  </si>
  <si>
    <t>R-CTR-1</t>
  </si>
  <si>
    <t>R-CYL-1</t>
  </si>
  <si>
    <t>RIO Yellow Colorant</t>
  </si>
  <si>
    <t>RIO Tile Red Colorant</t>
  </si>
  <si>
    <t>RIO Sandy Beige Colorant</t>
  </si>
  <si>
    <t>RIO Rotunda Red Colorant</t>
  </si>
  <si>
    <t>RIO Medium Gray Colorant</t>
  </si>
  <si>
    <t>R-ETM-C50</t>
  </si>
  <si>
    <t>RIO Trowel Clad Sand</t>
  </si>
  <si>
    <t>R-UHW-6</t>
  </si>
  <si>
    <t>R-UHW-1.5</t>
  </si>
  <si>
    <t>RIO Urethane High Wear Kit</t>
  </si>
  <si>
    <t>6 Gal</t>
  </si>
  <si>
    <t>1.5 Gal</t>
  </si>
  <si>
    <t>SGC Ash Trowel Quartz</t>
  </si>
  <si>
    <t>S-CBG-1</t>
  </si>
  <si>
    <t>S-CPG-1</t>
  </si>
  <si>
    <t>S-CST-25</t>
  </si>
  <si>
    <t>S-CST-1</t>
  </si>
  <si>
    <t>SGC Saddle Tan Colorant</t>
  </si>
  <si>
    <t>SGC Polyaspartic Gray Colorant</t>
  </si>
  <si>
    <t>SGC Polyaspartic Battleship Gray Colorant</t>
  </si>
  <si>
    <t>S-GRY-1</t>
  </si>
  <si>
    <t>SGC Gray Pigment</t>
  </si>
  <si>
    <t>S-GRY-25</t>
  </si>
  <si>
    <t>S-QST-1</t>
  </si>
  <si>
    <t>Currency:</t>
  </si>
  <si>
    <t>USD</t>
  </si>
  <si>
    <t>ACTIVITY</t>
  </si>
  <si>
    <t>MEN</t>
  </si>
  <si>
    <t>COST / DAY</t>
  </si>
  <si>
    <t>EXTENSION</t>
  </si>
  <si>
    <t>Standby Days</t>
  </si>
  <si>
    <t>Subcontractor Work Order</t>
  </si>
  <si>
    <t>Airline Expenses</t>
  </si>
  <si>
    <t>Hotel Expenses</t>
  </si>
  <si>
    <t>Auto Rental</t>
  </si>
  <si>
    <t>Mileage/Fuel Expense</t>
  </si>
  <si>
    <t>Parking / Tolls</t>
  </si>
  <si>
    <t>Per Diem for Travel Days Only</t>
  </si>
  <si>
    <t>Per Diem for Work Days Only</t>
  </si>
  <si>
    <t>Contingency</t>
  </si>
  <si>
    <t>TOTAL</t>
  </si>
  <si>
    <t>COST ALLOCATION</t>
  </si>
  <si>
    <t>MATERIAL / LABOR</t>
  </si>
  <si>
    <t>SUMMARY</t>
  </si>
  <si>
    <t xml:space="preserve">TAX AND TOTAL </t>
  </si>
  <si>
    <t>MARK UP</t>
  </si>
  <si>
    <t>SUBTOTAL</t>
  </si>
  <si>
    <t>MARK UP %</t>
  </si>
  <si>
    <t>GROSS PROFIT %</t>
  </si>
  <si>
    <t>TOTAL PROJECT COST</t>
  </si>
  <si>
    <t>WARRANTY MARKUP ( 0.7% )</t>
  </si>
  <si>
    <t>MARK UP $</t>
  </si>
  <si>
    <t>Malt Quartz</t>
  </si>
  <si>
    <t>WEIGHT</t>
  </si>
  <si>
    <t>PRODUCT</t>
  </si>
  <si>
    <t>UOM</t>
  </si>
  <si>
    <t>QTY</t>
  </si>
  <si>
    <t>UNIT RATE</t>
  </si>
  <si>
    <t>PROD #</t>
  </si>
  <si>
    <t>S-AST-1</t>
  </si>
  <si>
    <t>Gray (Smoke) Quartz</t>
  </si>
  <si>
    <t>Ash Quartz</t>
  </si>
  <si>
    <t>Gray (Smoke) Trowel Quartz</t>
  </si>
  <si>
    <t>JS4U-SG</t>
  </si>
  <si>
    <t>RS88</t>
  </si>
  <si>
    <t>R-MMP-5</t>
  </si>
  <si>
    <t>RS88 Standard Gray</t>
  </si>
  <si>
    <t>JS4U-GA</t>
  </si>
  <si>
    <t>TAX %</t>
  </si>
  <si>
    <t>QUOTED RATE</t>
  </si>
  <si>
    <t>Cost Code</t>
  </si>
  <si>
    <t>1-100</t>
  </si>
  <si>
    <t>Polymer Materials</t>
  </si>
  <si>
    <t>2-100</t>
  </si>
  <si>
    <t>In house Labor</t>
  </si>
  <si>
    <t>2-200</t>
  </si>
  <si>
    <t>Payroll Taxes</t>
  </si>
  <si>
    <t>2-200 through 2-700 will be included in man day rate above</t>
  </si>
  <si>
    <t>2-300</t>
  </si>
  <si>
    <t>Workers' Compensation</t>
  </si>
  <si>
    <t>2-400</t>
  </si>
  <si>
    <t>Union Costs</t>
  </si>
  <si>
    <t>2-500</t>
  </si>
  <si>
    <t>Fringe Benefits</t>
  </si>
  <si>
    <t>2-600</t>
  </si>
  <si>
    <t>Liability Insurance</t>
  </si>
  <si>
    <t>2-700</t>
  </si>
  <si>
    <t>Shop Allocation</t>
  </si>
  <si>
    <t>4-100</t>
  </si>
  <si>
    <t>Subcontractor work order value</t>
  </si>
  <si>
    <t>5-000</t>
  </si>
  <si>
    <t>Other Job Costs</t>
  </si>
  <si>
    <t>Miscellaneous Items</t>
  </si>
  <si>
    <t>5-100</t>
  </si>
  <si>
    <t>Freight</t>
  </si>
  <si>
    <t>5-150</t>
  </si>
  <si>
    <t>Expedited Freight</t>
  </si>
  <si>
    <t>Use if freight is expedited</t>
  </si>
  <si>
    <t>5-300</t>
  </si>
  <si>
    <t>Equipment Rental</t>
  </si>
  <si>
    <t>Use if there is large equipment rented from rental yard</t>
  </si>
  <si>
    <t>5-400</t>
  </si>
  <si>
    <t>Tools and Small Equipment</t>
  </si>
  <si>
    <t>Use if unique hand tools are needed for a particular job</t>
  </si>
  <si>
    <t>5-500</t>
  </si>
  <si>
    <t>Consumables Supplies-Box Store</t>
  </si>
  <si>
    <t>Home Depot, Lowes, hardware store purchases</t>
  </si>
  <si>
    <t>5-550</t>
  </si>
  <si>
    <t>PO Consumables Supplies</t>
  </si>
  <si>
    <t>5-600</t>
  </si>
  <si>
    <t>In-House Equipment Cost</t>
  </si>
  <si>
    <t>5-900</t>
  </si>
  <si>
    <t>Misc. Expenses - External</t>
  </si>
  <si>
    <t>Also known as Warranty Markup</t>
  </si>
  <si>
    <t>5-901</t>
  </si>
  <si>
    <t>Misc. Expenses - Internal</t>
  </si>
  <si>
    <t>Also known as Contingency</t>
  </si>
  <si>
    <t>7-100</t>
  </si>
  <si>
    <t>7-200</t>
  </si>
  <si>
    <t>7-300</t>
  </si>
  <si>
    <t>Use $65/day</t>
  </si>
  <si>
    <t>7-400</t>
  </si>
  <si>
    <t>Use $0.50/ mile</t>
  </si>
  <si>
    <t>7-600</t>
  </si>
  <si>
    <t>7-750</t>
  </si>
  <si>
    <t>$38.25 / day on travel days</t>
  </si>
  <si>
    <t>7-760</t>
  </si>
  <si>
    <t>$51.00/ day on work days</t>
  </si>
  <si>
    <t>7-770</t>
  </si>
  <si>
    <t>Travel Pay</t>
  </si>
  <si>
    <t>$325/ day except DOT Driver which is $450/ day</t>
  </si>
  <si>
    <t>7-910</t>
  </si>
  <si>
    <t>PM Airline Expenses</t>
  </si>
  <si>
    <t>7-920</t>
  </si>
  <si>
    <t>PM Hotel Expenses</t>
  </si>
  <si>
    <t>7-930</t>
  </si>
  <si>
    <t>PM Auto Rental</t>
  </si>
  <si>
    <t>7-940</t>
  </si>
  <si>
    <t>PM Mileage/Fuel Expense</t>
  </si>
  <si>
    <t>7-950</t>
  </si>
  <si>
    <t>PM Meals</t>
  </si>
  <si>
    <t>7-960</t>
  </si>
  <si>
    <t>PM Parking / Tolls</t>
  </si>
  <si>
    <t>8-100</t>
  </si>
  <si>
    <t>Sales Tax</t>
  </si>
  <si>
    <t>Use only on jobs within states that charge sales tax</t>
  </si>
  <si>
    <t>SGC MMA Primer</t>
  </si>
  <si>
    <t>R-MMA-5</t>
  </si>
  <si>
    <t>RIO MMA Bonding Additive</t>
  </si>
  <si>
    <t>S-GPR-3</t>
  </si>
  <si>
    <t>SGC ShieldFlex 3 Gal Kit</t>
  </si>
  <si>
    <t>FIBERGLASS TAPE 6"X75 FT</t>
  </si>
  <si>
    <t>Roll</t>
  </si>
  <si>
    <t>FIBERTAPE</t>
  </si>
  <si>
    <t>600UV GA</t>
  </si>
  <si>
    <t>600UV CG</t>
  </si>
  <si>
    <t>JS4U-CG</t>
  </si>
  <si>
    <t>S-RS88-ARG1</t>
  </si>
  <si>
    <t>S-RS88-SG1</t>
  </si>
  <si>
    <t>S-RS88-CG1</t>
  </si>
  <si>
    <t>600UV Joint Filler - Standard Gray</t>
  </si>
  <si>
    <t>600UV Joint Filler - Gray Area</t>
  </si>
  <si>
    <t>600UV Joint Filler - Chateau Gray</t>
  </si>
  <si>
    <t>RS88 Gray Area</t>
  </si>
  <si>
    <t>RS88 Chateau Gray</t>
  </si>
  <si>
    <t>MXN</t>
  </si>
  <si>
    <t>CAD</t>
  </si>
  <si>
    <t>Project Manager:</t>
  </si>
  <si>
    <t>Start Date:</t>
  </si>
  <si>
    <t>PHASE / SCOPE / COP</t>
  </si>
  <si>
    <t>Install Address:</t>
  </si>
  <si>
    <t>Quoted Cost</t>
  </si>
  <si>
    <t>Total Amount</t>
  </si>
  <si>
    <t>Qty Adjust</t>
  </si>
  <si>
    <t>Adjusted Total</t>
  </si>
  <si>
    <t xml:space="preserve"> </t>
  </si>
  <si>
    <t>Inventoried by:</t>
  </si>
  <si>
    <t>Date Inventoried:</t>
  </si>
  <si>
    <t>Rec'd Qty</t>
  </si>
  <si>
    <t>Return Qty</t>
  </si>
  <si>
    <t>Pallet #</t>
  </si>
  <si>
    <t>Shop Qty</t>
  </si>
  <si>
    <t>MMA</t>
  </si>
  <si>
    <t>POLYURETHANE</t>
  </si>
  <si>
    <t>EPOXY</t>
  </si>
  <si>
    <t>PRIMERS &amp; SEALERS</t>
  </si>
  <si>
    <t>CRACK FILLER &amp; PATCHING</t>
  </si>
  <si>
    <t>POLYASPARTIC</t>
  </si>
  <si>
    <t>CLEAR</t>
  </si>
  <si>
    <t>CUSTOM</t>
  </si>
  <si>
    <t>GRAY</t>
  </si>
  <si>
    <t>CHARCOAL</t>
  </si>
  <si>
    <t>STEEL GRAY</t>
  </si>
  <si>
    <t>BONE WHITE</t>
  </si>
  <si>
    <t>SILVER GRAY</t>
  </si>
  <si>
    <t>WHITE</t>
  </si>
  <si>
    <t>BLACK</t>
  </si>
  <si>
    <t>PARCHMENT</t>
  </si>
  <si>
    <t>SAFETY RED</t>
  </si>
  <si>
    <t>SAFETY YELLOW</t>
  </si>
  <si>
    <t>PEWTER</t>
  </si>
  <si>
    <t>CLASIC RED TILE</t>
  </si>
  <si>
    <t>CARAMEL</t>
  </si>
  <si>
    <t>ULTRA DEEP BASE</t>
  </si>
  <si>
    <t>WHITE TINT BASE</t>
  </si>
  <si>
    <t>CANADA GRAY</t>
  </si>
  <si>
    <t>MEDIUM GRAY</t>
  </si>
  <si>
    <t>COLOR</t>
  </si>
  <si>
    <t>DESCRIPTION</t>
  </si>
  <si>
    <t>RESUPRIME 3477 EPOXY WATER PRIMER/SEALER</t>
  </si>
  <si>
    <t>RESUPRIME 3504 HIGH SOLID CLEAR PRIMER/SEALER</t>
  </si>
  <si>
    <t>RESUPRIME 3579 HIGH SOLID EPOXY PRIMER/BINDER</t>
  </si>
  <si>
    <t>RESUPRIME MVP EPOXY PRIMER</t>
  </si>
  <si>
    <t>RESUPRIME 5531 OIL STOP PRIMER</t>
  </si>
  <si>
    <t>RESUFLOR AQUA 3460 WB EPOXY PRIMER, BINDER, TOPCOAT</t>
  </si>
  <si>
    <t>RESUFLOR AQUA 3461 HIGH SOLIDS WB EPOXY GROUT/TOPCOAT</t>
  </si>
  <si>
    <t>RESUFLOR 3500 EPOXY QUICK PATCH (FAST)</t>
  </si>
  <si>
    <t>RESUPRIME 3831 MVB MOISTURE EPOXY PRIMER</t>
  </si>
  <si>
    <t>RESUFLOR 3760 MPE MULTI-PURPOSE EPOXY</t>
  </si>
  <si>
    <t>RESUFLOR 3746 HIGH PERFORMANCE EPOXY</t>
  </si>
  <si>
    <t>RESUFLOR 3741 CHEMICAL RESISTANT NOVOLAC</t>
  </si>
  <si>
    <t>RESUTILE 4638 HS POLYURETHANE FLOOR ENAMEL</t>
  </si>
  <si>
    <t>RESUTILE 4640 HTS 100 HS HIGH TRAFFIC URETHANE ENAMEL</t>
  </si>
  <si>
    <t>RESUTILE 4641 HPS 100 HS ALIPHATIC URETHANE TOPCOAT</t>
  </si>
  <si>
    <t>RESUTILE AQUA 4410 WB ALIPHATIC URETHANE - COLOR</t>
  </si>
  <si>
    <t>RESUTILE AQUA 4411 WB ALIPHATIC URETHANE - CLEAR</t>
  </si>
  <si>
    <t>ACCELERA 4850 GROUT/TOPCOAT POLYASPARTIC</t>
  </si>
  <si>
    <t>POLY-CRETE</t>
  </si>
  <si>
    <t>POLY-CRETE SL HS SELF LEVELING URETHANE</t>
  </si>
  <si>
    <t>POLY-CRETE MD HS URETHANE CONCRETE COATING</t>
  </si>
  <si>
    <t>POLY-CRETE HF HS URETHANE CONCRETE COATING</t>
  </si>
  <si>
    <t>POLY-CRETE TF PLUS PRIMER/TOPCOAT</t>
  </si>
  <si>
    <t>POLY-CRETE TF PLUS COVE VERTICAL APPLICATIONS</t>
  </si>
  <si>
    <t>POLY-CRETE COLOR-FAST</t>
  </si>
  <si>
    <t>POLY-CRETE WR COVE BASE, SLOPE/PATCHING</t>
  </si>
  <si>
    <t>POLY-CRETE HF ACCELERATOR LOW TEMPERATURE AID</t>
  </si>
  <si>
    <t>CATEGORY</t>
  </si>
  <si>
    <t>PRIMER</t>
  </si>
  <si>
    <t>PATCH</t>
  </si>
  <si>
    <t>URETHANE</t>
  </si>
  <si>
    <t>POLY</t>
  </si>
  <si>
    <t>CRETE</t>
  </si>
  <si>
    <t>CRYLAFLOR P-101 PRIMER</t>
  </si>
  <si>
    <t>CRYLAFLOR G-201 BINDER</t>
  </si>
  <si>
    <t>CRYLAFLOR T-301 TOPCOAT</t>
  </si>
  <si>
    <t>CRYLAFLOR T-303 FLEXIBLE TOPCOAT</t>
  </si>
  <si>
    <t>CRYLAFLOR COVE</t>
  </si>
  <si>
    <t>CRYLAFLOR CURE (BPO)</t>
  </si>
  <si>
    <t>CRYLAFLOR COLOR - BACKGROUND ONLY</t>
  </si>
  <si>
    <t>CRYLAFLOR BOND ENHANCER TO P-101</t>
  </si>
  <si>
    <t>CRYLAFLOR BOND MT METAL/TILE ENHANCER</t>
  </si>
  <si>
    <t>CRYLAFLOR CLEAN SOLVENT TO CLEAN TOOLS</t>
  </si>
  <si>
    <t>CRYLAFLOR LTC ADDITIVE LOW TEMPERATURE</t>
  </si>
  <si>
    <t>CRYLAFLOR SL FILLER BLEND TO G-201</t>
  </si>
  <si>
    <t>RESUFLOR 3725 STATIC CONTROL EPOXY</t>
  </si>
  <si>
    <t>RESUDECK FLA CLEAR ALIPHATIC POLYASPARTIC TOPCOAT</t>
  </si>
  <si>
    <t>YELLOW</t>
  </si>
  <si>
    <t>LIGHT GRAY</t>
  </si>
  <si>
    <t>ROTUNDA RED</t>
  </si>
  <si>
    <t>SANDY BEIGE</t>
  </si>
  <si>
    <t>TILE RED</t>
  </si>
  <si>
    <t>5115 MORTAR AGGREGATE BLEND</t>
  </si>
  <si>
    <t>F-60</t>
  </si>
  <si>
    <t>AGG</t>
  </si>
  <si>
    <t>BLUE</t>
  </si>
  <si>
    <t>CHESTNUT</t>
  </si>
  <si>
    <t>CONCRETE GRAY</t>
  </si>
  <si>
    <t>DARK GRAY</t>
  </si>
  <si>
    <t>GREEN</t>
  </si>
  <si>
    <t>RED</t>
  </si>
  <si>
    <t>KIT</t>
  </si>
  <si>
    <t>N/A</t>
  </si>
  <si>
    <t>BEIGE</t>
  </si>
  <si>
    <t>BRIGHT YELLOW</t>
  </si>
  <si>
    <t>CHARCOAL GRAY</t>
  </si>
  <si>
    <t>MED. GRAY</t>
  </si>
  <si>
    <t>SLATE GRAY</t>
  </si>
  <si>
    <t>SPECIAL</t>
  </si>
  <si>
    <t>SMOKE BLUE</t>
  </si>
  <si>
    <t>2 GAL</t>
  </si>
  <si>
    <t>3 GAL</t>
  </si>
  <si>
    <t>15 GAL</t>
  </si>
  <si>
    <t>1/2 GAL</t>
  </si>
  <si>
    <t>10 GAL</t>
  </si>
  <si>
    <t>1 QT</t>
  </si>
  <si>
    <t>5 GAL</t>
  </si>
  <si>
    <t>50LB BAG</t>
  </si>
  <si>
    <t>40LB BAG</t>
  </si>
  <si>
    <t>20/40</t>
  </si>
  <si>
    <t>40/60</t>
  </si>
  <si>
    <t>ASH</t>
  </si>
  <si>
    <t>FOGGY MORNING</t>
  </si>
  <si>
    <t>WARM BEACH</t>
  </si>
  <si>
    <t>AGGREGATES</t>
  </si>
  <si>
    <t>1.25 GAL</t>
  </si>
  <si>
    <t>25 GAL</t>
  </si>
  <si>
    <t>~1 GAL</t>
  </si>
  <si>
    <t>~2 GAL</t>
  </si>
  <si>
    <t>~4 GAL</t>
  </si>
  <si>
    <t>~3 GAL</t>
  </si>
  <si>
    <t>~6 GAL</t>
  </si>
  <si>
    <t>ROYAL BLUE</t>
  </si>
  <si>
    <t/>
  </si>
  <si>
    <t>DAYS / RATE</t>
  </si>
  <si>
    <t>Joints</t>
  </si>
  <si>
    <t>Topcoats (Includes Swoosh)</t>
  </si>
  <si>
    <t>Striping / Grounding Points</t>
  </si>
  <si>
    <t>Flights</t>
  </si>
  <si>
    <t>Outside / Dorr tracks</t>
  </si>
  <si>
    <t>LABOR - IN HOUSE INSTALLS</t>
  </si>
  <si>
    <t>ADDITIONAL PRODUCTS</t>
  </si>
  <si>
    <t>Box Truck Rental</t>
  </si>
  <si>
    <t>~~~~</t>
  </si>
  <si>
    <t>NOTES</t>
  </si>
  <si>
    <t>RESUFLOR 3513 SCRATCH COAT MASTIC (THICK/SLOW)</t>
  </si>
  <si>
    <t>PRICE</t>
  </si>
  <si>
    <t>5310 DRY SILICA SAND - 20/40</t>
  </si>
  <si>
    <t>5310 DRY SILICA SAND - 40/60</t>
  </si>
  <si>
    <t>ACCELERA EXT SMALL 1R:1H</t>
  </si>
  <si>
    <t>ACCELERA ONE RESIN (SEE MIX CHART)</t>
  </si>
  <si>
    <t>ACCELERA ONE HARDENER (SEE MIX CHART)</t>
  </si>
  <si>
    <t>ACCELERA 5 66% SOLIDS 1:1</t>
  </si>
  <si>
    <t>CEMLACK UM.  URETHANE CEMENT PATCH 1:1:1</t>
  </si>
  <si>
    <t>RESUFLOR PT 250 THICKENED EPOXY 2:1</t>
  </si>
  <si>
    <t>RESUFLOR NO SAG</t>
  </si>
  <si>
    <t>Q-ROCK 16 GRIT</t>
  </si>
  <si>
    <t>44 LBS</t>
  </si>
  <si>
    <t>0.25 GAL</t>
  </si>
  <si>
    <t>0.75 GAL</t>
  </si>
  <si>
    <t>1.5 GAL</t>
  </si>
  <si>
    <t>1 GAL</t>
  </si>
  <si>
    <t>80/120</t>
  </si>
  <si>
    <t>10 LBS</t>
  </si>
  <si>
    <t>5310 DRY SILICA SAND - 80/120</t>
  </si>
  <si>
    <t>PROD ID</t>
  </si>
  <si>
    <t>LOOKUP COMBO</t>
  </si>
  <si>
    <t xml:space="preserve">4641 HPS 1CLAR~2 </t>
  </si>
  <si>
    <t>5 66% SOLICLAR2 G</t>
  </si>
  <si>
    <t>Rentals (Equipment, Sunbelt etc)</t>
  </si>
  <si>
    <t>PRIMERS</t>
  </si>
  <si>
    <t>URETHANE/POLYASPARTIC</t>
  </si>
  <si>
    <t>UCRETE POLYURETHANE CEMENT</t>
  </si>
  <si>
    <t>PRIME</t>
  </si>
  <si>
    <t>EPOXY/DECK COATINGS</t>
  </si>
  <si>
    <t>COLORANT</t>
  </si>
  <si>
    <t>POLYASPARTIC COLORANT</t>
  </si>
  <si>
    <t>CRETE COLORANT</t>
  </si>
  <si>
    <t>SGC CRETE PART A</t>
  </si>
  <si>
    <t>SGC CRETE PART B</t>
  </si>
  <si>
    <t>SL - PART C</t>
  </si>
  <si>
    <t>SF - PART C</t>
  </si>
  <si>
    <t>CB - PART C</t>
  </si>
  <si>
    <t>TC - PART C</t>
  </si>
  <si>
    <t xml:space="preserve">SGC SPEED </t>
  </si>
  <si>
    <t>SGC SHIELD BODY COAT</t>
  </si>
  <si>
    <t>SGC SHIELD TOP COAT</t>
  </si>
  <si>
    <t>SGC COAT MMA CLEANER</t>
  </si>
  <si>
    <t>SGC MMA PRIMER</t>
  </si>
  <si>
    <t>RIO MMA BONDING ADDITIVE</t>
  </si>
  <si>
    <t>FLAKE</t>
  </si>
  <si>
    <t>QUARTZ</t>
  </si>
  <si>
    <t>TROWEL QUARTZ</t>
  </si>
  <si>
    <t>ALUMINUM OXIDE</t>
  </si>
  <si>
    <t>SGC DECK BASE COAT 308</t>
  </si>
  <si>
    <t>SGC SHIELD FLEX</t>
  </si>
  <si>
    <t>FIBERGLASS TAPE</t>
  </si>
  <si>
    <t>RIO COAT EPT</t>
  </si>
  <si>
    <t>ROADWARE 10 MIN CONCRETE MENDER</t>
  </si>
  <si>
    <t>ROLL</t>
  </si>
  <si>
    <t>600ML</t>
  </si>
  <si>
    <t>2.5 GAL</t>
  </si>
  <si>
    <t>40LB</t>
  </si>
  <si>
    <t>50LB</t>
  </si>
  <si>
    <t>SGC BPO CATALYST</t>
  </si>
  <si>
    <t>50 GAL</t>
  </si>
  <si>
    <t>10LB BOX</t>
  </si>
  <si>
    <t>TUBE</t>
  </si>
  <si>
    <t>20LB</t>
  </si>
  <si>
    <t>35LB</t>
  </si>
  <si>
    <t>28LB</t>
  </si>
  <si>
    <t>6.5LB</t>
  </si>
  <si>
    <t>32 OZ</t>
  </si>
  <si>
    <t>PINT</t>
  </si>
  <si>
    <t>25 PINTS</t>
  </si>
  <si>
    <t>DESCRIPTION - EPOXY</t>
  </si>
  <si>
    <t>DESCRIPTION - POLY</t>
  </si>
  <si>
    <t>DESCRIPTION - AGG</t>
  </si>
  <si>
    <t>DESCRIPTION - MMA</t>
  </si>
  <si>
    <t>DESCRIPTION - JOINT</t>
  </si>
  <si>
    <t>DESCRIPTION - CRETE</t>
  </si>
  <si>
    <t>DESCRIPTION - COLOR</t>
  </si>
  <si>
    <t>CRETE COLORANT - LARGE</t>
  </si>
  <si>
    <t>LOOKUP</t>
  </si>
  <si>
    <t>MALT</t>
  </si>
  <si>
    <t>STANDARD GRAY</t>
  </si>
  <si>
    <t>GRAY AREA</t>
  </si>
  <si>
    <t>CHATEAU GRAY</t>
  </si>
  <si>
    <t>BATTLESHIP GRAY</t>
  </si>
  <si>
    <t>SADDLE TAN</t>
  </si>
  <si>
    <t>SIKAFLOOR-160 CLEAR EPOXY PRIMER</t>
  </si>
  <si>
    <t>SIKAFLOOR-161 VERSATILE EPOXY PRIMER</t>
  </si>
  <si>
    <t>4.5 GAL</t>
  </si>
  <si>
    <t>455425TL</t>
  </si>
  <si>
    <t>455427TL</t>
  </si>
  <si>
    <t>456659TL</t>
  </si>
  <si>
    <t>455429TL</t>
  </si>
  <si>
    <t>455450TL</t>
  </si>
  <si>
    <t>456680TL</t>
  </si>
  <si>
    <t>455508TL</t>
  </si>
  <si>
    <t>455451TL</t>
  </si>
  <si>
    <t>455506TL</t>
  </si>
  <si>
    <t>455464TL</t>
  </si>
  <si>
    <t>455426TL</t>
  </si>
  <si>
    <t>455466TL</t>
  </si>
  <si>
    <t>455468TL</t>
  </si>
  <si>
    <t>455501TL</t>
  </si>
  <si>
    <t>465666TL</t>
  </si>
  <si>
    <t>455500TL</t>
  </si>
  <si>
    <t>455503TL</t>
  </si>
  <si>
    <t>499726TL</t>
  </si>
  <si>
    <t>4.68 GAL</t>
  </si>
  <si>
    <t>6 GAL</t>
  </si>
  <si>
    <t>8.33 GAL</t>
  </si>
  <si>
    <t>25 PACK</t>
  </si>
  <si>
    <t>67 OZ</t>
  </si>
  <si>
    <t>4 QT</t>
  </si>
  <si>
    <t>SIKAQUICK 1000</t>
  </si>
  <si>
    <t>SIKAFLOOR-264 VERSATILE PIGMENTED EPOXY</t>
  </si>
  <si>
    <t>SIKAFLOOR-264 FS FAST SETTING EPOXY</t>
  </si>
  <si>
    <t>SIKAFLOOR-264 THIXO LITE TEXTURED PIGMENTED EPOXY</t>
  </si>
  <si>
    <t>SIKAFLOOR-265 FLEXABLE MEMBRANE W/ CRACK BRIDGING</t>
  </si>
  <si>
    <t>SIKAFLOOR-315 N HS ALIPHATIC POLYURETHANE</t>
  </si>
  <si>
    <t>SIKAFLOOR-510 LPL HS UV RESISTANT POLYASPARTIC</t>
  </si>
  <si>
    <t>SIKA UCRETE UD200 TROWEL APPLIED CRETE</t>
  </si>
  <si>
    <t>SIKA UCRETE UD200SR SLIP RESISTANT TROWEL APPLIED CRETE</t>
  </si>
  <si>
    <t>SIKA UCRETE HS22 NA HIGH BUILD SL SLURRY</t>
  </si>
  <si>
    <t>SIKA UCRETE HS24 NA SL SLURRY</t>
  </si>
  <si>
    <t>SIKA UCRETE RG 29 NA VERTICAL GRADE COVE MORTAR</t>
  </si>
  <si>
    <t>SIKA UCRETE TC31 NA MULTI PURPOSE HIGH BUILD COATING</t>
  </si>
  <si>
    <t>SIKA UCRETE TCCS COLOR STABLE TOP COAT</t>
  </si>
  <si>
    <t>SIKA UCRETE PIGMENT PACKS</t>
  </si>
  <si>
    <t>SIKA UCRETE ACCELERATOR</t>
  </si>
  <si>
    <t>SIKAGARD CV 20 VINYL ESTER COATING - MTO</t>
  </si>
  <si>
    <t>SIKAFLOOR EPOXY PIGMENT PACK</t>
  </si>
  <si>
    <t>SIKAFLOOR URETHANE PIGMENT PACK</t>
  </si>
  <si>
    <t>SIKADUR 508 MEDIUM BROADCAST AGGREGATE</t>
  </si>
  <si>
    <t>SIKADUR 509 - COARSE BROADCAST AGGREGATE</t>
  </si>
  <si>
    <t>490509</t>
  </si>
  <si>
    <t>455082</t>
  </si>
  <si>
    <t>455425</t>
  </si>
  <si>
    <t>455427</t>
  </si>
  <si>
    <t>456659</t>
  </si>
  <si>
    <t>455429</t>
  </si>
  <si>
    <t>455450</t>
  </si>
  <si>
    <t>456680</t>
  </si>
  <si>
    <t>455508</t>
  </si>
  <si>
    <t>455451</t>
  </si>
  <si>
    <t>455506</t>
  </si>
  <si>
    <t>455464</t>
  </si>
  <si>
    <t>455426</t>
  </si>
  <si>
    <t>455466</t>
  </si>
  <si>
    <t>455468</t>
  </si>
  <si>
    <t>455501</t>
  </si>
  <si>
    <t>465666</t>
  </si>
  <si>
    <t>455500</t>
  </si>
  <si>
    <t>455503</t>
  </si>
  <si>
    <t>499726</t>
  </si>
  <si>
    <t>686218</t>
  </si>
  <si>
    <t>687280</t>
  </si>
  <si>
    <t>686219</t>
  </si>
  <si>
    <t>686710</t>
  </si>
  <si>
    <t>686711</t>
  </si>
  <si>
    <t>686712</t>
  </si>
  <si>
    <t>187543</t>
  </si>
  <si>
    <t>402892</t>
  </si>
  <si>
    <t>402984</t>
  </si>
  <si>
    <t>516274</t>
  </si>
  <si>
    <t>436246</t>
  </si>
  <si>
    <t>809488</t>
  </si>
  <si>
    <t>809489</t>
  </si>
  <si>
    <t>459042</t>
  </si>
  <si>
    <t>459045</t>
  </si>
  <si>
    <t>459046</t>
  </si>
  <si>
    <t>459048</t>
  </si>
  <si>
    <t>477708</t>
  </si>
  <si>
    <t>515790</t>
  </si>
  <si>
    <t>515791</t>
  </si>
  <si>
    <t>515679</t>
  </si>
  <si>
    <t>515678</t>
  </si>
  <si>
    <t>515677</t>
  </si>
  <si>
    <t>477953</t>
  </si>
  <si>
    <t>502925</t>
  </si>
  <si>
    <t>502923</t>
  </si>
  <si>
    <t>502922</t>
  </si>
  <si>
    <t>502916</t>
  </si>
  <si>
    <t>502915</t>
  </si>
  <si>
    <t>799916</t>
  </si>
  <si>
    <t>799918</t>
  </si>
  <si>
    <t>799920</t>
  </si>
  <si>
    <t>799922</t>
  </si>
  <si>
    <t>799925</t>
  </si>
  <si>
    <t>799927</t>
  </si>
  <si>
    <t>799917</t>
  </si>
  <si>
    <t>799919</t>
  </si>
  <si>
    <t>799921</t>
  </si>
  <si>
    <t>799924</t>
  </si>
  <si>
    <t>799926</t>
  </si>
  <si>
    <t>799915</t>
  </si>
  <si>
    <t>799034</t>
  </si>
  <si>
    <t>799033</t>
  </si>
  <si>
    <t>799035</t>
  </si>
  <si>
    <t>799037</t>
  </si>
  <si>
    <t>799031</t>
  </si>
  <si>
    <t>799032</t>
  </si>
  <si>
    <t>800262</t>
  </si>
  <si>
    <t>799038</t>
  </si>
  <si>
    <t>809303</t>
  </si>
  <si>
    <t>468852</t>
  </si>
  <si>
    <t>814063</t>
  </si>
  <si>
    <t>813998</t>
  </si>
  <si>
    <t>813707</t>
  </si>
  <si>
    <t>814056</t>
  </si>
  <si>
    <t>814025</t>
  </si>
  <si>
    <t>814052</t>
  </si>
  <si>
    <t>814084</t>
  </si>
  <si>
    <t>814091</t>
  </si>
  <si>
    <t>814085</t>
  </si>
  <si>
    <t>813997</t>
  </si>
  <si>
    <t>813999</t>
  </si>
  <si>
    <t>814064</t>
  </si>
  <si>
    <t>813587</t>
  </si>
  <si>
    <t>808291</t>
  </si>
  <si>
    <t>814049</t>
  </si>
  <si>
    <t>814075</t>
  </si>
  <si>
    <t>814047</t>
  </si>
  <si>
    <t>813708</t>
  </si>
  <si>
    <t>822172</t>
  </si>
  <si>
    <t>821459</t>
  </si>
  <si>
    <t>829292</t>
  </si>
  <si>
    <t>829265</t>
  </si>
  <si>
    <t>828165</t>
  </si>
  <si>
    <t>821906</t>
  </si>
  <si>
    <t>822730</t>
  </si>
  <si>
    <t>819123</t>
  </si>
  <si>
    <t>822518</t>
  </si>
  <si>
    <t>821905</t>
  </si>
  <si>
    <t>822218</t>
  </si>
  <si>
    <t>821856</t>
  </si>
  <si>
    <t>829312</t>
  </si>
  <si>
    <t>827603</t>
  </si>
  <si>
    <t>827059</t>
  </si>
  <si>
    <t>827735</t>
  </si>
  <si>
    <t>827763</t>
  </si>
  <si>
    <t>821867</t>
  </si>
  <si>
    <t>827668</t>
  </si>
  <si>
    <t>836475</t>
  </si>
  <si>
    <t>822125</t>
  </si>
  <si>
    <t>465670</t>
  </si>
  <si>
    <t>465609</t>
  </si>
  <si>
    <t>91336</t>
  </si>
  <si>
    <t>OXFORD GRAY</t>
  </si>
  <si>
    <t>WINDOW GRAY</t>
  </si>
  <si>
    <t>TRAFFIC GRAY</t>
  </si>
  <si>
    <t>BEIGE ROSE</t>
  </si>
  <si>
    <t>RAFFIA BEIGE</t>
  </si>
  <si>
    <t>TAN 251</t>
  </si>
  <si>
    <t>GRAY BEIGE</t>
  </si>
  <si>
    <t>BASALT GRAY</t>
  </si>
  <si>
    <t>TRAFFIC BLUE</t>
  </si>
  <si>
    <t>PALE GREEN</t>
  </si>
  <si>
    <t>SIGNAL YELLOW</t>
  </si>
  <si>
    <t>OXIDE RED</t>
  </si>
  <si>
    <t>TRAFFIC RED</t>
  </si>
  <si>
    <t>SIGNAL WHITE</t>
  </si>
  <si>
    <t>JET BLACK</t>
  </si>
  <si>
    <t>AGATE GREY</t>
  </si>
  <si>
    <t>TRAFFIC GREY</t>
  </si>
  <si>
    <t>CREAM</t>
  </si>
  <si>
    <t>GREEN BOWN/CHARCOAL</t>
  </si>
  <si>
    <t>LIGHT GREEN</t>
  </si>
  <si>
    <t>ORANGE</t>
  </si>
  <si>
    <t>LIGHT BLUE</t>
  </si>
  <si>
    <t>LIGHT GREY</t>
  </si>
  <si>
    <t>GREY</t>
  </si>
  <si>
    <t>GREEN BROWN/CHARCOAL</t>
  </si>
  <si>
    <t>RAFFIC BLUE</t>
  </si>
  <si>
    <t>CUSTOM COLOR</t>
  </si>
  <si>
    <t>AGATE GRAY</t>
  </si>
  <si>
    <t>SIKAFLOOR-315 ABRASION RESISTANT ALIPHATIC</t>
  </si>
  <si>
    <t>Material Tax Rate:</t>
  </si>
  <si>
    <t>Rental Tax Rate:</t>
  </si>
  <si>
    <t>1 GAL BOX</t>
  </si>
  <si>
    <t>NP-1 TUBES (30 TUBE/CASE)</t>
  </si>
  <si>
    <t>RS88 (12 TUBES / CASE)</t>
  </si>
  <si>
    <t>600 UVGRAY AREA1 GAL BOX</t>
  </si>
  <si>
    <t xml:space="preserve">  </t>
  </si>
  <si>
    <t>1-16IN DECO FLAKE  - 40LB BAG</t>
  </si>
  <si>
    <t>7310 PEA GRAVEL 3/16 X 3/8</t>
  </si>
  <si>
    <t>PM COSTS</t>
  </si>
  <si>
    <t>7-910 PM AIRLINE EXPENSES</t>
  </si>
  <si>
    <t>7-940 PM MILEAGE/FUEL EXPENSE</t>
  </si>
  <si>
    <t>7-920 PM HOTEL EXPENSES</t>
  </si>
  <si>
    <t>7-950 PM MEALS</t>
  </si>
  <si>
    <t>7-930 PM AUTO RENTAL</t>
  </si>
  <si>
    <t>7-960 PM PARKING / TOLLS</t>
  </si>
  <si>
    <t>TAX ON MATERIALS</t>
  </si>
  <si>
    <t>TAX ON RENTALS</t>
  </si>
  <si>
    <t>***Right click on the table to refresh***</t>
  </si>
  <si>
    <t>Version Date:</t>
  </si>
  <si>
    <t>Secret Version Date</t>
  </si>
  <si>
    <t>Today's Date:</t>
  </si>
  <si>
    <t>SGC Polyaspartic 2.5 gal Kit (100% Solid)</t>
  </si>
  <si>
    <t>SGC Polyaspartic 25 gal Kit  (100% Solid)</t>
  </si>
  <si>
    <t>SGC POLYASPARTIC (100% Solid)</t>
  </si>
  <si>
    <t>1-8IN DECO FLAKE  - 40LB BAG</t>
  </si>
  <si>
    <t>Qty</t>
  </si>
  <si>
    <r>
      <t xml:space="preserve">$85 per day. </t>
    </r>
    <r>
      <rPr>
        <b/>
        <sz val="9"/>
        <color theme="1"/>
        <rFont val="Calibri"/>
        <family val="2"/>
        <scheme val="minor"/>
      </rPr>
      <t>Odd sizes still use $170 per room per night</t>
    </r>
  </si>
  <si>
    <t>$420 per one way flight per man</t>
  </si>
  <si>
    <t>$650 per day. Large equipment.</t>
  </si>
  <si>
    <t>Charged against shop allocation</t>
  </si>
  <si>
    <t>$450 (Max) includes wages and burden</t>
  </si>
  <si>
    <t>Notes</t>
  </si>
  <si>
    <t>Value</t>
  </si>
  <si>
    <t>Contract Value</t>
  </si>
  <si>
    <t>Job Number</t>
  </si>
  <si>
    <t>Project Name</t>
  </si>
  <si>
    <t>Project Name:</t>
  </si>
  <si>
    <t>Scope/Schedule</t>
  </si>
  <si>
    <t>Jobsite Information</t>
  </si>
  <si>
    <t>Pre-Job Checklist</t>
  </si>
  <si>
    <t>Labor Budget</t>
  </si>
  <si>
    <t>Scope</t>
  </si>
  <si>
    <t>SQ FT</t>
  </si>
  <si>
    <t>LF Cove</t>
  </si>
  <si>
    <t>LF Joints</t>
  </si>
  <si>
    <t>Financials</t>
  </si>
  <si>
    <t>MATERIALS</t>
  </si>
  <si>
    <t>**TO SELECT PRODUCTS - USE DROP DOWN MENU ON THE PRODUCT LINES AND SELECT MATERIAL, COLOR AND UOM</t>
  </si>
  <si>
    <t>**FOR ORDERS THAT HAVE QUOTES - ENTER IN QUOTED RATE INTO BLUE BOXES BELOW</t>
  </si>
  <si>
    <t>0.44 Gal</t>
  </si>
  <si>
    <t>1.7 Gal</t>
  </si>
  <si>
    <t>E TF PLUS BLUE1.7</t>
  </si>
  <si>
    <t>E TF PLUS CHAL1.7</t>
  </si>
  <si>
    <t>E TF PLUS CHUT1.7</t>
  </si>
  <si>
    <t>E TF PLUS COAY1.7</t>
  </si>
  <si>
    <t>E TF PLUS DAAY1.7</t>
  </si>
  <si>
    <t>E TF PLUS GREN1.7</t>
  </si>
  <si>
    <t>E TF PLUS GRAY1.7</t>
  </si>
  <si>
    <t>E TF PLUS REED1.7</t>
  </si>
  <si>
    <t>E TF PLUS BLUE0.4</t>
  </si>
  <si>
    <t>E TF PLUS CHAL0.4</t>
  </si>
  <si>
    <t>E TF PLUS CHUT0.4</t>
  </si>
  <si>
    <t>E TF PLUS COAY0.4</t>
  </si>
  <si>
    <t>E TF PLUS DAAY0.4</t>
  </si>
  <si>
    <t>E TF PLUS GREN0.4</t>
  </si>
  <si>
    <t>E TF PLUS GRAY0.4</t>
  </si>
  <si>
    <t>E TF PLUS REED0.4</t>
  </si>
  <si>
    <t xml:space="preserve">0.23 Gal </t>
  </si>
  <si>
    <t>0.93 GAL</t>
  </si>
  <si>
    <t>1.84 GAL</t>
  </si>
  <si>
    <t>1 Qt</t>
  </si>
  <si>
    <t>3.4 Gal</t>
  </si>
  <si>
    <t>4.9 Gal</t>
  </si>
  <si>
    <t>4 Gal</t>
  </si>
  <si>
    <t>3.3 Gal</t>
  </si>
  <si>
    <t>HPF COLOR QUARTZ</t>
  </si>
  <si>
    <t>25 MESH</t>
  </si>
  <si>
    <t>40 MESH</t>
  </si>
  <si>
    <t>1-4IN DECO FLAKE - 40LB BAG</t>
  </si>
  <si>
    <t>24 MESH ALUMINUM OXIDE</t>
  </si>
  <si>
    <t>36 MESH ALUMINUM OXIDE</t>
  </si>
  <si>
    <t>CUSTOM BLEND</t>
  </si>
  <si>
    <t>ALMOND MILK</t>
  </si>
  <si>
    <t>PLOVER</t>
  </si>
  <si>
    <t>OCELOT</t>
  </si>
  <si>
    <t>BURNT WOOD</t>
  </si>
  <si>
    <t>FLAXSEED</t>
  </si>
  <si>
    <t>MOOSE</t>
  </si>
  <si>
    <t>PRETZEL</t>
  </si>
  <si>
    <t>KIWI SKIN</t>
  </si>
  <si>
    <t>MOON</t>
  </si>
  <si>
    <t>LIMESTONE</t>
  </si>
  <si>
    <t>CHINCHILLA</t>
  </si>
  <si>
    <t>MOUNTAIN FOG</t>
  </si>
  <si>
    <t>HUSKY GRAY</t>
  </si>
  <si>
    <t>GRAY PARROT</t>
  </si>
  <si>
    <t>BLACK DIAMOND</t>
  </si>
  <si>
    <t>CASTLEROCK</t>
  </si>
  <si>
    <t>GRAY SQUIRREL</t>
  </si>
  <si>
    <t>MACKEREL</t>
  </si>
  <si>
    <t>GREYHOUND</t>
  </si>
  <si>
    <t>BLACK BEAN</t>
  </si>
  <si>
    <t>CHERRY CORDIAL</t>
  </si>
  <si>
    <t>KINGSNAKE</t>
  </si>
  <si>
    <t>SPECKLED ASH</t>
  </si>
  <si>
    <t>BLACK QUINOA</t>
  </si>
  <si>
    <t>BOTTLENOSE</t>
  </si>
  <si>
    <t>GNEISS</t>
  </si>
  <si>
    <t>METEORITE</t>
  </si>
  <si>
    <t>TUNGSTEN</t>
  </si>
  <si>
    <t>AGAVE</t>
  </si>
  <si>
    <t>SILTSTONE</t>
  </si>
  <si>
    <t>KORAT</t>
  </si>
  <si>
    <t>RHINO</t>
  </si>
  <si>
    <t xml:space="preserve">BLUE SLATE </t>
  </si>
  <si>
    <t>ANVIL</t>
  </si>
  <si>
    <t>NIGHT SKY</t>
  </si>
  <si>
    <t>NEW GRANITE</t>
  </si>
  <si>
    <t>BRISKET</t>
  </si>
  <si>
    <t>BRINDLE</t>
  </si>
  <si>
    <t>AMERICANO</t>
  </si>
  <si>
    <t>LAGOON</t>
  </si>
  <si>
    <t>AUTUMN SPICE</t>
  </si>
  <si>
    <t>SEASCAPE</t>
  </si>
  <si>
    <t>REDWOOD</t>
  </si>
  <si>
    <t>MOJAVE</t>
  </si>
  <si>
    <t>MUD PIE</t>
  </si>
  <si>
    <t>CATERPILLAR</t>
  </si>
  <si>
    <t>GRASSLAND</t>
  </si>
  <si>
    <t>WHITE PEPPER</t>
  </si>
  <si>
    <t>5-600 In-House Equipment Cost</t>
  </si>
  <si>
    <t>5-500 Consumables Supplies-Box Store</t>
  </si>
  <si>
    <t>5-550 PO Consumables Supplies</t>
  </si>
  <si>
    <t>5-500 CONSUMABLES SUPPLIES-BOX STORE</t>
  </si>
  <si>
    <t>5-550 PO CONSUMABLES SUPPLIES</t>
  </si>
  <si>
    <t>5-600 IN-HOUSE EQUIPMENT COST</t>
  </si>
  <si>
    <t>5-400 TOOLS &amp; SMALL EQUIPMENT</t>
  </si>
  <si>
    <t>5-400 Tools &amp; Small Equipment</t>
  </si>
  <si>
    <t>Job #:</t>
  </si>
  <si>
    <t>Super/Foreman:</t>
  </si>
  <si>
    <t>Country:</t>
  </si>
  <si>
    <t>Material Delivery Date</t>
  </si>
  <si>
    <t>Install Start Date</t>
  </si>
  <si>
    <t>Install End Date</t>
  </si>
  <si>
    <t>Installed System</t>
  </si>
  <si>
    <t>Contract Executed:</t>
  </si>
  <si>
    <t>Installation Scheduled:</t>
  </si>
  <si>
    <t>Materials Ordered:</t>
  </si>
  <si>
    <t>Rental Booked:</t>
  </si>
  <si>
    <t>Heat:</t>
  </si>
  <si>
    <t>Lights:</t>
  </si>
  <si>
    <t>Power:</t>
  </si>
  <si>
    <t>Trash:</t>
  </si>
  <si>
    <t>Complete:</t>
  </si>
  <si>
    <t>Final Walk:</t>
  </si>
  <si>
    <t>Return Mat:</t>
  </si>
  <si>
    <t>Union:</t>
  </si>
  <si>
    <t>Non-Union:</t>
  </si>
  <si>
    <t>Prevailing Wage:</t>
  </si>
  <si>
    <t>Ship To Address:</t>
  </si>
  <si>
    <t>Site Contact:</t>
  </si>
  <si>
    <t>CASE</t>
  </si>
  <si>
    <t>Labor 1</t>
  </si>
  <si>
    <t>Labor 2</t>
  </si>
  <si>
    <t>Labor 3</t>
  </si>
  <si>
    <t>Labor 4</t>
  </si>
  <si>
    <t>R-EMP-15</t>
  </si>
  <si>
    <t>R-EMP-3</t>
  </si>
  <si>
    <t>RIO Coat EMP</t>
  </si>
  <si>
    <t>S-UPA-3</t>
  </si>
  <si>
    <t>SGC Coat UPA</t>
  </si>
  <si>
    <t>RIO TROWEL CLAD SAND</t>
  </si>
  <si>
    <t>SGC COAT UPA</t>
  </si>
  <si>
    <t>RIO COAT EMP</t>
  </si>
  <si>
    <t>RS65 (12 TUBES / CASE)</t>
  </si>
  <si>
    <t>SIKAFLOOR-264 TEXTURED PIGMENTED EPOXY</t>
  </si>
  <si>
    <t>AGGREGATE/OTHER</t>
  </si>
  <si>
    <t>5-901 CONTINGENCY</t>
  </si>
  <si>
    <t>R-CSB-25</t>
  </si>
  <si>
    <t>A</t>
  </si>
  <si>
    <t>B</t>
  </si>
  <si>
    <t>SL</t>
  </si>
  <si>
    <t>PIG</t>
  </si>
  <si>
    <t>S-CSL-SB</t>
  </si>
  <si>
    <t>SGC CRETE SF</t>
  </si>
  <si>
    <t>SGC CRETE CB</t>
  </si>
  <si>
    <t>SGC CRETE TC</t>
  </si>
  <si>
    <t>SF</t>
  </si>
  <si>
    <t>S-CSF-5</t>
  </si>
  <si>
    <t>CB</t>
  </si>
  <si>
    <t>TC</t>
  </si>
  <si>
    <t>10 KITS MIN</t>
  </si>
  <si>
    <t>20 KITS MIN</t>
  </si>
  <si>
    <t>S-CCB-5</t>
  </si>
  <si>
    <t>S-CTC-5</t>
  </si>
  <si>
    <t>S-CSL-GRY</t>
  </si>
  <si>
    <t>60#</t>
  </si>
  <si>
    <t>AL</t>
  </si>
  <si>
    <t>AK</t>
  </si>
  <si>
    <t>AZ</t>
  </si>
  <si>
    <t>M</t>
  </si>
  <si>
    <t>F</t>
  </si>
  <si>
    <t>R</t>
  </si>
  <si>
    <t>X</t>
  </si>
  <si>
    <t>CS-M</t>
  </si>
  <si>
    <t>AR</t>
  </si>
  <si>
    <t>CA</t>
  </si>
  <si>
    <t>N-M</t>
  </si>
  <si>
    <t>CO</t>
  </si>
  <si>
    <t>CT</t>
  </si>
  <si>
    <t>DE</t>
  </si>
  <si>
    <t>DC</t>
  </si>
  <si>
    <t>FL</t>
  </si>
  <si>
    <t>GA</t>
  </si>
  <si>
    <t>HI</t>
  </si>
  <si>
    <t>ID</t>
  </si>
  <si>
    <t>IL</t>
  </si>
  <si>
    <t>IN</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</si>
  <si>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</si>
  <si>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</si>
  <si>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</si>
  <si>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</si>
  <si>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</si>
  <si>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</si>
  <si>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</si>
  <si>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</si>
  <si>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</si>
  <si>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</si>
  <si>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</si>
  <si>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</si>
  <si>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</si>
  <si>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</si>
  <si>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</si>
  <si>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</si>
  <si>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</si>
  <si>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</si>
  <si>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</si>
  <si>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</si>
  <si>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</si>
  <si>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</si>
  <si>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</si>
  <si>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</si>
  <si>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</si>
  <si>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</si>
  <si>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</si>
  <si>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</si>
  <si>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</si>
  <si>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</si>
  <si>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</si>
  <si>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</si>
  <si>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</si>
  <si>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</si>
  <si>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</si>
  <si>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BC</t>
  </si>
  <si>
    <t>CMN</t>
  </si>
  <si>
    <t>NB</t>
  </si>
  <si>
    <t>NF</t>
  </si>
  <si>
    <t>NS</t>
  </si>
  <si>
    <t>ON</t>
  </si>
  <si>
    <t>QB</t>
  </si>
  <si>
    <t>SA</t>
  </si>
  <si>
    <t>Freight Tax Rate:</t>
  </si>
  <si>
    <t>New Building:</t>
  </si>
  <si>
    <t>TAX ON FREIGHT</t>
  </si>
  <si>
    <t>CA LITIGATION FUND</t>
  </si>
  <si>
    <t>PIGMENTED</t>
  </si>
  <si>
    <t>California Litigation Fund</t>
  </si>
  <si>
    <t>Used for California jobs without subcontractors</t>
  </si>
  <si>
    <t>S-R88-ARG2</t>
  </si>
  <si>
    <t>S-R88-SG2</t>
  </si>
  <si>
    <t>S-R88-CG2</t>
  </si>
  <si>
    <t>Gray Area</t>
  </si>
  <si>
    <t>Standard Gray</t>
  </si>
  <si>
    <t>Chateau Gray</t>
  </si>
  <si>
    <t>Case</t>
  </si>
  <si>
    <t>Crew</t>
  </si>
  <si>
    <t>CITY</t>
  </si>
  <si>
    <t>STATE</t>
  </si>
  <si>
    <t>ZIP</t>
  </si>
  <si>
    <t>Rate/Day</t>
  </si>
  <si>
    <t>CONSUMABLES-SUPPLIES-BOX STORE</t>
  </si>
  <si>
    <t>PO CONSUMABLES</t>
  </si>
  <si>
    <t>Rate</t>
  </si>
  <si>
    <t>TAX - M|R|F</t>
  </si>
  <si>
    <t>Tab</t>
  </si>
  <si>
    <t>Travel/Equipment Budget</t>
  </si>
  <si>
    <t>General Project and Flooring System Info</t>
  </si>
  <si>
    <t>Total Man-Days</t>
  </si>
  <si>
    <t>Subtotal</t>
  </si>
  <si>
    <t>Markup %</t>
  </si>
  <si>
    <t>Gross Profit %</t>
  </si>
  <si>
    <t>Days</t>
  </si>
  <si>
    <t>Expense Type</t>
  </si>
  <si>
    <t xml:space="preserve"> TAX - M|R|F</t>
  </si>
  <si>
    <t>Bid Amount</t>
  </si>
  <si>
    <r>
      <t xml:space="preserve">PROJECT MANAGER FREE NOTES AREA </t>
    </r>
    <r>
      <rPr>
        <sz val="16"/>
        <color rgb="FFFF0000"/>
        <rFont val="Calibri"/>
        <family val="2"/>
      </rPr>
      <t>- FORMULAS / COVERAGE RATES / SYSTEM BUILD / LABOR NOTES FROM MEETINGS / ETC.</t>
    </r>
  </si>
  <si>
    <t>**TO EXPORT TABS  -"File" / "Export" / "Create PDF/XPS Document" / enter file name / choose save location / "Publish"</t>
  </si>
  <si>
    <t>VERSION</t>
  </si>
  <si>
    <t xml:space="preserve">       HTI</t>
  </si>
  <si>
    <t xml:space="preserve">                Polymer, Inc.</t>
  </si>
  <si>
    <t>NO.</t>
  </si>
  <si>
    <t xml:space="preserve">W </t>
  </si>
  <si>
    <t>START DATE:</t>
  </si>
  <si>
    <t>COMPLETION DATE:</t>
  </si>
  <si>
    <t>DATE:</t>
  </si>
  <si>
    <t>JOB #:</t>
  </si>
  <si>
    <t>CUSTOMER:</t>
  </si>
  <si>
    <t>INSTALL VENDOR:</t>
  </si>
  <si>
    <t>JOBSITE:</t>
  </si>
  <si>
    <t>PM:</t>
  </si>
  <si>
    <t>JOB CONTACT:</t>
  </si>
  <si>
    <t>PHONE:</t>
  </si>
  <si>
    <t>PROVIDE MATERIALS, LABOR, EQUIPMENT, AND SUPERVISION TO INSTALL POLYMER FLOORING PER PLANS AND SPECIFICATIONS SECTION 09700.  TWO YEAR LABOR WARRANTY PER SPECIFICATION.  SEE APPENDIX A ATTACHED.</t>
  </si>
  <si>
    <t>Polymer Flooring in the following areas:</t>
  </si>
  <si>
    <t>5% Retention Required:</t>
  </si>
  <si>
    <t>AUTHORIZED BY</t>
  </si>
  <si>
    <t>PAYMENT TERMS:  WORK ORDER NUMBER AND JOB NUMBER MUST APPEAR ON ALL INVOICES.  Items on multiple work orders must be invoiced separately.  Please have all invoicing through the end of the month received in our office by the 18th of each month to ensure monthly draws are included in our billings to the Owners; as stated in the “HTI Polymer, Inc. Agreement for Services”.   Invoices are to be sent to HTIAP@htipolymer.com or mail.  Payment terms for all invoices are net 60 days upon receipt of invoice for approval and accepted work and after payment by customer.  All work shall be performed in accordance with prices, delivery, and specifications shown above. The work shall be in compliance with current HTI SOP’s - no deviation will be considered without prior agreement.  Notify HTI immediately if you are unable to complete work by date specified.</t>
  </si>
  <si>
    <t xml:space="preserve">      18702 - 142nd Ave NE   Woodinville, WA 98072
         Ph:  425-487-8911  Fx:  425-487-8915</t>
  </si>
  <si>
    <t>Phone?</t>
  </si>
  <si>
    <t>&lt;--  Rentals Here</t>
  </si>
  <si>
    <t>&lt;- Rentals Here</t>
  </si>
  <si>
    <t>x</t>
  </si>
  <si>
    <t>110 GAL</t>
  </si>
  <si>
    <t>165 GAL</t>
  </si>
  <si>
    <t>159 GAL</t>
  </si>
  <si>
    <t>1.2 GAL</t>
  </si>
  <si>
    <t>50 Gal KIT</t>
  </si>
  <si>
    <t>5 Gal KIT</t>
  </si>
  <si>
    <t>55 lb KIT</t>
  </si>
  <si>
    <t>GP 3555 EPOFLEX 1:1</t>
  </si>
  <si>
    <t>600 UV (SSP JS-600 ALIPHATIC POLYUREA)</t>
  </si>
  <si>
    <t>BRICKPAVER RED</t>
  </si>
  <si>
    <t>OTHER</t>
  </si>
  <si>
    <t>R-MMP-50</t>
  </si>
  <si>
    <t>R-MMA-50</t>
  </si>
  <si>
    <t>.9 GAL</t>
  </si>
  <si>
    <t>1.8 GAL</t>
  </si>
  <si>
    <t>4.7 GAL</t>
  </si>
  <si>
    <t>CRACK FILLER &amp; PATCHING &amp; COLORANT</t>
  </si>
  <si>
    <t>1 pt</t>
  </si>
  <si>
    <t>HPF UNIVERSAL COLORANT</t>
  </si>
  <si>
    <t>Black</t>
  </si>
  <si>
    <t>Yellow</t>
  </si>
  <si>
    <t>Charcoal</t>
  </si>
  <si>
    <t>Light Gray</t>
  </si>
  <si>
    <t>Regal Blue</t>
  </si>
  <si>
    <t>Rich Green</t>
  </si>
  <si>
    <t>Rotunda Red</t>
  </si>
  <si>
    <t>Sandy Beige</t>
  </si>
  <si>
    <t>Tile Red</t>
  </si>
  <si>
    <t>White</t>
  </si>
  <si>
    <t>1 Pt</t>
  </si>
  <si>
    <t>25 Pt</t>
  </si>
  <si>
    <t>Steel Gray</t>
  </si>
  <si>
    <t>600UV Joint Filler - OTHER</t>
  </si>
  <si>
    <t>5 GAL KIT</t>
  </si>
  <si>
    <t>1 GAL KIT</t>
  </si>
  <si>
    <t>5 LB KIT</t>
  </si>
  <si>
    <t>50 GAL KIT</t>
  </si>
  <si>
    <t>55 LB KIT</t>
  </si>
  <si>
    <t>RESUFLOR 3760 RCE RAPID CURE EPOXY</t>
  </si>
  <si>
    <t>5.75 GAL</t>
  </si>
  <si>
    <t>2.2 GAL</t>
  </si>
  <si>
    <t>Canada Gray</t>
  </si>
  <si>
    <t>Start Time</t>
  </si>
  <si>
    <t>Total Sq. Ft.</t>
  </si>
  <si>
    <t>Cost Per Sq. Ft.</t>
  </si>
  <si>
    <t xml:space="preserve">Grand Total </t>
  </si>
  <si>
    <t>NOTE AREA:</t>
  </si>
  <si>
    <t>ALL INFORMATION FIELDS BELOW ARE FILLED FROM THE INFO TAB</t>
  </si>
  <si>
    <t>RIGHT CLICK TABLE BELOW TO GENERATE/REFRESH PO LIST</t>
  </si>
  <si>
    <t>***Right click on the table to generate/refresh PO List***</t>
  </si>
  <si>
    <t>Prep</t>
  </si>
  <si>
    <t>Cove</t>
  </si>
  <si>
    <t>Trowel</t>
  </si>
  <si>
    <t>Seal</t>
  </si>
  <si>
    <t xml:space="preserve">Prep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</si>
</sst>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409]h:mm\ AM/PM;@"/>
    <numFmt numFmtId="165" formatCode="_-[$$-1009]* #,##0.00_-;\-[$$-1009]* #,##0.00_-;_-[$$-1009]* &quot;-&quot;??_-;_-@_-"/>
    <numFmt numFmtId="166" formatCode="m/d/yy;@"/>
    <numFmt numFmtId="167" formatCode="0.000%"/>
    <numFmt numFmtId="168" formatCode="[$-409]m\-d\-yy;@"/>
    <numFmt numFmtId="169" formatCode="&quot;$&quot;#,##0.00"/>
    <numFmt numFmtId="170" formatCode="[$-F400]h:mm:ss\ AM/PM"/>
  </numFmts>
  <fonts count="80"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0"/>
      <name val="Helvetica"/>
    </font>
    <font>
      <sz val="11"/>
      <color theme="1"/>
      <name val="Calibri"/>
      <family val="2"/>
      <scheme val="minor"/>
    </font>
    <font>
      <b/>
      <sz val="10"/>
      <name val="Helvetica"/>
    </font>
    <font>
      <b/>
      <sz val="11"/>
      <name val="Helvetica"/>
    </font>
    <font>
      <sz val="11"/>
      <color theme="0"/>
      <name val="Calibri"/>
      <family val="2"/>
    </font>
    <font>
      <sz val="11"/>
      <name val="Calibri"/>
      <family val="2"/>
    </font>
    <font>
      <sz val="10"/>
      <name val="Calibri"/>
      <family val="2"/>
    </font>
    <font>
      <b/>
      <i/>
      <sz val="11"/>
      <name val="Calibri"/>
      <family val="2"/>
    </font>
    <font>
      <b/>
      <sz val="11"/>
      <name val="Calibri"/>
      <family val="2"/>
    </font>
    <font>
      <b/>
      <sz val="22"/>
      <name val="Helvetica"/>
    </font>
    <font>
      <b/>
      <sz val="20"/>
      <name val="Helvetica"/>
    </font>
    <font>
      <b/>
      <sz val="12"/>
      <name val="Helvetica"/>
    </font>
    <font>
      <b/>
      <sz val="14"/>
      <name val="Helvetica"/>
    </font>
    <font>
      <sz val="12"/>
      <name val="Helvetica"/>
    </font>
    <font>
      <sz val="14"/>
      <name val="Helvetica"/>
    </font>
    <font>
      <sz val="16"/>
      <name val="Helvetica"/>
    </font>
    <font>
      <b/>
      <sz val="16"/>
      <name val="Helvetica"/>
    </font>
    <font>
      <sz val="10"/>
      <color theme="0"/>
      <name val="Helvetica"/>
    </font>
    <font>
      <b/>
      <sz val="18"/>
      <color theme="1"/>
      <name val="Calibri"/>
      <family val="2"/>
    </font>
    <font>
      <sz val="8"/>
      <name val="Calibri"/>
      <family val="2"/>
    </font>
    <font>
      <b/>
      <sz val="9"/>
      <name val="Calibri"/>
      <family val="2"/>
    </font>
    <font>
      <b/>
      <sz val="10"/>
      <name val="Calibri"/>
      <family val="2"/>
    </font>
    <font>
      <b/>
      <i/>
      <sz val="12"/>
      <name val="Calibri"/>
      <family val="2"/>
    </font>
    <font>
      <b/>
      <sz val="12"/>
      <name val="Calibri"/>
      <family val="2"/>
    </font>
    <font>
      <sz val="11"/>
      <color indexed="81"/>
      <name val="Calibri"/>
      <family val="2"/>
    </font>
    <font>
      <b/>
      <sz val="14"/>
      <name val="Calibri"/>
      <family val="2"/>
    </font>
    <font>
      <b/>
      <sz val="11"/>
      <color theme="1"/>
      <name val="Calibri"/>
      <family val="2"/>
      <scheme val="minor"/>
    </font>
    <font>
      <sz val="10"/>
      <color theme="1"/>
      <name val="Calibri"/>
      <family val="2"/>
      <scheme val="minor"/>
    </font>
    <font>
      <sz val="9"/>
      <color theme="1"/>
      <name val="Calibri"/>
      <family val="2"/>
      <scheme val="minor"/>
    </font>
    <font>
      <b/>
      <sz val="12"/>
      <color theme="1"/>
      <name val="Calibri"/>
      <family val="2"/>
      <scheme val="minor"/>
    </font>
    <font>
      <b/>
      <sz val="9"/>
      <color theme="1"/>
      <name val="Calibri"/>
      <family val="2"/>
      <scheme val="minor"/>
    </font>
    <font>
      <sz val="12"/>
      <name val="Calibri"/>
      <family val="2"/>
    </font>
    <font>
      <sz val="12"/>
      <color theme="1"/>
      <name val="Calibri"/>
      <family val="2"/>
    </font>
    <font>
      <b/>
      <sz val="12"/>
      <color theme="1"/>
      <name val="Calibri"/>
      <family val="2"/>
    </font>
    <font>
      <b/>
      <sz val="14"/>
      <color rgb="FFFF0000"/>
      <name val="Calibri"/>
      <family val="2"/>
    </font>
    <font>
      <sz val="11"/>
      <color indexed="81"/>
      <name val="Calibri"/>
      <family val="2"/>
      <scheme val="minor"/>
    </font>
    <font>
      <sz val="11"/>
      <color rgb="FFFF0000"/>
      <name val="Calibri"/>
      <family val="2"/>
    </font>
    <font>
      <b/>
      <sz val="18"/>
      <color rgb="FFFF0000"/>
      <name val="Calibri"/>
      <family val="2"/>
    </font>
    <font>
      <b/>
      <sz val="20"/>
      <color rgb="FFC00000"/>
      <name val="Calibri"/>
      <family val="2"/>
    </font>
    <font>
      <b/>
      <sz val="9"/>
      <color indexed="81"/>
      <name val="Tahoma"/>
      <family val="2"/>
    </font>
    <font>
      <b/>
      <sz val="12"/>
      <color rgb="FFFF0000"/>
      <name val="Calibri"/>
      <family val="2"/>
    </font>
    <font>
      <sz val="12"/>
      <color rgb="FFFF0000"/>
      <name val="Calibri"/>
      <family val="2"/>
    </font>
    <font>
      <b/>
      <sz val="16"/>
      <color rgb="FFFF0000"/>
      <name val="Calibri"/>
      <family val="2"/>
    </font>
    <font>
      <sz val="16"/>
      <color rgb="FFFF0000"/>
      <name val="Calibri"/>
      <family val="2"/>
    </font>
    <font>
      <b/>
      <sz val="18"/>
      <color rgb="FF00B050"/>
      <name val="Calibri"/>
      <family val="2"/>
    </font>
    <font>
      <sz val="10"/>
      <name val="Times New Roman"/>
      <family val="1"/>
    </font>
    <font>
      <b/>
      <sz val="17"/>
      <name val="Times New Roman"/>
      <family val="1"/>
    </font>
    <font>
      <b/>
      <sz val="12"/>
      <name val="Times New Roman"/>
      <family val="1"/>
    </font>
    <font>
      <sz val="10"/>
      <name val="Tahoma"/>
      <family val="2"/>
    </font>
    <font>
      <b/>
      <sz val="18"/>
      <name val="Times New Roman"/>
      <family val="1"/>
    </font>
    <font>
      <sz val="18"/>
      <name val="Tahoma"/>
      <family val="2"/>
    </font>
    <font>
      <b/>
      <i/>
      <sz val="12"/>
      <name val="Times New Roman"/>
      <family val="1"/>
    </font>
    <font>
      <sz val="14"/>
      <name val="Times New Roman"/>
      <family val="1"/>
    </font>
    <font>
      <b/>
      <i/>
      <sz val="14"/>
      <name val="Times New Roman"/>
      <family val="1"/>
    </font>
    <font>
      <b/>
      <i/>
      <sz val="10"/>
      <name val="Times New Roman"/>
      <family val="1"/>
    </font>
    <font>
      <b/>
      <i/>
      <sz val="16"/>
      <name val="Times New Roman"/>
      <family val="1"/>
    </font>
    <font>
      <b/>
      <sz val="11"/>
      <name val="Times New Roman"/>
      <family val="1"/>
    </font>
    <font>
      <b/>
      <sz val="20"/>
      <name val="Times New Roman"/>
      <family val="1"/>
    </font>
    <font>
      <sz val="13"/>
      <name val="Times New Roman"/>
      <family val="1"/>
    </font>
    <font>
      <sz val="15"/>
      <name val="Times New Roman"/>
      <family val="1"/>
    </font>
    <font>
      <b/>
      <i/>
      <sz val="15"/>
      <name val="Times New Roman"/>
      <family val="1"/>
    </font>
    <font>
      <b/>
      <sz val="15"/>
      <name val="Times New Roman"/>
      <family val="1"/>
    </font>
    <font>
      <b/>
      <sz val="15"/>
      <color rgb="FFFF0000"/>
      <name val="Times New Roman"/>
      <family val="1"/>
    </font>
    <font>
      <b/>
      <sz val="10"/>
      <name val="Times New Roman"/>
      <family val="1"/>
    </font>
    <font>
      <sz val="12"/>
      <color indexed="8"/>
      <name val="Times New Roman"/>
      <family val="1"/>
    </font>
    <font>
      <sz val="20"/>
      <name val="Times New Roman"/>
      <family val="1"/>
    </font>
    <font>
      <sz val="14"/>
      <color theme="1"/>
      <name val="Times New Roman"/>
      <family val="1"/>
    </font>
    <font>
      <b/>
      <sz val="50"/>
      <color indexed="8"/>
      <name val="Times New Roman"/>
      <family val="1"/>
    </font>
    <font>
      <sz val="12"/>
      <name val="Calibri"/>
      <family val="2"/>
      <scheme val="minor"/>
    </font>
    <font>
      <b/>
      <sz val="11"/>
      <color theme="0"/>
      <name val="Calibri"/>
      <family val="2"/>
    </font>
  </fonts>
  <fills count="1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75DBFF"/>
        <bgColor indexed="64"/>
      </patternFill>
    </fill>
    <fill>
      <patternFill patternType="solid">
        <fgColor theme="0" tint="-0.14999847407452621"/>
        <bgColor indexed="64"/>
      </patternFill>
    </fill>
    <fill>
      <patternFill patternType="solid">
        <fgColor theme="0"/>
        <bgColor indexed="64"/>
      </patternFill>
    </fill>
    <fill>
      <patternFill patternType="solid">
        <fgColor rgb="FFECECEC"/>
        <bgColor indexed="64"/>
      </patternFill>
    </fill>
    <fill>
      <patternFill patternType="solid">
        <fgColor rgb="FF78DE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1F7FF"/>
        <bgColor indexed="64"/>
      </patternFill>
    </fill>
    <fill>
      <patternFill patternType="solid">
        <fgColor rgb="FFFF66CC"/>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indexed="22"/>
        <bgColor indexed="64"/>
      </patternFill>
    </fill>
    <fill>
      <patternFill patternType="solid">
        <fgColor theme="5" tint="0.59999389629810485"/>
        <bgColor indexed="64"/>
      </patternFill>
    </fill>
    <fill>
      <patternFill patternType="solid">
        <fgColor theme="0" tint="-0.14999847407452621"/>
        <bgColor theme="0" tint="-0.14999847407452621"/>
      </patternFill>
    </fill>
    <fill>
      <patternFill patternType="solid">
        <fgColor theme="2" tint="-0.249977111117893"/>
        <bgColor indexed="64"/>
      </patternFill>
    </fill>
  </fills>
  <borders count="91">
    <border>
      <left/>
      <right/>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style="thin">
        <color auto="1"/>
      </top>
      <bottom style="medium">
        <color indexed="64"/>
      </bottom>
      <diagonal/>
    </border>
    <border>
      <left style="medium">
        <color indexed="64"/>
      </left>
      <right style="medium">
        <color indexed="64"/>
      </right>
      <top style="dashDotDot">
        <color auto="1"/>
      </top>
      <bottom style="medium">
        <color indexed="64"/>
      </bottom>
      <diagonal/>
    </border>
    <border>
      <left style="medium">
        <color indexed="64"/>
      </left>
      <right style="medium">
        <color indexed="64"/>
      </right>
      <top style="dashDotDot">
        <color auto="1"/>
      </top>
      <bottom style="dashDotDot">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bottom style="dashDotDot">
        <color auto="1"/>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indexed="64"/>
      </left>
      <right style="thin">
        <color indexed="64"/>
      </right>
      <top style="medium">
        <color indexed="64"/>
      </top>
      <bottom style="medium">
        <color indexed="64"/>
      </bottom>
      <diagonal/>
    </border>
  </borders>
  <cellStyleXfs count="17">
    <xf numFmtId="0" fontId="0" fillId="0" borderId="0"/>
    <xf numFmtId="44" fontId="9"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0" fontId="7" fillId="0" borderId="0"/>
    <xf numFmtId="0" fontId="6" fillId="0" borderId="0"/>
    <xf numFmtId="44" fontId="6" fillId="0" borderId="0" applyFont="0" applyFill="0" applyBorder="0" applyAlignment="0" applyProtection="0"/>
    <xf numFmtId="0" fontId="5" fillId="0" borderId="0"/>
    <xf numFmtId="0" fontId="5" fillId="0" borderId="0"/>
    <xf numFmtId="44" fontId="4" fillId="0" borderId="0" applyFont="0" applyFill="0" applyBorder="0" applyAlignment="0" applyProtection="0"/>
    <xf numFmtId="0" fontId="2" fillId="0" borderId="0"/>
    <xf numFmtId="0" fontId="55" fillId="0" borderId="0"/>
    <xf numFmtId="44" fontId="2" fillId="0" borderId="0" applyFont="0" applyFill="0" applyBorder="0" applyAlignment="0" applyProtection="0"/>
    <xf numFmtId="0" fontId="1" fillId="0" borderId="0"/>
    <xf numFmtId="44" fontId="1" fillId="0" borderId="0" applyFont="0" applyFill="0" applyBorder="0" applyAlignment="0" applyProtection="0"/>
  </cellStyleXfs>
  <cellXfs count="1043">
    <xf numFmtId="0" fontId="0" fillId="0" borderId="0" xfId="0"/>
    <xf numFmtId="0" fontId="0" fillId="0" borderId="0" xfId="0" applyAlignment="1">
      <alignment horizontal="center"/>
    </xf>
    <xf numFmtId="0" fontId="8" fillId="0" borderId="0" xfId="0" applyFont="1" applyAlignment="1">
      <alignment horizontal="left"/>
    </xf>
    <xf numFmtId="165" fontId="0" fillId="0" borderId="0" xfId="0" applyNumberFormat="1" applyAlignment="1">
      <alignment horizontal="center"/>
    </xf>
    <xf numFmtId="0" fontId="0" fillId="0" borderId="0" xfId="0" applyAlignment="1">
      <alignment horizontal="left"/>
    </xf>
    <xf numFmtId="44" fontId="15" fillId="4" borderId="12" xfId="1" applyFont="1" applyFill="1" applyBorder="1" applyAlignment="1" applyProtection="1">
      <alignment horizontal="center"/>
      <protection locked="0"/>
    </xf>
    <xf numFmtId="44" fontId="15" fillId="4" borderId="3" xfId="1" applyFont="1" applyFill="1" applyBorder="1" applyAlignment="1" applyProtection="1">
      <alignment horizontal="center"/>
      <protection locked="0"/>
    </xf>
    <xf numFmtId="0" fontId="0" fillId="0" borderId="0" xfId="0" applyAlignment="1">
      <alignment horizontal="center" vertical="center"/>
    </xf>
    <xf numFmtId="44" fontId="0" fillId="0" borderId="0" xfId="1" applyFont="1" applyAlignment="1">
      <alignment horizontal="center" vertical="center"/>
    </xf>
    <xf numFmtId="44" fontId="0" fillId="0" borderId="0" xfId="0" applyNumberFormat="1" applyAlignment="1">
      <alignment horizontal="center" vertical="center"/>
    </xf>
    <xf numFmtId="0" fontId="8" fillId="4" borderId="28" xfId="0" applyFont="1" applyFill="1" applyBorder="1" applyAlignment="1">
      <alignment horizontal="center" vertical="center"/>
    </xf>
    <xf numFmtId="0" fontId="8" fillId="0" borderId="0" xfId="0" applyFont="1" applyAlignment="1">
      <alignment horizontal="right" vertical="center" indent="2"/>
    </xf>
    <xf numFmtId="0" fontId="0" fillId="0" borderId="0" xfId="0" applyAlignment="1">
      <alignment horizontal="right" vertical="center" indent="2"/>
    </xf>
    <xf numFmtId="44" fontId="0" fillId="0" borderId="0" xfId="1" applyFont="1" applyProtection="1"/>
    <xf numFmtId="0" fontId="0" fillId="0" borderId="1" xfId="0" applyBorder="1" applyAlignment="1">
      <alignment horizontal="center"/>
    </xf>
    <xf numFmtId="0" fontId="0" fillId="0" borderId="16" xfId="0" applyBorder="1" applyAlignment="1">
      <alignment horizontal="center"/>
    </xf>
    <xf numFmtId="44" fontId="15" fillId="0" borderId="3" xfId="1" applyFont="1" applyBorder="1" applyAlignment="1" applyProtection="1">
      <alignment horizontal="center"/>
    </xf>
    <xf numFmtId="0" fontId="10" fillId="0" borderId="0" xfId="0" applyFont="1" applyAlignment="1">
      <alignment vertical="center"/>
    </xf>
    <xf numFmtId="0" fontId="10" fillId="0" borderId="0" xfId="0" applyFont="1" applyAlignment="1">
      <alignment horizontal="center" vertical="center"/>
    </xf>
    <xf numFmtId="0" fontId="12" fillId="0" borderId="0" xfId="0" applyFont="1" applyAlignment="1">
      <alignment horizontal="center" vertical="center"/>
    </xf>
    <xf numFmtId="49" fontId="10" fillId="0" borderId="0" xfId="0" applyNumberFormat="1" applyFont="1" applyAlignment="1">
      <alignment vertical="center"/>
    </xf>
    <xf numFmtId="0" fontId="20" fillId="0" borderId="0" xfId="0" applyFont="1" applyAlignment="1">
      <alignment horizontal="center" vertical="center"/>
    </xf>
    <xf numFmtId="0" fontId="21" fillId="0" borderId="0" xfId="0" applyFont="1" applyAlignment="1">
      <alignment horizontal="right" vertical="center" indent="2"/>
    </xf>
    <xf numFmtId="0" fontId="13" fillId="0" borderId="0" xfId="0" applyFont="1" applyAlignment="1">
      <alignment horizontal="right" vertical="center" indent="1"/>
    </xf>
    <xf numFmtId="0" fontId="10" fillId="0" borderId="28" xfId="0" applyFont="1" applyBorder="1" applyAlignment="1">
      <alignment horizontal="center" vertical="center"/>
    </xf>
    <xf numFmtId="0" fontId="23" fillId="0" borderId="0" xfId="0" applyFont="1" applyAlignment="1">
      <alignment horizontal="right" vertical="center" indent="2"/>
    </xf>
    <xf numFmtId="0" fontId="24"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horizontal="left" vertical="center"/>
    </xf>
    <xf numFmtId="0" fontId="25" fillId="0" borderId="0" xfId="0" applyFont="1" applyAlignment="1">
      <alignment vertical="center"/>
    </xf>
    <xf numFmtId="0" fontId="23" fillId="0" borderId="0" xfId="0" applyFont="1" applyAlignment="1">
      <alignment vertical="center"/>
    </xf>
    <xf numFmtId="0" fontId="22" fillId="0" borderId="0" xfId="0" applyFont="1" applyAlignment="1">
      <alignment horizontal="center" vertical="center"/>
    </xf>
    <xf numFmtId="0" fontId="27" fillId="0" borderId="0" xfId="0" applyFont="1" applyAlignment="1">
      <alignment vertical="center"/>
    </xf>
    <xf numFmtId="49" fontId="27" fillId="0" borderId="0" xfId="0" applyNumberFormat="1" applyFont="1" applyAlignment="1">
      <alignment vertical="center"/>
    </xf>
    <xf numFmtId="0" fontId="8" fillId="0" borderId="0" xfId="0" applyFont="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8" fillId="0" borderId="45" xfId="0" applyFont="1"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2" borderId="0" xfId="0" applyFill="1" applyAlignment="1">
      <alignment horizontal="center"/>
    </xf>
    <xf numFmtId="44" fontId="15" fillId="4" borderId="53" xfId="1" applyFont="1" applyFill="1" applyBorder="1" applyAlignment="1" applyProtection="1">
      <alignment horizontal="center"/>
      <protection locked="0"/>
    </xf>
    <xf numFmtId="44" fontId="15" fillId="0" borderId="53" xfId="1" applyFont="1" applyBorder="1" applyAlignment="1" applyProtection="1">
      <alignment horizontal="center"/>
    </xf>
    <xf numFmtId="44" fontId="15" fillId="0" borderId="44" xfId="1" applyFont="1" applyBorder="1" applyAlignment="1" applyProtection="1">
      <alignment horizontal="center"/>
    </xf>
    <xf numFmtId="44" fontId="15" fillId="0" borderId="22" xfId="1" applyFont="1" applyBorder="1" applyAlignment="1" applyProtection="1">
      <alignment horizontal="center"/>
    </xf>
    <xf numFmtId="44" fontId="15" fillId="0" borderId="57" xfId="1" applyFont="1" applyBorder="1" applyAlignment="1" applyProtection="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8" fillId="0" borderId="19" xfId="0" applyFont="1" applyBorder="1" applyAlignment="1">
      <alignment horizontal="center"/>
    </xf>
    <xf numFmtId="49" fontId="0" fillId="0" borderId="5" xfId="0" applyNumberFormat="1" applyBorder="1" applyAlignment="1">
      <alignment horizontal="center"/>
    </xf>
    <xf numFmtId="0" fontId="0" fillId="9" borderId="1" xfId="0" applyFill="1" applyBorder="1" applyAlignment="1">
      <alignment horizontal="center"/>
    </xf>
    <xf numFmtId="0" fontId="0" fillId="9" borderId="16" xfId="0" applyFill="1" applyBorder="1" applyAlignment="1">
      <alignment horizontal="center"/>
    </xf>
    <xf numFmtId="0" fontId="0" fillId="9" borderId="20" xfId="0" applyFill="1" applyBorder="1" applyAlignment="1">
      <alignment horizontal="center"/>
    </xf>
    <xf numFmtId="0" fontId="0" fillId="0" borderId="8" xfId="0" applyBorder="1" applyAlignment="1">
      <alignment horizontal="center"/>
    </xf>
    <xf numFmtId="0" fontId="0" fillId="0" borderId="0" xfId="0" quotePrefix="1" applyAlignment="1">
      <alignment horizontal="center"/>
    </xf>
    <xf numFmtId="3" fontId="0" fillId="0" borderId="0" xfId="0" applyNumberFormat="1" applyAlignment="1">
      <alignment horizontal="center"/>
    </xf>
    <xf numFmtId="0" fontId="19" fillId="0" borderId="0" xfId="0" applyFont="1" applyAlignment="1">
      <alignment horizontal="center" vertical="center"/>
    </xf>
    <xf numFmtId="0" fontId="0" fillId="9" borderId="0" xfId="0" applyFill="1" applyAlignment="1">
      <alignment horizontal="center"/>
    </xf>
    <xf numFmtId="44" fontId="0" fillId="0" borderId="0" xfId="1" applyFont="1" applyAlignment="1">
      <alignment horizontal="center"/>
    </xf>
    <xf numFmtId="0" fontId="8" fillId="0" borderId="16" xfId="0" applyFont="1" applyBorder="1" applyAlignment="1">
      <alignment horizontal="center"/>
    </xf>
    <xf numFmtId="49" fontId="8" fillId="0" borderId="0" xfId="0" applyNumberFormat="1" applyFont="1" applyAlignment="1">
      <alignment horizontal="left"/>
    </xf>
    <xf numFmtId="49" fontId="0" fillId="0" borderId="0" xfId="0" applyNumberFormat="1" applyAlignment="1">
      <alignment horizontal="center"/>
    </xf>
    <xf numFmtId="0" fontId="14" fillId="0" borderId="0" xfId="0" applyFont="1"/>
    <xf numFmtId="0" fontId="15" fillId="0" borderId="0" xfId="0" applyFont="1"/>
    <xf numFmtId="44" fontId="16" fillId="8" borderId="24" xfId="1" applyFont="1" applyFill="1" applyBorder="1" applyAlignment="1" applyProtection="1">
      <alignment vertical="center"/>
      <protection locked="0"/>
    </xf>
    <xf numFmtId="44" fontId="16" fillId="0" borderId="59" xfId="1" applyFont="1" applyBorder="1" applyAlignment="1" applyProtection="1">
      <alignment horizontal="center" vertical="center"/>
    </xf>
    <xf numFmtId="44" fontId="16" fillId="0" borderId="22" xfId="1" applyFont="1" applyBorder="1" applyAlignment="1" applyProtection="1">
      <alignment horizontal="center" vertical="center"/>
    </xf>
    <xf numFmtId="44" fontId="16" fillId="8" borderId="3" xfId="1" applyFont="1" applyFill="1" applyBorder="1" applyAlignment="1" applyProtection="1">
      <alignment vertical="center"/>
      <protection locked="0"/>
    </xf>
    <xf numFmtId="44" fontId="16" fillId="8" borderId="3" xfId="1" applyFont="1" applyFill="1" applyBorder="1" applyProtection="1">
      <protection locked="0"/>
    </xf>
    <xf numFmtId="0" fontId="18" fillId="3" borderId="7"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58" xfId="0" applyFont="1" applyFill="1" applyBorder="1" applyAlignment="1">
      <alignment horizontal="center" vertical="center"/>
    </xf>
    <xf numFmtId="44" fontId="18" fillId="3" borderId="36" xfId="1" applyFont="1" applyFill="1" applyBorder="1" applyAlignment="1" applyProtection="1">
      <alignment horizontal="center"/>
    </xf>
    <xf numFmtId="44" fontId="15" fillId="0" borderId="0" xfId="1" applyFont="1" applyBorder="1" applyAlignment="1" applyProtection="1">
      <alignment horizontal="center"/>
    </xf>
    <xf numFmtId="44" fontId="18" fillId="3" borderId="35" xfId="1" applyFont="1" applyFill="1" applyBorder="1" applyAlignment="1" applyProtection="1">
      <alignment horizontal="center"/>
    </xf>
    <xf numFmtId="0" fontId="26" fillId="0" borderId="0" xfId="0" applyFont="1" applyAlignment="1">
      <alignment horizontal="center" vertical="center"/>
    </xf>
    <xf numFmtId="0" fontId="23" fillId="0" borderId="0" xfId="0" applyFont="1" applyAlignment="1">
      <alignment horizontal="center" vertical="center"/>
    </xf>
    <xf numFmtId="0" fontId="18" fillId="3" borderId="35" xfId="0" applyFont="1" applyFill="1" applyBorder="1" applyAlignment="1">
      <alignment horizontal="center" vertical="center"/>
    </xf>
    <xf numFmtId="44" fontId="18" fillId="3" borderId="36" xfId="1" applyFont="1" applyFill="1" applyBorder="1" applyAlignment="1" applyProtection="1">
      <alignment horizontal="center" vertical="center"/>
    </xf>
    <xf numFmtId="0" fontId="31" fillId="8" borderId="37" xfId="0" applyFont="1" applyFill="1" applyBorder="1" applyAlignment="1" applyProtection="1">
      <alignment horizontal="left" vertical="center" indent="3"/>
      <protection locked="0"/>
    </xf>
    <xf numFmtId="0" fontId="31" fillId="8" borderId="4" xfId="0" applyFont="1" applyFill="1" applyBorder="1" applyAlignment="1" applyProtection="1">
      <alignment horizontal="left" vertical="center" indent="3"/>
      <protection locked="0"/>
    </xf>
    <xf numFmtId="0" fontId="31" fillId="8" borderId="38" xfId="0" applyFont="1" applyFill="1" applyBorder="1" applyAlignment="1" applyProtection="1">
      <alignment horizontal="left" vertical="center" indent="3"/>
      <protection locked="0"/>
    </xf>
    <xf numFmtId="0" fontId="31" fillId="8" borderId="34" xfId="0" applyFont="1" applyFill="1" applyBorder="1" applyAlignment="1" applyProtection="1">
      <alignment horizontal="left" vertical="center" indent="3"/>
      <protection locked="0"/>
    </xf>
    <xf numFmtId="0" fontId="18" fillId="3" borderId="36" xfId="0" applyFont="1" applyFill="1" applyBorder="1" applyAlignment="1">
      <alignment horizontal="center" vertical="center"/>
    </xf>
    <xf numFmtId="0" fontId="15" fillId="8" borderId="38" xfId="0" applyFont="1" applyFill="1" applyBorder="1" applyAlignment="1" applyProtection="1">
      <alignment horizontal="left" vertical="center" indent="3"/>
      <protection locked="0"/>
    </xf>
    <xf numFmtId="0" fontId="15" fillId="8" borderId="37" xfId="0" applyFont="1" applyFill="1" applyBorder="1" applyAlignment="1" applyProtection="1">
      <alignment horizontal="left" vertical="center" indent="3"/>
      <protection locked="0"/>
    </xf>
    <xf numFmtId="2" fontId="15" fillId="4" borderId="3" xfId="7" applyNumberFormat="1" applyFont="1" applyFill="1" applyBorder="1" applyAlignment="1" applyProtection="1">
      <alignment horizontal="center" vertical="center"/>
      <protection locked="0"/>
    </xf>
    <xf numFmtId="0" fontId="15" fillId="4" borderId="37" xfId="0" applyFont="1" applyFill="1" applyBorder="1" applyAlignment="1" applyProtection="1">
      <alignment horizontal="center" vertical="center"/>
      <protection locked="0"/>
    </xf>
    <xf numFmtId="44" fontId="16" fillId="0" borderId="32" xfId="1" applyFont="1" applyBorder="1" applyAlignment="1" applyProtection="1">
      <alignment horizontal="center" vertical="center"/>
    </xf>
    <xf numFmtId="44" fontId="16" fillId="8" borderId="15" xfId="1" applyFont="1" applyFill="1" applyBorder="1" applyProtection="1">
      <protection locked="0"/>
    </xf>
    <xf numFmtId="0" fontId="0" fillId="0" borderId="17" xfId="0" quotePrefix="1" applyBorder="1" applyAlignment="1">
      <alignment horizontal="center"/>
    </xf>
    <xf numFmtId="166" fontId="8" fillId="2" borderId="28" xfId="0" applyNumberFormat="1" applyFont="1" applyFill="1" applyBorder="1" applyAlignment="1">
      <alignment horizontal="center" vertical="center"/>
    </xf>
    <xf numFmtId="0" fontId="14" fillId="0" borderId="0" xfId="0" applyFont="1" applyAlignment="1">
      <alignment horizontal="center" vertical="center"/>
    </xf>
    <xf numFmtId="166" fontId="14" fillId="0" borderId="0" xfId="0" applyNumberFormat="1" applyFont="1" applyAlignment="1">
      <alignment horizontal="center" vertical="center"/>
    </xf>
    <xf numFmtId="0" fontId="5" fillId="0" borderId="0" xfId="9"/>
    <xf numFmtId="0" fontId="5" fillId="6" borderId="21" xfId="9" applyFill="1" applyBorder="1"/>
    <xf numFmtId="0" fontId="5" fillId="6" borderId="20" xfId="9" applyFill="1" applyBorder="1"/>
    <xf numFmtId="0" fontId="5" fillId="6" borderId="16" xfId="9" applyFill="1" applyBorder="1"/>
    <xf numFmtId="0" fontId="5" fillId="6" borderId="5" xfId="9" applyFill="1" applyBorder="1"/>
    <xf numFmtId="0" fontId="5" fillId="6" borderId="0" xfId="9" applyFill="1"/>
    <xf numFmtId="0" fontId="5" fillId="6" borderId="1" xfId="9" applyFill="1" applyBorder="1"/>
    <xf numFmtId="0" fontId="37" fillId="6" borderId="5" xfId="10" applyFont="1" applyFill="1" applyBorder="1"/>
    <xf numFmtId="0" fontId="37" fillId="6" borderId="30" xfId="10" applyFont="1" applyFill="1" applyBorder="1" applyAlignment="1">
      <alignment vertical="center"/>
    </xf>
    <xf numFmtId="0" fontId="38" fillId="0" borderId="26" xfId="10" applyFont="1" applyBorder="1" applyAlignment="1">
      <alignment vertical="center"/>
    </xf>
    <xf numFmtId="0" fontId="37" fillId="6" borderId="13" xfId="10" applyFont="1" applyFill="1" applyBorder="1" applyAlignment="1">
      <alignment vertical="center"/>
    </xf>
    <xf numFmtId="0" fontId="38" fillId="0" borderId="23" xfId="10" applyFont="1" applyBorder="1" applyAlignment="1">
      <alignment vertical="center"/>
    </xf>
    <xf numFmtId="0" fontId="37" fillId="6" borderId="31" xfId="10" applyFont="1" applyFill="1" applyBorder="1" applyAlignment="1">
      <alignment vertical="center"/>
    </xf>
    <xf numFmtId="0" fontId="38" fillId="0" borderId="42" xfId="10" applyFont="1" applyBorder="1" applyAlignment="1">
      <alignment vertical="center"/>
    </xf>
    <xf numFmtId="0" fontId="40" fillId="0" borderId="42" xfId="10" applyFont="1" applyBorder="1" applyAlignment="1">
      <alignment vertical="center"/>
    </xf>
    <xf numFmtId="0" fontId="38" fillId="6" borderId="23" xfId="10" applyFont="1" applyFill="1" applyBorder="1" applyAlignment="1">
      <alignment vertical="center"/>
    </xf>
    <xf numFmtId="0" fontId="37" fillId="6" borderId="8" xfId="10" applyFont="1" applyFill="1" applyBorder="1" applyAlignment="1">
      <alignment vertical="center"/>
    </xf>
    <xf numFmtId="0" fontId="38" fillId="0" borderId="6" xfId="10" applyFont="1" applyBorder="1" applyAlignment="1">
      <alignment vertical="center"/>
    </xf>
    <xf numFmtId="0" fontId="5" fillId="6" borderId="0" xfId="9" applyFill="1" applyAlignment="1">
      <alignment vertical="center"/>
    </xf>
    <xf numFmtId="169" fontId="5" fillId="6" borderId="0" xfId="9" applyNumberFormat="1" applyFill="1" applyAlignment="1">
      <alignment vertical="center"/>
    </xf>
    <xf numFmtId="0" fontId="36" fillId="6" borderId="0" xfId="9" applyFont="1" applyFill="1" applyAlignment="1">
      <alignment vertical="center"/>
    </xf>
    <xf numFmtId="0" fontId="5" fillId="6" borderId="19" xfId="9" applyFill="1" applyBorder="1"/>
    <xf numFmtId="0" fontId="5" fillId="6" borderId="18" xfId="9" applyFill="1" applyBorder="1"/>
    <xf numFmtId="0" fontId="5" fillId="6" borderId="17" xfId="9" applyFill="1" applyBorder="1"/>
    <xf numFmtId="0" fontId="42" fillId="0" borderId="0" xfId="0" applyFont="1"/>
    <xf numFmtId="0" fontId="42" fillId="0" borderId="1" xfId="0" applyFont="1" applyBorder="1"/>
    <xf numFmtId="0" fontId="33" fillId="0" borderId="0" xfId="0" applyFont="1"/>
    <xf numFmtId="0" fontId="42" fillId="0" borderId="5" xfId="0" applyFont="1" applyBorder="1"/>
    <xf numFmtId="0" fontId="42" fillId="0" borderId="0" xfId="0" applyFont="1" applyAlignment="1">
      <alignment horizontal="right"/>
    </xf>
    <xf numFmtId="0" fontId="33" fillId="0" borderId="0" xfId="0" applyFont="1" applyAlignment="1">
      <alignment horizontal="right"/>
    </xf>
    <xf numFmtId="0" fontId="33" fillId="0" borderId="0" xfId="0" applyFont="1" applyAlignment="1">
      <alignment horizontal="center" vertical="center" wrapText="1"/>
    </xf>
    <xf numFmtId="0" fontId="36" fillId="3" borderId="74" xfId="9" applyFont="1" applyFill="1" applyBorder="1" applyAlignment="1">
      <alignment horizontal="center" vertical="center"/>
    </xf>
    <xf numFmtId="0" fontId="36" fillId="3" borderId="73" xfId="9" applyFont="1" applyFill="1" applyBorder="1" applyAlignment="1">
      <alignment horizontal="center" vertical="center"/>
    </xf>
    <xf numFmtId="0" fontId="33" fillId="5" borderId="6" xfId="0" applyFont="1" applyFill="1" applyBorder="1" applyAlignment="1">
      <alignment horizontal="center" vertical="center" wrapText="1"/>
    </xf>
    <xf numFmtId="0" fontId="33" fillId="5" borderId="8" xfId="0" applyFont="1" applyFill="1" applyBorder="1" applyAlignment="1">
      <alignment horizontal="center" vertical="center" wrapText="1"/>
    </xf>
    <xf numFmtId="44" fontId="0" fillId="2" borderId="0" xfId="1" applyFont="1" applyFill="1" applyAlignment="1">
      <alignment horizontal="center"/>
    </xf>
    <xf numFmtId="0" fontId="0" fillId="0" borderId="0" xfId="1" applyNumberFormat="1" applyFont="1" applyAlignment="1">
      <alignment horizontal="center"/>
    </xf>
    <xf numFmtId="0" fontId="33" fillId="4" borderId="28" xfId="0" applyFont="1" applyFill="1" applyBorder="1" applyAlignment="1" applyProtection="1">
      <alignment horizontal="center" vertical="center"/>
      <protection locked="0"/>
    </xf>
    <xf numFmtId="0" fontId="41" fillId="4" borderId="40" xfId="0" applyFont="1" applyFill="1" applyBorder="1" applyAlignment="1" applyProtection="1">
      <alignment horizontal="center" vertical="center"/>
      <protection locked="0"/>
    </xf>
    <xf numFmtId="3" fontId="41" fillId="4" borderId="11" xfId="0" applyNumberFormat="1" applyFont="1" applyFill="1" applyBorder="1" applyAlignment="1" applyProtection="1">
      <alignment horizontal="center" vertical="center"/>
      <protection locked="0"/>
    </xf>
    <xf numFmtId="0" fontId="42" fillId="4" borderId="38" xfId="0" applyFont="1" applyFill="1" applyBorder="1" applyAlignment="1" applyProtection="1">
      <alignment horizontal="center" vertical="center"/>
      <protection locked="0"/>
    </xf>
    <xf numFmtId="3" fontId="42" fillId="4" borderId="32" xfId="0" applyNumberFormat="1" applyFont="1" applyFill="1" applyBorder="1" applyAlignment="1" applyProtection="1">
      <alignment horizontal="center" vertical="center"/>
      <protection locked="0"/>
    </xf>
    <xf numFmtId="0" fontId="42" fillId="4" borderId="20" xfId="0" applyFont="1" applyFill="1" applyBorder="1" applyAlignment="1" applyProtection="1">
      <alignment horizontal="center" vertical="center"/>
      <protection locked="0"/>
    </xf>
    <xf numFmtId="3" fontId="42" fillId="4" borderId="36" xfId="0" applyNumberFormat="1" applyFont="1" applyFill="1" applyBorder="1" applyAlignment="1" applyProtection="1">
      <alignment horizontal="center" vertical="center"/>
      <protection locked="0"/>
    </xf>
    <xf numFmtId="0" fontId="33" fillId="4" borderId="28" xfId="0" applyFont="1" applyFill="1" applyBorder="1" applyAlignment="1" applyProtection="1">
      <alignment horizontal="center"/>
      <protection locked="0"/>
    </xf>
    <xf numFmtId="0" fontId="33" fillId="4" borderId="47" xfId="0" applyFont="1" applyFill="1" applyBorder="1" applyAlignment="1" applyProtection="1">
      <alignment horizontal="center"/>
      <protection locked="0"/>
    </xf>
    <xf numFmtId="0" fontId="41" fillId="4" borderId="28" xfId="0" applyFont="1" applyFill="1" applyBorder="1" applyAlignment="1" applyProtection="1">
      <alignment horizontal="center"/>
      <protection locked="0"/>
    </xf>
    <xf numFmtId="0" fontId="33" fillId="5" borderId="28" xfId="0" applyFont="1" applyFill="1" applyBorder="1" applyAlignment="1">
      <alignment horizontal="right" indent="1"/>
    </xf>
    <xf numFmtId="0" fontId="43" fillId="5" borderId="28" xfId="0" applyFont="1" applyFill="1" applyBorder="1" applyAlignment="1">
      <alignment horizontal="right" indent="1"/>
    </xf>
    <xf numFmtId="169" fontId="5" fillId="11" borderId="28" xfId="9" applyNumberFormat="1" applyFill="1" applyBorder="1" applyAlignment="1">
      <alignment horizontal="center" vertical="center"/>
    </xf>
    <xf numFmtId="169" fontId="5" fillId="11" borderId="79" xfId="9" applyNumberFormat="1" applyFill="1" applyBorder="1" applyAlignment="1">
      <alignment horizontal="center" vertical="center"/>
    </xf>
    <xf numFmtId="169" fontId="5" fillId="11" borderId="71" xfId="9" applyNumberFormat="1" applyFill="1" applyBorder="1" applyAlignment="1">
      <alignment horizontal="center" vertical="center"/>
    </xf>
    <xf numFmtId="169" fontId="5" fillId="11" borderId="70" xfId="9" applyNumberFormat="1" applyFill="1" applyBorder="1" applyAlignment="1">
      <alignment horizontal="center" vertical="center"/>
    </xf>
    <xf numFmtId="169" fontId="5" fillId="11" borderId="47" xfId="9" applyNumberFormat="1" applyFill="1" applyBorder="1" applyAlignment="1">
      <alignment horizontal="center" vertical="center"/>
    </xf>
    <xf numFmtId="0" fontId="5" fillId="6" borderId="18" xfId="9" applyFill="1" applyBorder="1" applyAlignment="1">
      <alignment horizontal="right" indent="2"/>
    </xf>
    <xf numFmtId="0" fontId="5" fillId="6" borderId="0" xfId="9" applyFill="1" applyAlignment="1">
      <alignment horizontal="right" vertical="center" indent="2"/>
    </xf>
    <xf numFmtId="0" fontId="5" fillId="6" borderId="72" xfId="10" applyFill="1" applyBorder="1" applyAlignment="1">
      <alignment horizontal="right" vertical="center" indent="2"/>
    </xf>
    <xf numFmtId="0" fontId="5" fillId="6" borderId="74" xfId="10" applyFill="1" applyBorder="1" applyAlignment="1">
      <alignment horizontal="right" vertical="center" indent="2"/>
    </xf>
    <xf numFmtId="0" fontId="5" fillId="6" borderId="73" xfId="10" applyFill="1" applyBorder="1" applyAlignment="1">
      <alignment horizontal="right" vertical="center" indent="2"/>
    </xf>
    <xf numFmtId="0" fontId="5" fillId="6" borderId="28" xfId="10" applyFill="1" applyBorder="1" applyAlignment="1">
      <alignment horizontal="right" vertical="center" indent="2"/>
    </xf>
    <xf numFmtId="0" fontId="0" fillId="6" borderId="73" xfId="10" applyFont="1" applyFill="1" applyBorder="1" applyAlignment="1">
      <alignment horizontal="right" vertical="center" indent="2"/>
    </xf>
    <xf numFmtId="0" fontId="5" fillId="6" borderId="0" xfId="9" applyFill="1" applyAlignment="1">
      <alignment horizontal="right" indent="2"/>
    </xf>
    <xf numFmtId="0" fontId="5" fillId="6" borderId="20" xfId="9" applyFill="1" applyBorder="1" applyAlignment="1">
      <alignment horizontal="right" indent="2"/>
    </xf>
    <xf numFmtId="0" fontId="5" fillId="0" borderId="0" xfId="9" applyAlignment="1">
      <alignment horizontal="right" indent="2"/>
    </xf>
    <xf numFmtId="0" fontId="39" fillId="5" borderId="74" xfId="9" applyFont="1" applyFill="1" applyBorder="1" applyAlignment="1">
      <alignment horizontal="right" vertical="center" indent="2"/>
    </xf>
    <xf numFmtId="0" fontId="39" fillId="5" borderId="73" xfId="9" applyFont="1" applyFill="1" applyBorder="1" applyAlignment="1">
      <alignment horizontal="right" vertical="center" indent="2"/>
    </xf>
    <xf numFmtId="0" fontId="39" fillId="5" borderId="72" xfId="9" applyFont="1" applyFill="1" applyBorder="1" applyAlignment="1">
      <alignment horizontal="right" vertical="center" indent="2"/>
    </xf>
    <xf numFmtId="0" fontId="39" fillId="5" borderId="28" xfId="9" applyFont="1" applyFill="1" applyBorder="1" applyAlignment="1">
      <alignment horizontal="center" vertical="center"/>
    </xf>
    <xf numFmtId="0" fontId="39" fillId="5" borderId="28" xfId="9" applyFont="1" applyFill="1" applyBorder="1" applyAlignment="1">
      <alignment horizontal="right" vertical="center" indent="2"/>
    </xf>
    <xf numFmtId="0" fontId="39" fillId="5" borderId="6" xfId="9" applyFont="1" applyFill="1" applyBorder="1" applyAlignment="1">
      <alignment horizontal="center" vertical="center"/>
    </xf>
    <xf numFmtId="0" fontId="39" fillId="10" borderId="72" xfId="10" applyFont="1" applyFill="1" applyBorder="1" applyAlignment="1">
      <alignment horizontal="center" vertical="center"/>
    </xf>
    <xf numFmtId="0" fontId="39" fillId="10" borderId="74" xfId="10" applyFont="1" applyFill="1" applyBorder="1" applyAlignment="1">
      <alignment horizontal="center" vertical="center"/>
    </xf>
    <xf numFmtId="0" fontId="39" fillId="10" borderId="73" xfId="10" applyFont="1" applyFill="1" applyBorder="1" applyAlignment="1">
      <alignment horizontal="center" vertical="center"/>
    </xf>
    <xf numFmtId="0" fontId="39" fillId="10" borderId="28" xfId="10" applyFont="1" applyFill="1" applyBorder="1" applyAlignment="1">
      <alignment horizontal="center" vertical="center"/>
    </xf>
    <xf numFmtId="0" fontId="39" fillId="10" borderId="42" xfId="10" applyFont="1" applyFill="1" applyBorder="1" applyAlignment="1">
      <alignment horizontal="center" vertical="center"/>
    </xf>
    <xf numFmtId="0" fontId="39" fillId="10" borderId="23" xfId="10" applyFont="1" applyFill="1" applyBorder="1" applyAlignment="1">
      <alignment horizontal="center" vertical="center"/>
    </xf>
    <xf numFmtId="0" fontId="39" fillId="10" borderId="26" xfId="10" applyFont="1" applyFill="1" applyBorder="1" applyAlignment="1">
      <alignment horizontal="center" vertical="center"/>
    </xf>
    <xf numFmtId="169" fontId="5" fillId="10" borderId="71" xfId="9" applyNumberFormat="1" applyFill="1" applyBorder="1" applyAlignment="1">
      <alignment horizontal="center" vertical="center"/>
    </xf>
    <xf numFmtId="169" fontId="5" fillId="10" borderId="70" xfId="9" applyNumberFormat="1" applyFill="1" applyBorder="1" applyAlignment="1">
      <alignment horizontal="center" vertical="center"/>
    </xf>
    <xf numFmtId="0" fontId="38" fillId="0" borderId="16" xfId="10" applyFont="1" applyBorder="1" applyAlignment="1">
      <alignment vertical="center"/>
    </xf>
    <xf numFmtId="0" fontId="37" fillId="6" borderId="21" xfId="10" applyFont="1" applyFill="1" applyBorder="1" applyAlignment="1">
      <alignment vertical="center"/>
    </xf>
    <xf numFmtId="0" fontId="43" fillId="0" borderId="0" xfId="0" applyFont="1"/>
    <xf numFmtId="0" fontId="43" fillId="0" borderId="0" xfId="0" applyFont="1" applyAlignment="1">
      <alignment horizontal="right"/>
    </xf>
    <xf numFmtId="0" fontId="43" fillId="0" borderId="17" xfId="0" applyFont="1" applyBorder="1"/>
    <xf numFmtId="0" fontId="43" fillId="0" borderId="18" xfId="0" applyFont="1" applyBorder="1"/>
    <xf numFmtId="0" fontId="43" fillId="0" borderId="19" xfId="0" applyFont="1" applyBorder="1"/>
    <xf numFmtId="0" fontId="43" fillId="0" borderId="1" xfId="0" applyFont="1" applyBorder="1"/>
    <xf numFmtId="0" fontId="33" fillId="11" borderId="28" xfId="0" applyFont="1" applyFill="1" applyBorder="1" applyAlignment="1">
      <alignment horizontal="center" vertical="center"/>
    </xf>
    <xf numFmtId="0" fontId="43" fillId="0" borderId="5" xfId="0" applyFont="1" applyBorder="1"/>
    <xf numFmtId="0" fontId="33" fillId="5" borderId="7" xfId="0" applyFont="1" applyFill="1" applyBorder="1" applyAlignment="1">
      <alignment horizontal="center" vertical="center" wrapText="1"/>
    </xf>
    <xf numFmtId="0" fontId="43" fillId="11" borderId="75" xfId="0" applyFont="1" applyFill="1" applyBorder="1" applyAlignment="1">
      <alignment horizontal="center" vertical="center"/>
    </xf>
    <xf numFmtId="0" fontId="33" fillId="11" borderId="38" xfId="0" applyFont="1" applyFill="1" applyBorder="1" applyAlignment="1">
      <alignment horizontal="center" vertical="center"/>
    </xf>
    <xf numFmtId="0" fontId="43" fillId="11" borderId="73" xfId="0" applyFont="1" applyFill="1" applyBorder="1" applyAlignment="1">
      <alignment horizontal="center" vertical="center"/>
    </xf>
    <xf numFmtId="0" fontId="43" fillId="11" borderId="38" xfId="0" applyFont="1" applyFill="1" applyBorder="1" applyAlignment="1">
      <alignment horizontal="center" vertical="center"/>
    </xf>
    <xf numFmtId="0" fontId="43" fillId="11" borderId="72" xfId="0" applyFont="1" applyFill="1" applyBorder="1" applyAlignment="1">
      <alignment horizontal="center" vertical="center"/>
    </xf>
    <xf numFmtId="0" fontId="43" fillId="11" borderId="20" xfId="0" applyFont="1" applyFill="1" applyBorder="1" applyAlignment="1">
      <alignment horizontal="center" vertical="center"/>
    </xf>
    <xf numFmtId="0" fontId="33" fillId="5" borderId="28" xfId="0" applyFont="1" applyFill="1" applyBorder="1" applyAlignment="1">
      <alignment horizontal="right" vertical="center" wrapText="1" indent="1"/>
    </xf>
    <xf numFmtId="0" fontId="33" fillId="11" borderId="28" xfId="0" applyFont="1" applyFill="1" applyBorder="1" applyAlignment="1">
      <alignment horizontal="center"/>
    </xf>
    <xf numFmtId="0" fontId="33" fillId="0" borderId="5" xfId="0" applyFont="1" applyBorder="1"/>
    <xf numFmtId="0" fontId="43" fillId="11" borderId="74" xfId="0" applyFont="1" applyFill="1" applyBorder="1" applyAlignment="1">
      <alignment horizontal="center" vertical="center"/>
    </xf>
    <xf numFmtId="44" fontId="8" fillId="0" borderId="0" xfId="1" applyFont="1" applyAlignment="1">
      <alignment horizontal="left"/>
    </xf>
    <xf numFmtId="44" fontId="15" fillId="4" borderId="24" xfId="1" applyFont="1" applyFill="1" applyBorder="1" applyAlignment="1" applyProtection="1">
      <alignment vertical="center"/>
      <protection locked="0"/>
    </xf>
    <xf numFmtId="44" fontId="15" fillId="4" borderId="3" xfId="1" applyFont="1" applyFill="1" applyBorder="1" applyAlignment="1" applyProtection="1">
      <alignment vertical="center"/>
      <protection locked="0"/>
    </xf>
    <xf numFmtId="2" fontId="15" fillId="4" borderId="53" xfId="7" applyNumberFormat="1" applyFont="1" applyFill="1" applyBorder="1" applyAlignment="1" applyProtection="1">
      <alignment horizontal="center" vertical="center"/>
      <protection locked="0"/>
    </xf>
    <xf numFmtId="44" fontId="15" fillId="6" borderId="3" xfId="1" applyFont="1" applyFill="1" applyBorder="1" applyAlignment="1" applyProtection="1">
      <alignment vertical="center"/>
    </xf>
    <xf numFmtId="44" fontId="15" fillId="4" borderId="53" xfId="1" applyFont="1" applyFill="1" applyBorder="1" applyAlignment="1" applyProtection="1">
      <alignment vertical="center"/>
      <protection locked="0"/>
    </xf>
    <xf numFmtId="44" fontId="15" fillId="4" borderId="12" xfId="1" applyFont="1" applyFill="1" applyBorder="1" applyAlignment="1" applyProtection="1">
      <alignment horizontal="center"/>
    </xf>
    <xf numFmtId="44" fontId="15" fillId="4" borderId="3" xfId="1" applyFont="1" applyFill="1" applyBorder="1" applyAlignment="1" applyProtection="1">
      <alignment horizontal="center"/>
    </xf>
    <xf numFmtId="44" fontId="15" fillId="4" borderId="53" xfId="1" applyFont="1" applyFill="1" applyBorder="1" applyAlignment="1" applyProtection="1">
      <alignment horizontal="center"/>
    </xf>
    <xf numFmtId="44" fontId="16" fillId="8" borderId="24" xfId="1" applyFont="1" applyFill="1" applyBorder="1" applyAlignment="1" applyProtection="1">
      <alignment vertical="center"/>
    </xf>
    <xf numFmtId="44" fontId="16" fillId="8" borderId="3" xfId="1" applyFont="1" applyFill="1" applyBorder="1" applyAlignment="1" applyProtection="1">
      <alignment vertical="center"/>
    </xf>
    <xf numFmtId="44" fontId="16" fillId="8" borderId="3" xfId="1" applyFont="1" applyFill="1" applyBorder="1" applyProtection="1"/>
    <xf numFmtId="44" fontId="15" fillId="4" borderId="24" xfId="1" applyFont="1" applyFill="1" applyBorder="1" applyAlignment="1" applyProtection="1">
      <alignment vertical="center"/>
    </xf>
    <xf numFmtId="44" fontId="15" fillId="4" borderId="3" xfId="1" applyFont="1" applyFill="1" applyBorder="1" applyAlignment="1" applyProtection="1">
      <alignment vertical="center"/>
    </xf>
    <xf numFmtId="44" fontId="16" fillId="8" borderId="15" xfId="1" applyFont="1" applyFill="1" applyBorder="1" applyProtection="1"/>
    <xf numFmtId="44" fontId="18" fillId="3" borderId="65" xfId="1" applyFont="1" applyFill="1" applyBorder="1" applyAlignment="1" applyProtection="1">
      <alignment horizontal="center"/>
    </xf>
    <xf numFmtId="0" fontId="15" fillId="4" borderId="23" xfId="0" applyFont="1" applyFill="1" applyBorder="1" applyAlignment="1" applyProtection="1">
      <alignment horizontal="left" vertical="center"/>
      <protection locked="0"/>
    </xf>
    <xf numFmtId="0" fontId="15" fillId="4" borderId="66" xfId="0" applyFont="1" applyFill="1" applyBorder="1" applyAlignment="1" applyProtection="1">
      <alignment horizontal="left" vertical="center"/>
      <protection locked="0"/>
    </xf>
    <xf numFmtId="0" fontId="18" fillId="3" borderId="6" xfId="0" applyFont="1" applyFill="1" applyBorder="1" applyAlignment="1">
      <alignment horizontal="center" vertical="center"/>
    </xf>
    <xf numFmtId="49" fontId="18" fillId="3" borderId="28" xfId="2" applyNumberFormat="1" applyFont="1" applyFill="1" applyBorder="1" applyAlignment="1">
      <alignment horizontal="center"/>
    </xf>
    <xf numFmtId="49" fontId="15" fillId="0" borderId="73" xfId="2" applyNumberFormat="1" applyFont="1" applyBorder="1" applyAlignment="1">
      <alignment horizontal="center"/>
    </xf>
    <xf numFmtId="2" fontId="15" fillId="0" borderId="40" xfId="2" applyNumberFormat="1" applyFont="1" applyBorder="1" applyAlignment="1">
      <alignment horizontal="center"/>
    </xf>
    <xf numFmtId="2" fontId="15" fillId="0" borderId="31" xfId="2" applyNumberFormat="1" applyFont="1" applyBorder="1" applyAlignment="1">
      <alignment horizontal="center"/>
    </xf>
    <xf numFmtId="2" fontId="15" fillId="0" borderId="37" xfId="2" applyNumberFormat="1" applyFont="1" applyBorder="1" applyAlignment="1">
      <alignment horizontal="center"/>
    </xf>
    <xf numFmtId="2" fontId="15" fillId="0" borderId="13" xfId="2" applyNumberFormat="1" applyFont="1" applyBorder="1" applyAlignment="1">
      <alignment horizontal="center"/>
    </xf>
    <xf numFmtId="49" fontId="15" fillId="0" borderId="80" xfId="2" applyNumberFormat="1" applyFont="1" applyBorder="1" applyAlignment="1">
      <alignment horizontal="center"/>
    </xf>
    <xf numFmtId="2" fontId="15" fillId="0" borderId="51" xfId="2" applyNumberFormat="1" applyFont="1" applyBorder="1" applyAlignment="1">
      <alignment horizontal="center"/>
    </xf>
    <xf numFmtId="2" fontId="15" fillId="0" borderId="54" xfId="2" applyNumberFormat="1" applyFont="1" applyBorder="1" applyAlignment="1">
      <alignment horizontal="center"/>
    </xf>
    <xf numFmtId="49" fontId="18" fillId="0" borderId="61" xfId="0" applyNumberFormat="1" applyFont="1" applyBorder="1" applyAlignment="1">
      <alignment horizontal="center"/>
    </xf>
    <xf numFmtId="0" fontId="18" fillId="0" borderId="61" xfId="0" applyFont="1" applyBorder="1" applyAlignment="1">
      <alignment horizontal="center"/>
    </xf>
    <xf numFmtId="44" fontId="18" fillId="0" borderId="62" xfId="0" applyNumberFormat="1" applyFont="1" applyBorder="1" applyAlignment="1">
      <alignment horizontal="center"/>
    </xf>
    <xf numFmtId="49" fontId="18" fillId="0" borderId="60" xfId="0" applyNumberFormat="1" applyFont="1" applyBorder="1" applyAlignment="1">
      <alignment horizontal="center"/>
    </xf>
    <xf numFmtId="49" fontId="15" fillId="0" borderId="23" xfId="2" applyNumberFormat="1" applyFont="1" applyBorder="1" applyAlignment="1">
      <alignment horizontal="center"/>
    </xf>
    <xf numFmtId="49" fontId="15" fillId="0" borderId="66" xfId="2" applyNumberFormat="1" applyFont="1" applyBorder="1" applyAlignment="1">
      <alignment horizontal="center"/>
    </xf>
    <xf numFmtId="0" fontId="18" fillId="3" borderId="28" xfId="0" applyFont="1" applyFill="1" applyBorder="1" applyAlignment="1">
      <alignment horizontal="center" vertical="center"/>
    </xf>
    <xf numFmtId="2" fontId="15" fillId="6" borderId="3" xfId="7" applyNumberFormat="1" applyFont="1" applyFill="1" applyBorder="1" applyAlignment="1">
      <alignment horizontal="left" vertical="center"/>
    </xf>
    <xf numFmtId="2" fontId="15" fillId="6" borderId="3" xfId="7" applyNumberFormat="1" applyFont="1" applyFill="1" applyBorder="1" applyAlignment="1">
      <alignment horizontal="center" vertical="center"/>
    </xf>
    <xf numFmtId="0" fontId="15" fillId="0" borderId="37" xfId="0" applyFont="1" applyBorder="1" applyAlignment="1">
      <alignment horizontal="center" vertical="center"/>
    </xf>
    <xf numFmtId="0" fontId="15" fillId="4" borderId="37" xfId="0" applyFont="1" applyFill="1" applyBorder="1" applyAlignment="1">
      <alignment horizontal="center" vertical="center"/>
    </xf>
    <xf numFmtId="0" fontId="16" fillId="6" borderId="3" xfId="0" applyFont="1" applyFill="1" applyBorder="1" applyAlignment="1">
      <alignment horizontal="center"/>
    </xf>
    <xf numFmtId="0" fontId="18" fillId="0" borderId="28" xfId="0" applyFont="1" applyBorder="1" applyAlignment="1">
      <alignment horizontal="center"/>
    </xf>
    <xf numFmtId="0" fontId="15" fillId="0" borderId="37" xfId="0" applyFont="1" applyBorder="1" applyAlignment="1">
      <alignment horizontal="left" vertical="center" indent="3"/>
    </xf>
    <xf numFmtId="0" fontId="15" fillId="0" borderId="4" xfId="0" applyFont="1" applyBorder="1" applyAlignment="1">
      <alignment horizontal="left" vertical="center" indent="3"/>
    </xf>
    <xf numFmtId="0" fontId="31" fillId="6" borderId="37" xfId="0" applyFont="1" applyFill="1" applyBorder="1" applyAlignment="1">
      <alignment horizontal="center" vertical="center"/>
    </xf>
    <xf numFmtId="0" fontId="15" fillId="0" borderId="37" xfId="0" applyFont="1" applyBorder="1" applyAlignment="1">
      <alignment horizontal="left" indent="3"/>
    </xf>
    <xf numFmtId="0" fontId="15" fillId="0" borderId="4" xfId="0" applyFont="1" applyBorder="1" applyAlignment="1">
      <alignment horizontal="left" indent="3"/>
    </xf>
    <xf numFmtId="0" fontId="15" fillId="0" borderId="3" xfId="2" applyFont="1" applyBorder="1" applyAlignment="1">
      <alignment horizontal="center"/>
    </xf>
    <xf numFmtId="2" fontId="16" fillId="6" borderId="3" xfId="7" applyNumberFormat="1" applyFont="1" applyFill="1" applyBorder="1" applyAlignment="1">
      <alignment horizontal="center" vertical="center"/>
    </xf>
    <xf numFmtId="0" fontId="15" fillId="0" borderId="23" xfId="2" applyFont="1" applyBorder="1" applyAlignment="1">
      <alignment horizontal="left" indent="1"/>
    </xf>
    <xf numFmtId="0" fontId="15" fillId="0" borderId="3" xfId="2" applyFont="1" applyBorder="1" applyAlignment="1">
      <alignment horizontal="center" shrinkToFit="1"/>
    </xf>
    <xf numFmtId="2" fontId="15" fillId="6" borderId="53" xfId="7" applyNumberFormat="1" applyFont="1" applyFill="1" applyBorder="1" applyAlignment="1">
      <alignment horizontal="center" vertical="center"/>
    </xf>
    <xf numFmtId="44" fontId="15" fillId="0" borderId="57" xfId="0" applyNumberFormat="1" applyFont="1" applyBorder="1" applyAlignment="1">
      <alignment vertical="center"/>
    </xf>
    <xf numFmtId="0" fontId="18" fillId="0" borderId="60" xfId="0" applyFont="1" applyBorder="1" applyAlignment="1">
      <alignment horizontal="center"/>
    </xf>
    <xf numFmtId="2" fontId="18" fillId="0" borderId="61" xfId="0" applyNumberFormat="1" applyFont="1" applyBorder="1" applyAlignment="1">
      <alignment horizontal="center"/>
    </xf>
    <xf numFmtId="44" fontId="18" fillId="0" borderId="61" xfId="0" applyNumberFormat="1" applyFont="1" applyBorder="1" applyAlignment="1">
      <alignment horizontal="center"/>
    </xf>
    <xf numFmtId="0" fontId="9" fillId="0" borderId="0" xfId="0" applyFont="1"/>
    <xf numFmtId="49" fontId="15" fillId="0" borderId="0" xfId="0" applyNumberFormat="1" applyFont="1" applyAlignment="1">
      <alignment horizontal="center"/>
    </xf>
    <xf numFmtId="0" fontId="9" fillId="0" borderId="0" xfId="0" applyFont="1" applyAlignment="1">
      <alignment horizontal="center"/>
    </xf>
    <xf numFmtId="0" fontId="35" fillId="3" borderId="6" xfId="2" applyFont="1" applyFill="1" applyBorder="1"/>
    <xf numFmtId="0" fontId="35" fillId="3" borderId="6" xfId="2" applyFont="1" applyFill="1" applyBorder="1" applyAlignment="1">
      <alignment horizontal="center"/>
    </xf>
    <xf numFmtId="0" fontId="17" fillId="3" borderId="8" xfId="2" applyFont="1" applyFill="1" applyBorder="1" applyAlignment="1">
      <alignment horizontal="center"/>
    </xf>
    <xf numFmtId="49" fontId="18" fillId="3" borderId="20" xfId="2" applyNumberFormat="1" applyFont="1" applyFill="1" applyBorder="1" applyAlignment="1">
      <alignment horizontal="center"/>
    </xf>
    <xf numFmtId="0" fontId="18" fillId="3" borderId="16" xfId="2" applyFont="1" applyFill="1" applyBorder="1" applyAlignment="1">
      <alignment horizontal="center"/>
    </xf>
    <xf numFmtId="0" fontId="18" fillId="3" borderId="49" xfId="2" applyFont="1" applyFill="1" applyBorder="1" applyAlignment="1">
      <alignment horizontal="center"/>
    </xf>
    <xf numFmtId="0" fontId="18" fillId="3" borderId="35" xfId="2" applyFont="1" applyFill="1" applyBorder="1" applyAlignment="1">
      <alignment horizontal="center"/>
    </xf>
    <xf numFmtId="0" fontId="18" fillId="3" borderId="36" xfId="2" applyFont="1" applyFill="1" applyBorder="1" applyAlignment="1">
      <alignment horizontal="center"/>
    </xf>
    <xf numFmtId="0" fontId="18" fillId="3" borderId="65" xfId="2" applyFont="1" applyFill="1" applyBorder="1" applyAlignment="1">
      <alignment horizontal="center"/>
    </xf>
    <xf numFmtId="0" fontId="18" fillId="3" borderId="0" xfId="2" applyFont="1" applyFill="1" applyAlignment="1">
      <alignment horizontal="center"/>
    </xf>
    <xf numFmtId="0" fontId="18" fillId="3" borderId="20" xfId="2" applyFont="1" applyFill="1" applyBorder="1" applyAlignment="1">
      <alignment horizontal="center"/>
    </xf>
    <xf numFmtId="0" fontId="15" fillId="0" borderId="37" xfId="2" applyFont="1" applyBorder="1" applyAlignment="1">
      <alignment horizontal="center"/>
    </xf>
    <xf numFmtId="0" fontId="15" fillId="0" borderId="55" xfId="2" applyFont="1" applyBorder="1" applyAlignment="1">
      <alignment horizontal="center"/>
    </xf>
    <xf numFmtId="0" fontId="15" fillId="0" borderId="53" xfId="2" applyFont="1" applyBorder="1" applyAlignment="1">
      <alignment horizontal="center"/>
    </xf>
    <xf numFmtId="0" fontId="15" fillId="0" borderId="0" xfId="0" applyFont="1" applyAlignment="1">
      <alignment horizontal="center"/>
    </xf>
    <xf numFmtId="49" fontId="18" fillId="0" borderId="67" xfId="0" applyNumberFormat="1" applyFont="1" applyBorder="1" applyAlignment="1">
      <alignment horizontal="center"/>
    </xf>
    <xf numFmtId="0" fontId="18" fillId="0" borderId="35" xfId="0" applyFont="1" applyBorder="1" applyAlignment="1">
      <alignment horizontal="center"/>
    </xf>
    <xf numFmtId="44" fontId="18" fillId="0" borderId="65" xfId="0" applyNumberFormat="1" applyFont="1" applyBorder="1" applyAlignment="1">
      <alignment horizontal="center"/>
    </xf>
    <xf numFmtId="44" fontId="18" fillId="0" borderId="0" xfId="0" applyNumberFormat="1" applyFont="1" applyAlignment="1">
      <alignment horizontal="center"/>
    </xf>
    <xf numFmtId="44" fontId="18" fillId="0" borderId="35" xfId="0" applyNumberFormat="1" applyFont="1" applyBorder="1" applyAlignment="1">
      <alignment horizontal="center"/>
    </xf>
    <xf numFmtId="49" fontId="18" fillId="0" borderId="0" xfId="0" applyNumberFormat="1" applyFont="1" applyAlignment="1">
      <alignment horizontal="center"/>
    </xf>
    <xf numFmtId="0" fontId="18" fillId="0" borderId="0" xfId="0" applyFont="1" applyAlignment="1">
      <alignment horizontal="center"/>
    </xf>
    <xf numFmtId="44" fontId="15" fillId="0" borderId="0" xfId="0" applyNumberFormat="1" applyFont="1" applyAlignment="1">
      <alignment horizontal="center"/>
    </xf>
    <xf numFmtId="0" fontId="32" fillId="3" borderId="0" xfId="2" applyFont="1" applyFill="1" applyAlignment="1">
      <alignment horizontal="center"/>
    </xf>
    <xf numFmtId="0" fontId="32" fillId="3" borderId="7" xfId="2" applyFont="1" applyFill="1" applyBorder="1" applyAlignment="1">
      <alignment horizontal="center"/>
    </xf>
    <xf numFmtId="0" fontId="18" fillId="3" borderId="20" xfId="0" applyFont="1" applyFill="1" applyBorder="1" applyAlignment="1">
      <alignment horizontal="center" vertical="center"/>
    </xf>
    <xf numFmtId="0" fontId="18" fillId="3" borderId="49" xfId="0" applyFont="1" applyFill="1" applyBorder="1" applyAlignment="1">
      <alignment horizontal="center" vertical="center"/>
    </xf>
    <xf numFmtId="0" fontId="18" fillId="3" borderId="16" xfId="0" applyFont="1" applyFill="1" applyBorder="1" applyAlignment="1">
      <alignment horizontal="center" vertical="center"/>
    </xf>
    <xf numFmtId="0" fontId="18" fillId="3" borderId="35" xfId="2" applyFont="1" applyFill="1" applyBorder="1" applyAlignment="1">
      <alignment horizontal="center" vertical="center"/>
    </xf>
    <xf numFmtId="0" fontId="18" fillId="3" borderId="65" xfId="0" applyFont="1" applyFill="1" applyBorder="1" applyAlignment="1">
      <alignment horizontal="center" vertical="center"/>
    </xf>
    <xf numFmtId="0" fontId="31" fillId="8" borderId="38" xfId="0" applyFont="1" applyFill="1" applyBorder="1" applyAlignment="1">
      <alignment horizontal="left" vertical="center" indent="3"/>
    </xf>
    <xf numFmtId="0" fontId="31" fillId="8" borderId="34" xfId="0" applyFont="1" applyFill="1" applyBorder="1" applyAlignment="1">
      <alignment horizontal="left" vertical="center" indent="3"/>
    </xf>
    <xf numFmtId="0" fontId="31" fillId="8" borderId="4" xfId="0" applyFont="1" applyFill="1" applyBorder="1" applyAlignment="1">
      <alignment horizontal="center" vertical="center"/>
    </xf>
    <xf numFmtId="0" fontId="15" fillId="4" borderId="38" xfId="7" applyFont="1" applyFill="1" applyBorder="1" applyAlignment="1">
      <alignment horizontal="left" vertical="center"/>
    </xf>
    <xf numFmtId="44" fontId="15" fillId="0" borderId="59" xfId="0" applyNumberFormat="1" applyFont="1" applyBorder="1" applyAlignment="1">
      <alignment vertical="center"/>
    </xf>
    <xf numFmtId="0" fontId="31" fillId="8" borderId="37" xfId="0" applyFont="1" applyFill="1" applyBorder="1" applyAlignment="1">
      <alignment horizontal="left" vertical="center" indent="3"/>
    </xf>
    <xf numFmtId="0" fontId="31" fillId="8" borderId="4" xfId="0" applyFont="1" applyFill="1" applyBorder="1" applyAlignment="1">
      <alignment horizontal="left" vertical="center" indent="3"/>
    </xf>
    <xf numFmtId="0" fontId="15" fillId="0" borderId="23" xfId="2" applyFont="1" applyBorder="1" applyAlignment="1">
      <alignment horizontal="center"/>
    </xf>
    <xf numFmtId="2" fontId="15" fillId="4" borderId="3" xfId="7" applyNumberFormat="1" applyFont="1" applyFill="1" applyBorder="1" applyAlignment="1">
      <alignment horizontal="center" vertical="center"/>
    </xf>
    <xf numFmtId="2" fontId="15" fillId="4" borderId="3" xfId="7" applyNumberFormat="1" applyFont="1" applyFill="1" applyBorder="1" applyAlignment="1">
      <alignment horizontal="left" vertical="center"/>
    </xf>
    <xf numFmtId="0" fontId="16" fillId="4" borderId="38" xfId="7" applyFont="1" applyFill="1" applyBorder="1" applyAlignment="1">
      <alignment horizontal="left" vertical="center"/>
    </xf>
    <xf numFmtId="0" fontId="15" fillId="0" borderId="41" xfId="0" applyFont="1" applyBorder="1" applyAlignment="1">
      <alignment horizontal="left" indent="3"/>
    </xf>
    <xf numFmtId="0" fontId="15" fillId="0" borderId="48" xfId="0" applyFont="1" applyBorder="1" applyAlignment="1">
      <alignment horizontal="left" indent="3"/>
    </xf>
    <xf numFmtId="0" fontId="18" fillId="0" borderId="68" xfId="0" applyFont="1" applyBorder="1" applyAlignment="1">
      <alignment horizontal="center"/>
    </xf>
    <xf numFmtId="0" fontId="18" fillId="3" borderId="6" xfId="2" applyFont="1" applyFill="1" applyBorder="1" applyAlignment="1">
      <alignment horizontal="center"/>
    </xf>
    <xf numFmtId="0" fontId="18" fillId="0" borderId="17" xfId="2" applyFont="1" applyBorder="1" applyAlignment="1">
      <alignment horizontal="left" indent="1"/>
    </xf>
    <xf numFmtId="0" fontId="18" fillId="0" borderId="25" xfId="2" applyFont="1" applyBorder="1" applyAlignment="1">
      <alignment horizontal="left" indent="1"/>
    </xf>
    <xf numFmtId="0" fontId="18" fillId="0" borderId="1" xfId="2" applyFont="1" applyBorder="1" applyAlignment="1">
      <alignment horizontal="left" indent="1"/>
    </xf>
    <xf numFmtId="0" fontId="18" fillId="0" borderId="50" xfId="2" applyFont="1" applyBorder="1" applyAlignment="1">
      <alignment horizontal="left" indent="1"/>
    </xf>
    <xf numFmtId="0" fontId="18" fillId="0" borderId="16" xfId="2" applyFont="1" applyBorder="1" applyAlignment="1">
      <alignment horizontal="left" indent="1"/>
    </xf>
    <xf numFmtId="0" fontId="15"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5" fillId="8" borderId="23" xfId="0" applyFont="1" applyFill="1" applyBorder="1" applyAlignment="1">
      <alignment horizontal="left" vertical="center" indent="3"/>
    </xf>
    <xf numFmtId="0" fontId="15" fillId="0" borderId="23" xfId="0" applyFont="1" applyBorder="1" applyAlignment="1">
      <alignment horizontal="left" vertical="center" indent="3"/>
    </xf>
    <xf numFmtId="0" fontId="15" fillId="0" borderId="23" xfId="0" applyFont="1" applyBorder="1" applyAlignment="1">
      <alignment horizontal="left" indent="3"/>
    </xf>
    <xf numFmtId="0" fontId="32" fillId="3" borderId="17" xfId="2" applyFont="1" applyFill="1" applyBorder="1"/>
    <xf numFmtId="2" fontId="18" fillId="3" borderId="35" xfId="2" applyNumberFormat="1" applyFont="1" applyFill="1" applyBorder="1" applyAlignment="1">
      <alignment horizontal="center"/>
    </xf>
    <xf numFmtId="2" fontId="0" fillId="0" borderId="0" xfId="0" applyNumberFormat="1"/>
    <xf numFmtId="0" fontId="30" fillId="3" borderId="58" xfId="0" applyFont="1" applyFill="1" applyBorder="1" applyAlignment="1">
      <alignment horizontal="center" vertical="center"/>
    </xf>
    <xf numFmtId="0" fontId="16" fillId="0" borderId="59" xfId="0" applyFont="1" applyBorder="1" applyAlignment="1">
      <alignment horizontal="center" vertical="center"/>
    </xf>
    <xf numFmtId="0" fontId="16" fillId="0" borderId="22" xfId="0" applyFont="1" applyBorder="1" applyAlignment="1">
      <alignment horizontal="center" vertical="center"/>
    </xf>
    <xf numFmtId="0" fontId="16" fillId="4" borderId="22" xfId="0" applyFont="1" applyFill="1" applyBorder="1" applyAlignment="1">
      <alignment horizontal="center" vertical="center"/>
    </xf>
    <xf numFmtId="0" fontId="16" fillId="4" borderId="64" xfId="0" applyFont="1" applyFill="1" applyBorder="1" applyAlignment="1">
      <alignment horizontal="center" vertical="center"/>
    </xf>
    <xf numFmtId="0" fontId="16" fillId="4" borderId="57" xfId="0" applyFont="1" applyFill="1" applyBorder="1" applyAlignment="1">
      <alignment horizontal="center" vertical="center"/>
    </xf>
    <xf numFmtId="0" fontId="31" fillId="0" borderId="65" xfId="0" applyFont="1" applyBorder="1" applyAlignment="1">
      <alignment horizontal="center"/>
    </xf>
    <xf numFmtId="0" fontId="16" fillId="4" borderId="14" xfId="0" applyFont="1" applyFill="1" applyBorder="1" applyAlignment="1" applyProtection="1">
      <alignment horizontal="center" vertical="center"/>
      <protection locked="0"/>
    </xf>
    <xf numFmtId="0" fontId="16" fillId="4" borderId="14" xfId="0" applyFont="1" applyFill="1" applyBorder="1" applyAlignment="1" applyProtection="1">
      <alignment horizontal="left" vertical="center"/>
      <protection locked="0"/>
    </xf>
    <xf numFmtId="0" fontId="16" fillId="4" borderId="81" xfId="0" applyFont="1" applyFill="1" applyBorder="1" applyAlignment="1" applyProtection="1">
      <alignment horizontal="left" vertical="center"/>
      <protection locked="0"/>
    </xf>
    <xf numFmtId="0" fontId="14" fillId="0" borderId="5" xfId="0" applyFont="1" applyBorder="1"/>
    <xf numFmtId="0" fontId="17" fillId="3" borderId="7" xfId="2" applyFont="1" applyFill="1" applyBorder="1" applyAlignment="1">
      <alignment horizontal="center"/>
    </xf>
    <xf numFmtId="0" fontId="18" fillId="3" borderId="9" xfId="2" applyFont="1" applyFill="1" applyBorder="1" applyAlignment="1">
      <alignment horizontal="center"/>
    </xf>
    <xf numFmtId="0" fontId="18" fillId="3" borderId="10" xfId="2" applyFont="1" applyFill="1" applyBorder="1" applyAlignment="1">
      <alignment horizontal="center"/>
    </xf>
    <xf numFmtId="0" fontId="18" fillId="3" borderId="78" xfId="2" applyFont="1" applyFill="1" applyBorder="1" applyAlignment="1">
      <alignment horizontal="center"/>
    </xf>
    <xf numFmtId="0" fontId="18" fillId="3" borderId="58" xfId="2" applyFont="1" applyFill="1" applyBorder="1" applyAlignment="1">
      <alignment horizontal="center"/>
    </xf>
    <xf numFmtId="0" fontId="18" fillId="3" borderId="21" xfId="2" applyFont="1" applyFill="1" applyBorder="1" applyAlignment="1">
      <alignment horizontal="center"/>
    </xf>
    <xf numFmtId="0" fontId="15" fillId="0" borderId="37" xfId="2" applyFont="1" applyBorder="1" applyAlignment="1">
      <alignment horizontal="left" indent="1"/>
    </xf>
    <xf numFmtId="0" fontId="15" fillId="0" borderId="66" xfId="2" applyFont="1" applyBorder="1" applyAlignment="1">
      <alignment horizontal="center"/>
    </xf>
    <xf numFmtId="49" fontId="18" fillId="0" borderId="47" xfId="0" applyNumberFormat="1" applyFont="1" applyBorder="1" applyAlignment="1">
      <alignment horizontal="center"/>
    </xf>
    <xf numFmtId="0" fontId="18" fillId="0" borderId="20" xfId="0" applyFont="1" applyBorder="1" applyAlignment="1">
      <alignment horizontal="center"/>
    </xf>
    <xf numFmtId="0" fontId="18" fillId="0" borderId="16" xfId="0" applyFont="1" applyBorder="1" applyAlignment="1">
      <alignment horizontal="center"/>
    </xf>
    <xf numFmtId="0" fontId="18" fillId="0" borderId="21" xfId="0" applyFont="1" applyBorder="1" applyAlignment="1">
      <alignment horizontal="center"/>
    </xf>
    <xf numFmtId="49" fontId="15" fillId="0" borderId="0" xfId="0" applyNumberFormat="1" applyFont="1"/>
    <xf numFmtId="49" fontId="18" fillId="3" borderId="16" xfId="2" applyNumberFormat="1" applyFont="1" applyFill="1" applyBorder="1" applyAlignment="1">
      <alignment horizontal="center"/>
    </xf>
    <xf numFmtId="49" fontId="18" fillId="0" borderId="16" xfId="0" applyNumberFormat="1" applyFont="1" applyBorder="1" applyAlignment="1">
      <alignment horizontal="center"/>
    </xf>
    <xf numFmtId="0" fontId="18" fillId="3" borderId="28" xfId="2" applyFont="1" applyFill="1" applyBorder="1" applyAlignment="1">
      <alignment horizontal="center"/>
    </xf>
    <xf numFmtId="0" fontId="15" fillId="0" borderId="73" xfId="2" applyFont="1" applyBorder="1" applyAlignment="1">
      <alignment horizontal="center"/>
    </xf>
    <xf numFmtId="0" fontId="18" fillId="0" borderId="47" xfId="0" applyFont="1" applyBorder="1" applyAlignment="1">
      <alignment horizontal="center"/>
    </xf>
    <xf numFmtId="0" fontId="30" fillId="3" borderId="20" xfId="0" applyFont="1" applyFill="1" applyBorder="1" applyAlignment="1">
      <alignment horizontal="center" vertical="center"/>
    </xf>
    <xf numFmtId="0" fontId="15" fillId="4" borderId="75" xfId="7" applyFont="1" applyFill="1" applyBorder="1" applyAlignment="1">
      <alignment horizontal="left" vertical="center"/>
    </xf>
    <xf numFmtId="0" fontId="15" fillId="0" borderId="38" xfId="0" applyFont="1" applyBorder="1" applyAlignment="1">
      <alignment horizontal="center" vertical="center"/>
    </xf>
    <xf numFmtId="0" fontId="15" fillId="4" borderId="46" xfId="7" applyFont="1" applyFill="1" applyBorder="1" applyAlignment="1">
      <alignment horizontal="left" vertical="center"/>
    </xf>
    <xf numFmtId="0" fontId="15" fillId="4" borderId="41" xfId="0" applyFont="1" applyFill="1" applyBorder="1" applyAlignment="1">
      <alignment horizontal="center" vertical="center"/>
    </xf>
    <xf numFmtId="0" fontId="18" fillId="3" borderId="10" xfId="2" applyFont="1" applyFill="1" applyBorder="1" applyAlignment="1">
      <alignment horizontal="center" vertical="center"/>
    </xf>
    <xf numFmtId="0" fontId="15" fillId="8" borderId="25" xfId="0" applyFont="1" applyFill="1" applyBorder="1" applyAlignment="1">
      <alignment horizontal="left" vertical="center" indent="3"/>
    </xf>
    <xf numFmtId="0" fontId="15" fillId="0" borderId="77" xfId="0" applyFont="1" applyBorder="1" applyAlignment="1">
      <alignment horizontal="left" indent="3"/>
    </xf>
    <xf numFmtId="0" fontId="46" fillId="0" borderId="0" xfId="0" applyFont="1"/>
    <xf numFmtId="44" fontId="18" fillId="3" borderId="35" xfId="0" applyNumberFormat="1" applyFont="1" applyFill="1" applyBorder="1" applyAlignment="1">
      <alignment horizontal="center" vertical="center"/>
    </xf>
    <xf numFmtId="0" fontId="15" fillId="6" borderId="3" xfId="7" applyFont="1" applyFill="1" applyBorder="1" applyAlignment="1">
      <alignment horizontal="center" vertical="center"/>
    </xf>
    <xf numFmtId="0" fontId="15" fillId="4" borderId="3" xfId="7" applyFont="1" applyFill="1" applyBorder="1" applyAlignment="1" applyProtection="1">
      <alignment horizontal="center" vertical="center"/>
      <protection locked="0"/>
    </xf>
    <xf numFmtId="0" fontId="15" fillId="4" borderId="37" xfId="0" applyFont="1" applyFill="1" applyBorder="1" applyAlignment="1" applyProtection="1">
      <alignment horizontal="left" vertical="center" indent="1"/>
      <protection locked="0"/>
    </xf>
    <xf numFmtId="44" fontId="15" fillId="0" borderId="32" xfId="1" applyFont="1" applyFill="1" applyBorder="1" applyAlignment="1" applyProtection="1">
      <alignment vertical="center"/>
      <protection locked="0"/>
    </xf>
    <xf numFmtId="44" fontId="15" fillId="0" borderId="32" xfId="1" applyFont="1" applyBorder="1" applyAlignment="1" applyProtection="1">
      <alignment vertical="center"/>
    </xf>
    <xf numFmtId="44" fontId="15" fillId="4" borderId="3" xfId="8" applyFont="1" applyFill="1" applyBorder="1" applyAlignment="1" applyProtection="1">
      <alignment vertical="center"/>
      <protection locked="0"/>
    </xf>
    <xf numFmtId="44" fontId="15" fillId="0" borderId="32" xfId="8" applyFont="1" applyFill="1" applyBorder="1" applyAlignment="1" applyProtection="1">
      <alignment vertical="center"/>
      <protection locked="0"/>
    </xf>
    <xf numFmtId="0" fontId="15" fillId="4" borderId="39" xfId="0" applyFont="1" applyFill="1" applyBorder="1" applyAlignment="1" applyProtection="1">
      <alignment horizontal="left" vertical="center" indent="1"/>
      <protection locked="0"/>
    </xf>
    <xf numFmtId="0" fontId="15" fillId="4" borderId="69" xfId="7" applyFont="1" applyFill="1" applyBorder="1" applyAlignment="1" applyProtection="1">
      <alignment horizontal="center" vertical="center"/>
      <protection locked="0"/>
    </xf>
    <xf numFmtId="44" fontId="15" fillId="4" borderId="69" xfId="8" applyFont="1" applyFill="1" applyBorder="1" applyAlignment="1" applyProtection="1">
      <alignment vertical="center"/>
      <protection locked="0"/>
    </xf>
    <xf numFmtId="44" fontId="15" fillId="0" borderId="29" xfId="8" applyFont="1" applyFill="1" applyBorder="1" applyAlignment="1" applyProtection="1">
      <alignment vertical="center"/>
      <protection locked="0"/>
    </xf>
    <xf numFmtId="44" fontId="15" fillId="0" borderId="29" xfId="1" applyFont="1" applyBorder="1" applyAlignment="1" applyProtection="1">
      <alignment vertical="center"/>
    </xf>
    <xf numFmtId="44" fontId="15" fillId="8" borderId="24" xfId="1" applyFont="1" applyFill="1" applyBorder="1" applyAlignment="1" applyProtection="1">
      <alignment vertical="center"/>
      <protection locked="0"/>
    </xf>
    <xf numFmtId="44" fontId="15" fillId="0" borderId="22" xfId="1" applyFont="1" applyBorder="1" applyAlignment="1" applyProtection="1">
      <alignment horizontal="center" vertical="center"/>
    </xf>
    <xf numFmtId="44" fontId="15" fillId="8" borderId="3" xfId="1" applyFont="1" applyFill="1" applyBorder="1" applyAlignment="1" applyProtection="1">
      <alignment vertical="center"/>
      <protection locked="0"/>
    </xf>
    <xf numFmtId="44" fontId="15" fillId="8" borderId="3" xfId="1" applyFont="1" applyFill="1" applyBorder="1" applyProtection="1">
      <protection locked="0"/>
    </xf>
    <xf numFmtId="0" fontId="18" fillId="0" borderId="60" xfId="0" applyFont="1" applyBorder="1" applyAlignment="1">
      <alignment horizontal="left" indent="2"/>
    </xf>
    <xf numFmtId="0" fontId="18" fillId="0" borderId="61" xfId="0" applyFont="1" applyBorder="1"/>
    <xf numFmtId="44" fontId="18" fillId="0" borderId="62" xfId="1" applyFont="1" applyBorder="1" applyAlignment="1" applyProtection="1">
      <alignment horizontal="center"/>
    </xf>
    <xf numFmtId="44" fontId="15" fillId="4" borderId="24" xfId="1" applyFont="1" applyFill="1" applyBorder="1" applyAlignment="1" applyProtection="1">
      <alignment horizontal="center" vertical="center"/>
      <protection locked="0"/>
    </xf>
    <xf numFmtId="44" fontId="15" fillId="0" borderId="59" xfId="0" applyNumberFormat="1" applyFont="1" applyBorder="1" applyAlignment="1">
      <alignment horizontal="center" vertical="center"/>
    </xf>
    <xf numFmtId="44" fontId="15" fillId="4" borderId="3" xfId="1" applyFont="1" applyFill="1" applyBorder="1" applyAlignment="1" applyProtection="1">
      <alignment horizontal="center" vertical="center"/>
      <protection locked="0"/>
    </xf>
    <xf numFmtId="44" fontId="15" fillId="6" borderId="3" xfId="1" applyFont="1" applyFill="1" applyBorder="1" applyAlignment="1" applyProtection="1">
      <alignment horizontal="center" vertical="center"/>
    </xf>
    <xf numFmtId="44" fontId="15" fillId="0" borderId="57" xfId="0" applyNumberFormat="1" applyFont="1" applyBorder="1" applyAlignment="1">
      <alignment horizontal="center" vertical="center"/>
    </xf>
    <xf numFmtId="0" fontId="15" fillId="4" borderId="14" xfId="0" applyFont="1" applyFill="1" applyBorder="1" applyAlignment="1" applyProtection="1">
      <alignment horizontal="left" vertical="center" indent="1"/>
      <protection locked="0"/>
    </xf>
    <xf numFmtId="0" fontId="28" fillId="2" borderId="0" xfId="0" applyFont="1" applyFill="1" applyAlignment="1">
      <alignment horizontal="center" vertical="center"/>
    </xf>
    <xf numFmtId="0" fontId="33" fillId="0" borderId="20" xfId="0" applyFont="1" applyBorder="1" applyAlignment="1">
      <alignment horizontal="center" vertical="center" wrapText="1"/>
    </xf>
    <xf numFmtId="0" fontId="33" fillId="5" borderId="6" xfId="0" applyFont="1" applyFill="1" applyBorder="1" applyAlignment="1">
      <alignment horizontal="right" indent="1"/>
    </xf>
    <xf numFmtId="0" fontId="42" fillId="0" borderId="17" xfId="0" applyFont="1" applyBorder="1"/>
    <xf numFmtId="0" fontId="42" fillId="0" borderId="18" xfId="0" applyFont="1" applyBorder="1"/>
    <xf numFmtId="0" fontId="42" fillId="0" borderId="19" xfId="0" applyFont="1" applyBorder="1"/>
    <xf numFmtId="0" fontId="42" fillId="0" borderId="0" xfId="0" applyFont="1" applyAlignment="1">
      <alignment horizontal="center"/>
    </xf>
    <xf numFmtId="0" fontId="33" fillId="5" borderId="28" xfId="0" applyFont="1" applyFill="1" applyBorder="1" applyAlignment="1">
      <alignment horizontal="center" vertical="center" wrapText="1"/>
    </xf>
    <xf numFmtId="0" fontId="33" fillId="0" borderId="5" xfId="0" applyFont="1" applyBorder="1" applyAlignment="1">
      <alignment vertical="center" wrapText="1"/>
    </xf>
    <xf numFmtId="0" fontId="43" fillId="6" borderId="0" xfId="0" applyFont="1" applyFill="1" applyAlignment="1">
      <alignment horizontal="center" vertical="center"/>
    </xf>
    <xf numFmtId="0" fontId="41" fillId="0" borderId="20" xfId="0" applyFont="1" applyBorder="1" applyAlignment="1">
      <alignment horizontal="center"/>
    </xf>
    <xf numFmtId="0" fontId="41" fillId="0" borderId="0" xfId="0" applyFont="1" applyAlignment="1">
      <alignment horizontal="center"/>
    </xf>
    <xf numFmtId="0" fontId="41" fillId="0" borderId="0" xfId="0" applyFont="1" applyAlignment="1">
      <alignment horizontal="right"/>
    </xf>
    <xf numFmtId="0" fontId="33" fillId="5" borderId="28" xfId="0" applyFont="1" applyFill="1" applyBorder="1" applyAlignment="1">
      <alignment horizontal="right" vertical="center" indent="1"/>
    </xf>
    <xf numFmtId="0" fontId="41" fillId="0" borderId="5" xfId="0" applyFont="1" applyBorder="1"/>
    <xf numFmtId="0" fontId="43" fillId="5" borderId="28" xfId="0" applyFont="1" applyFill="1" applyBorder="1" applyAlignment="1">
      <alignment horizontal="right" vertical="center" indent="1"/>
    </xf>
    <xf numFmtId="164" fontId="41" fillId="0" borderId="0" xfId="0" applyNumberFormat="1" applyFont="1" applyAlignment="1">
      <alignment vertical="top"/>
    </xf>
    <xf numFmtId="0" fontId="42" fillId="0" borderId="21" xfId="0" applyFont="1" applyBorder="1"/>
    <xf numFmtId="0" fontId="42" fillId="4" borderId="74" xfId="0" applyFont="1" applyFill="1" applyBorder="1" applyAlignment="1" applyProtection="1">
      <alignment horizontal="center" vertical="center"/>
      <protection locked="0"/>
    </xf>
    <xf numFmtId="0" fontId="42" fillId="4" borderId="73" xfId="0" applyFont="1" applyFill="1" applyBorder="1" applyAlignment="1" applyProtection="1">
      <alignment horizontal="center" vertical="center"/>
      <protection locked="0"/>
    </xf>
    <xf numFmtId="0" fontId="42" fillId="4" borderId="72" xfId="0" applyFont="1" applyFill="1" applyBorder="1" applyAlignment="1" applyProtection="1">
      <alignment horizontal="center" vertical="center"/>
      <protection locked="0"/>
    </xf>
    <xf numFmtId="3" fontId="15" fillId="4" borderId="3" xfId="7" applyNumberFormat="1" applyFont="1" applyFill="1" applyBorder="1" applyAlignment="1" applyProtection="1">
      <alignment horizontal="center" vertical="center"/>
      <protection locked="0"/>
    </xf>
    <xf numFmtId="3" fontId="15" fillId="4" borderId="69" xfId="7" applyNumberFormat="1" applyFont="1" applyFill="1" applyBorder="1" applyAlignment="1" applyProtection="1">
      <alignment horizontal="center" vertical="center"/>
      <protection locked="0"/>
    </xf>
    <xf numFmtId="3" fontId="15" fillId="6" borderId="3" xfId="7" applyNumberFormat="1" applyFont="1" applyFill="1" applyBorder="1" applyAlignment="1">
      <alignment horizontal="center" vertical="center"/>
    </xf>
    <xf numFmtId="3" fontId="15" fillId="4" borderId="24" xfId="0" applyNumberFormat="1" applyFont="1" applyFill="1" applyBorder="1" applyAlignment="1" applyProtection="1">
      <alignment horizontal="center" vertical="center"/>
      <protection locked="0"/>
    </xf>
    <xf numFmtId="3" fontId="15" fillId="0" borderId="3" xfId="0" applyNumberFormat="1" applyFont="1" applyBorder="1" applyAlignment="1">
      <alignment horizontal="center"/>
    </xf>
    <xf numFmtId="3" fontId="15" fillId="4" borderId="12" xfId="1" applyNumberFormat="1" applyFont="1" applyFill="1" applyBorder="1" applyAlignment="1" applyProtection="1">
      <alignment horizontal="center"/>
      <protection locked="0"/>
    </xf>
    <xf numFmtId="3" fontId="15" fillId="4" borderId="3" xfId="1" applyNumberFormat="1" applyFont="1" applyFill="1" applyBorder="1" applyAlignment="1" applyProtection="1">
      <alignment horizontal="center"/>
      <protection locked="0"/>
    </xf>
    <xf numFmtId="3" fontId="15" fillId="4" borderId="53" xfId="1" applyNumberFormat="1" applyFont="1" applyFill="1" applyBorder="1" applyAlignment="1" applyProtection="1">
      <alignment horizontal="center"/>
      <protection locked="0"/>
    </xf>
    <xf numFmtId="3" fontId="31" fillId="8" borderId="4" xfId="0" applyNumberFormat="1" applyFont="1" applyFill="1" applyBorder="1" applyAlignment="1" applyProtection="1">
      <alignment horizontal="center" vertical="center"/>
      <protection locked="0"/>
    </xf>
    <xf numFmtId="3" fontId="16" fillId="6" borderId="3" xfId="0" applyNumberFormat="1" applyFont="1" applyFill="1" applyBorder="1" applyAlignment="1">
      <alignment horizontal="center"/>
    </xf>
    <xf numFmtId="3" fontId="15" fillId="4" borderId="53" xfId="7" applyNumberFormat="1" applyFont="1" applyFill="1" applyBorder="1" applyAlignment="1" applyProtection="1">
      <alignment horizontal="center" vertical="center"/>
      <protection locked="0"/>
    </xf>
    <xf numFmtId="3" fontId="31" fillId="6" borderId="37" xfId="0" applyNumberFormat="1" applyFont="1" applyFill="1" applyBorder="1" applyAlignment="1">
      <alignment horizontal="center" vertical="center"/>
    </xf>
    <xf numFmtId="3" fontId="31" fillId="8" borderId="48" xfId="0" applyNumberFormat="1" applyFont="1" applyFill="1" applyBorder="1" applyAlignment="1" applyProtection="1">
      <alignment horizontal="center" vertical="center"/>
      <protection locked="0"/>
    </xf>
    <xf numFmtId="0" fontId="33" fillId="11" borderId="6" xfId="0" applyFont="1" applyFill="1" applyBorder="1" applyAlignment="1">
      <alignment horizontal="center"/>
    </xf>
    <xf numFmtId="0" fontId="18" fillId="0" borderId="26" xfId="2" applyFont="1" applyBorder="1" applyAlignment="1">
      <alignment horizontal="left" indent="1"/>
    </xf>
    <xf numFmtId="0" fontId="18" fillId="0" borderId="42" xfId="2" applyFont="1" applyBorder="1" applyAlignment="1">
      <alignment horizontal="left" indent="1"/>
    </xf>
    <xf numFmtId="3" fontId="41" fillId="4" borderId="44" xfId="0" applyNumberFormat="1" applyFont="1" applyFill="1" applyBorder="1" applyAlignment="1" applyProtection="1">
      <alignment horizontal="center" vertical="center"/>
      <protection locked="0"/>
    </xf>
    <xf numFmtId="3" fontId="41" fillId="4" borderId="59" xfId="0" applyNumberFormat="1" applyFont="1" applyFill="1" applyBorder="1" applyAlignment="1" applyProtection="1">
      <alignment horizontal="center" vertical="center"/>
      <protection locked="0"/>
    </xf>
    <xf numFmtId="3" fontId="41" fillId="4" borderId="65" xfId="0" applyNumberFormat="1" applyFont="1" applyFill="1" applyBorder="1" applyAlignment="1" applyProtection="1">
      <alignment horizontal="center" vertical="center"/>
      <protection locked="0"/>
    </xf>
    <xf numFmtId="169" fontId="41" fillId="4" borderId="28" xfId="1" applyNumberFormat="1" applyFont="1" applyFill="1" applyBorder="1" applyAlignment="1" applyProtection="1">
      <alignment horizontal="center" vertical="center"/>
      <protection locked="0"/>
    </xf>
    <xf numFmtId="0" fontId="18" fillId="0" borderId="0" xfId="0" applyFont="1" applyAlignment="1">
      <alignment horizontal="left" indent="2"/>
    </xf>
    <xf numFmtId="0" fontId="18" fillId="0" borderId="0" xfId="0" applyFont="1"/>
    <xf numFmtId="0" fontId="15" fillId="0" borderId="3" xfId="2" applyFont="1" applyBorder="1" applyAlignment="1" applyProtection="1">
      <alignment horizontal="center"/>
      <protection locked="0"/>
    </xf>
    <xf numFmtId="0" fontId="15" fillId="0" borderId="53" xfId="2" applyFont="1" applyBorder="1" applyAlignment="1" applyProtection="1">
      <alignment horizontal="center"/>
      <protection locked="0"/>
    </xf>
    <xf numFmtId="0" fontId="15" fillId="0" borderId="3" xfId="2" applyFont="1" applyBorder="1" applyAlignment="1" applyProtection="1">
      <alignment horizontal="center" shrinkToFit="1"/>
      <protection locked="0"/>
    </xf>
    <xf numFmtId="0" fontId="15" fillId="0" borderId="55" xfId="2" applyFont="1" applyBorder="1" applyAlignment="1" applyProtection="1">
      <alignment horizontal="center"/>
      <protection locked="0"/>
    </xf>
    <xf numFmtId="0" fontId="15" fillId="0" borderId="23" xfId="2" applyFont="1" applyBorder="1" applyAlignment="1" applyProtection="1">
      <alignment horizontal="left" indent="1"/>
      <protection locked="0"/>
    </xf>
    <xf numFmtId="0" fontId="15" fillId="0" borderId="66" xfId="2" applyFont="1" applyBorder="1" applyAlignment="1" applyProtection="1">
      <alignment horizontal="left" indent="1"/>
      <protection locked="0"/>
    </xf>
    <xf numFmtId="0" fontId="15" fillId="0" borderId="40" xfId="2" applyFont="1" applyBorder="1" applyAlignment="1" applyProtection="1">
      <alignment horizontal="left" indent="1"/>
      <protection locked="0"/>
    </xf>
    <xf numFmtId="0" fontId="15" fillId="0" borderId="37" xfId="2" applyFont="1" applyBorder="1" applyAlignment="1" applyProtection="1">
      <alignment horizontal="left" indent="1"/>
      <protection locked="0"/>
    </xf>
    <xf numFmtId="0" fontId="15" fillId="0" borderId="51" xfId="2" applyFont="1" applyBorder="1" applyAlignment="1" applyProtection="1">
      <alignment horizontal="left" indent="1"/>
      <protection locked="0"/>
    </xf>
    <xf numFmtId="3" fontId="15" fillId="6" borderId="12" xfId="1" applyNumberFormat="1" applyFont="1" applyFill="1" applyBorder="1" applyAlignment="1" applyProtection="1">
      <alignment horizontal="center"/>
      <protection locked="0"/>
    </xf>
    <xf numFmtId="0" fontId="43" fillId="11" borderId="25" xfId="0" applyFont="1" applyFill="1" applyBorder="1" applyAlignment="1">
      <alignment horizontal="center" vertical="center"/>
    </xf>
    <xf numFmtId="0" fontId="43" fillId="11" borderId="16" xfId="0" applyFont="1" applyFill="1" applyBorder="1" applyAlignment="1">
      <alignment horizontal="center" vertical="center"/>
    </xf>
    <xf numFmtId="14" fontId="33" fillId="11" borderId="31" xfId="0" applyNumberFormat="1" applyFont="1" applyFill="1" applyBorder="1" applyAlignment="1">
      <alignment horizontal="center" vertical="center"/>
    </xf>
    <xf numFmtId="14" fontId="43" fillId="11" borderId="33" xfId="0" applyNumberFormat="1" applyFont="1" applyFill="1" applyBorder="1" applyAlignment="1">
      <alignment horizontal="center" vertical="center"/>
    </xf>
    <xf numFmtId="14" fontId="43" fillId="11" borderId="21" xfId="0" applyNumberFormat="1" applyFont="1" applyFill="1" applyBorder="1" applyAlignment="1">
      <alignment horizontal="center" vertical="center"/>
    </xf>
    <xf numFmtId="0" fontId="3" fillId="6" borderId="28" xfId="10" applyFont="1" applyFill="1" applyBorder="1" applyAlignment="1">
      <alignment horizontal="right" vertical="center" indent="2"/>
    </xf>
    <xf numFmtId="4" fontId="31" fillId="4" borderId="24" xfId="0" applyNumberFormat="1" applyFont="1" applyFill="1" applyBorder="1" applyAlignment="1" applyProtection="1">
      <alignment horizontal="center" vertical="center"/>
      <protection locked="0"/>
    </xf>
    <xf numFmtId="4" fontId="31" fillId="8" borderId="4" xfId="0" applyNumberFormat="1" applyFont="1" applyFill="1" applyBorder="1" applyAlignment="1" applyProtection="1">
      <alignment horizontal="center" vertical="center"/>
      <protection locked="0"/>
    </xf>
    <xf numFmtId="4" fontId="31" fillId="6" borderId="3" xfId="0" applyNumberFormat="1" applyFont="1" applyFill="1" applyBorder="1" applyAlignment="1">
      <alignment horizontal="center"/>
    </xf>
    <xf numFmtId="4" fontId="31" fillId="8" borderId="48" xfId="0" applyNumberFormat="1" applyFont="1" applyFill="1" applyBorder="1" applyAlignment="1" applyProtection="1">
      <alignment horizontal="center" vertical="center"/>
      <protection locked="0"/>
    </xf>
    <xf numFmtId="4" fontId="16" fillId="6" borderId="3" xfId="0" applyNumberFormat="1" applyFont="1" applyFill="1" applyBorder="1" applyAlignment="1">
      <alignment horizontal="center"/>
    </xf>
    <xf numFmtId="4" fontId="16" fillId="4" borderId="24" xfId="0" applyNumberFormat="1" applyFont="1" applyFill="1" applyBorder="1" applyAlignment="1" applyProtection="1">
      <alignment horizontal="center" vertical="center"/>
      <protection locked="0"/>
    </xf>
    <xf numFmtId="4" fontId="15" fillId="4" borderId="24" xfId="0" applyNumberFormat="1" applyFont="1" applyFill="1" applyBorder="1" applyAlignment="1" applyProtection="1">
      <alignment horizontal="center" vertical="center"/>
      <protection locked="0"/>
    </xf>
    <xf numFmtId="4" fontId="15" fillId="0" borderId="3" xfId="0" applyNumberFormat="1" applyFont="1" applyBorder="1" applyAlignment="1">
      <alignment horizontal="center"/>
    </xf>
    <xf numFmtId="0" fontId="33" fillId="11" borderId="74" xfId="0" applyFont="1" applyFill="1" applyBorder="1" applyAlignment="1">
      <alignment horizontal="center" vertical="center"/>
    </xf>
    <xf numFmtId="0" fontId="33" fillId="11" borderId="75" xfId="0" applyFont="1" applyFill="1" applyBorder="1" applyAlignment="1">
      <alignment horizontal="center" vertical="center"/>
    </xf>
    <xf numFmtId="0" fontId="33" fillId="11" borderId="47" xfId="0" applyFont="1" applyFill="1" applyBorder="1" applyAlignment="1">
      <alignment horizontal="center" vertical="center"/>
    </xf>
    <xf numFmtId="14" fontId="42" fillId="4" borderId="32" xfId="0" applyNumberFormat="1" applyFont="1" applyFill="1" applyBorder="1" applyAlignment="1" applyProtection="1">
      <alignment horizontal="center" vertical="center"/>
      <protection locked="0"/>
    </xf>
    <xf numFmtId="14" fontId="41" fillId="4" borderId="59" xfId="0" applyNumberFormat="1" applyFont="1" applyFill="1" applyBorder="1" applyAlignment="1" applyProtection="1">
      <alignment horizontal="center" vertical="center"/>
      <protection locked="0"/>
    </xf>
    <xf numFmtId="14" fontId="42" fillId="4" borderId="36" xfId="0" applyNumberFormat="1" applyFont="1" applyFill="1" applyBorder="1" applyAlignment="1" applyProtection="1">
      <alignment horizontal="center" vertical="center"/>
      <protection locked="0"/>
    </xf>
    <xf numFmtId="14" fontId="41" fillId="4" borderId="65" xfId="0" applyNumberFormat="1" applyFont="1" applyFill="1" applyBorder="1" applyAlignment="1" applyProtection="1">
      <alignment horizontal="center" vertical="center"/>
      <protection locked="0"/>
    </xf>
    <xf numFmtId="14" fontId="41" fillId="4" borderId="11" xfId="0" applyNumberFormat="1" applyFont="1" applyFill="1" applyBorder="1" applyAlignment="1" applyProtection="1">
      <alignment horizontal="center" vertical="center"/>
      <protection locked="0"/>
    </xf>
    <xf numFmtId="14" fontId="41" fillId="4" borderId="44" xfId="0" applyNumberFormat="1" applyFont="1" applyFill="1" applyBorder="1" applyAlignment="1" applyProtection="1">
      <alignment horizontal="center" vertical="center"/>
      <protection locked="0"/>
    </xf>
    <xf numFmtId="0" fontId="42" fillId="6" borderId="5" xfId="0" applyFont="1" applyFill="1" applyBorder="1"/>
    <xf numFmtId="0" fontId="41" fillId="6" borderId="0" xfId="0" applyFont="1" applyFill="1" applyAlignment="1">
      <alignment horizontal="center"/>
    </xf>
    <xf numFmtId="0" fontId="42" fillId="6" borderId="0" xfId="0" applyFont="1" applyFill="1"/>
    <xf numFmtId="0" fontId="33" fillId="5" borderId="28" xfId="0" applyFont="1" applyFill="1" applyBorder="1" applyAlignment="1" applyProtection="1">
      <alignment horizontal="center"/>
      <protection locked="0"/>
    </xf>
    <xf numFmtId="0" fontId="43" fillId="11" borderId="47" xfId="0" applyFont="1" applyFill="1" applyBorder="1" applyAlignment="1">
      <alignment horizontal="center" vertical="center"/>
    </xf>
    <xf numFmtId="0" fontId="43" fillId="11" borderId="76" xfId="0" applyFont="1" applyFill="1" applyBorder="1" applyAlignment="1">
      <alignment horizontal="center" vertical="center"/>
    </xf>
    <xf numFmtId="0" fontId="43" fillId="11" borderId="46" xfId="0" applyFont="1" applyFill="1" applyBorder="1" applyAlignment="1">
      <alignment horizontal="center" vertical="center"/>
    </xf>
    <xf numFmtId="0" fontId="33" fillId="9" borderId="0" xfId="1" applyNumberFormat="1" applyFont="1" applyFill="1" applyBorder="1" applyAlignment="1" applyProtection="1">
      <alignment horizontal="center" vertical="center"/>
    </xf>
    <xf numFmtId="44" fontId="33" fillId="9" borderId="0" xfId="1" applyFont="1" applyFill="1" applyBorder="1" applyAlignment="1" applyProtection="1">
      <alignment horizontal="center" vertical="center"/>
    </xf>
    <xf numFmtId="3" fontId="31" fillId="4" borderId="4" xfId="0" applyNumberFormat="1" applyFont="1" applyFill="1" applyBorder="1" applyAlignment="1" applyProtection="1">
      <alignment horizontal="center" vertical="center"/>
      <protection locked="0"/>
    </xf>
    <xf numFmtId="44" fontId="16" fillId="4" borderId="3" xfId="1" applyFont="1" applyFill="1" applyBorder="1" applyAlignment="1" applyProtection="1">
      <alignment vertical="center"/>
      <protection locked="0"/>
    </xf>
    <xf numFmtId="44" fontId="16" fillId="4" borderId="3" xfId="1" applyFont="1" applyFill="1" applyBorder="1" applyProtection="1">
      <protection locked="0"/>
    </xf>
    <xf numFmtId="4" fontId="31" fillId="4" borderId="4" xfId="0" applyNumberFormat="1" applyFont="1" applyFill="1" applyBorder="1" applyAlignment="1" applyProtection="1">
      <alignment horizontal="center" vertical="center"/>
      <protection locked="0"/>
    </xf>
    <xf numFmtId="44" fontId="16" fillId="4" borderId="15" xfId="1" applyFont="1" applyFill="1" applyBorder="1" applyProtection="1">
      <protection locked="0"/>
    </xf>
    <xf numFmtId="0" fontId="18" fillId="5" borderId="42" xfId="2" applyFont="1" applyFill="1" applyBorder="1" applyAlignment="1">
      <alignment horizontal="left" indent="1"/>
    </xf>
    <xf numFmtId="167" fontId="8" fillId="4" borderId="28" xfId="5" applyNumberFormat="1" applyFont="1" applyFill="1" applyBorder="1" applyAlignment="1">
      <alignment horizontal="center" vertical="center"/>
    </xf>
    <xf numFmtId="0" fontId="43" fillId="9" borderId="17" xfId="0" applyFont="1" applyFill="1" applyBorder="1" applyAlignment="1">
      <alignment horizontal="center" vertical="center"/>
    </xf>
    <xf numFmtId="0" fontId="43" fillId="9" borderId="18" xfId="0" applyFont="1" applyFill="1" applyBorder="1" applyAlignment="1">
      <alignment horizontal="center" vertical="center"/>
    </xf>
    <xf numFmtId="14" fontId="33" fillId="11" borderId="74" xfId="0" applyNumberFormat="1" applyFont="1" applyFill="1" applyBorder="1" applyAlignment="1">
      <alignment horizontal="center" vertical="center"/>
    </xf>
    <xf numFmtId="14" fontId="43" fillId="11" borderId="75" xfId="0" applyNumberFormat="1" applyFont="1" applyFill="1" applyBorder="1" applyAlignment="1">
      <alignment horizontal="center" vertical="center"/>
    </xf>
    <xf numFmtId="14" fontId="43" fillId="11" borderId="47" xfId="0" applyNumberFormat="1" applyFont="1" applyFill="1" applyBorder="1" applyAlignment="1">
      <alignment horizontal="center" vertical="center"/>
    </xf>
    <xf numFmtId="0" fontId="43" fillId="11" borderId="77" xfId="0" applyFont="1" applyFill="1" applyBorder="1" applyAlignment="1">
      <alignment horizontal="center" vertical="center"/>
    </xf>
    <xf numFmtId="0" fontId="43" fillId="11" borderId="26" xfId="0" applyFont="1" applyFill="1" applyBorder="1" applyAlignment="1">
      <alignment horizontal="center" vertical="center"/>
    </xf>
    <xf numFmtId="0" fontId="43" fillId="11" borderId="42" xfId="0" applyFont="1" applyFill="1" applyBorder="1" applyAlignment="1">
      <alignment horizontal="center" vertical="center"/>
    </xf>
    <xf numFmtId="0" fontId="43" fillId="11" borderId="23" xfId="0" applyFont="1" applyFill="1" applyBorder="1" applyAlignment="1">
      <alignment horizontal="center" vertical="center"/>
    </xf>
    <xf numFmtId="0" fontId="33" fillId="11" borderId="73" xfId="0" applyFont="1" applyFill="1" applyBorder="1" applyAlignment="1">
      <alignment horizontal="center" vertical="center"/>
    </xf>
    <xf numFmtId="0" fontId="33" fillId="11" borderId="72" xfId="0" applyFont="1" applyFill="1" applyBorder="1" applyAlignment="1">
      <alignment horizontal="center" vertical="center"/>
    </xf>
    <xf numFmtId="0" fontId="43" fillId="11" borderId="31" xfId="0" applyFont="1" applyFill="1" applyBorder="1" applyAlignment="1">
      <alignment horizontal="center" vertical="center"/>
    </xf>
    <xf numFmtId="0" fontId="43" fillId="11" borderId="33" xfId="0" applyFont="1" applyFill="1" applyBorder="1" applyAlignment="1">
      <alignment horizontal="center" vertical="center"/>
    </xf>
    <xf numFmtId="0" fontId="43" fillId="11" borderId="13" xfId="0" applyFont="1" applyFill="1" applyBorder="1" applyAlignment="1">
      <alignment horizontal="center" vertical="center"/>
    </xf>
    <xf numFmtId="0" fontId="43" fillId="11" borderId="30" xfId="0" applyFont="1" applyFill="1" applyBorder="1" applyAlignment="1">
      <alignment horizontal="center" vertical="center"/>
    </xf>
    <xf numFmtId="0" fontId="43" fillId="11" borderId="84" xfId="0" applyFont="1" applyFill="1" applyBorder="1" applyAlignment="1">
      <alignment horizontal="center" vertical="center"/>
    </xf>
    <xf numFmtId="0" fontId="43" fillId="11" borderId="44" xfId="0" applyFont="1" applyFill="1" applyBorder="1" applyAlignment="1">
      <alignment horizontal="center" vertical="center"/>
    </xf>
    <xf numFmtId="0" fontId="43" fillId="11" borderId="14" xfId="0" applyFont="1" applyFill="1" applyBorder="1" applyAlignment="1">
      <alignment horizontal="center" vertical="center"/>
    </xf>
    <xf numFmtId="0" fontId="43" fillId="11" borderId="22" xfId="0" applyFont="1" applyFill="1" applyBorder="1" applyAlignment="1">
      <alignment horizontal="center" vertical="center"/>
    </xf>
    <xf numFmtId="0" fontId="43" fillId="11" borderId="83" xfId="0" applyFont="1" applyFill="1" applyBorder="1" applyAlignment="1">
      <alignment horizontal="center" vertical="center"/>
    </xf>
    <xf numFmtId="0" fontId="43" fillId="11" borderId="82" xfId="0" applyFont="1" applyFill="1" applyBorder="1" applyAlignment="1">
      <alignment horizontal="center" vertical="center"/>
    </xf>
    <xf numFmtId="0" fontId="43" fillId="9" borderId="1" xfId="0" applyFont="1" applyFill="1" applyBorder="1" applyAlignment="1">
      <alignment horizontal="right"/>
    </xf>
    <xf numFmtId="0" fontId="43" fillId="9" borderId="5" xfId="0" applyFont="1" applyFill="1" applyBorder="1"/>
    <xf numFmtId="0" fontId="43" fillId="9" borderId="16" xfId="0" applyFont="1" applyFill="1" applyBorder="1" applyAlignment="1">
      <alignment horizontal="right"/>
    </xf>
    <xf numFmtId="0" fontId="43" fillId="9" borderId="20" xfId="0" applyFont="1" applyFill="1" applyBorder="1"/>
    <xf numFmtId="0" fontId="43" fillId="9" borderId="21" xfId="0" applyFont="1" applyFill="1" applyBorder="1"/>
    <xf numFmtId="0" fontId="43" fillId="11" borderId="21" xfId="0" applyFont="1" applyFill="1" applyBorder="1" applyAlignment="1">
      <alignment horizontal="center" vertical="center"/>
    </xf>
    <xf numFmtId="0" fontId="42" fillId="6" borderId="0" xfId="0" applyFont="1" applyFill="1" applyAlignment="1">
      <alignment horizontal="right"/>
    </xf>
    <xf numFmtId="0" fontId="33" fillId="6" borderId="0" xfId="0" applyFont="1" applyFill="1" applyAlignment="1">
      <alignment horizontal="center" vertical="center" wrapText="1"/>
    </xf>
    <xf numFmtId="0" fontId="33" fillId="6" borderId="0" xfId="0" applyFont="1" applyFill="1" applyAlignment="1">
      <alignment vertical="center" wrapText="1"/>
    </xf>
    <xf numFmtId="0" fontId="42" fillId="6" borderId="0" xfId="0" applyFont="1" applyFill="1" applyAlignment="1" applyProtection="1">
      <alignment horizontal="center" vertical="center"/>
      <protection locked="0"/>
    </xf>
    <xf numFmtId="0" fontId="41" fillId="6" borderId="0" xfId="0" applyFont="1" applyFill="1" applyAlignment="1" applyProtection="1">
      <alignment horizontal="center" vertical="center"/>
      <protection locked="0"/>
    </xf>
    <xf numFmtId="3" fontId="41" fillId="6" borderId="0" xfId="0" applyNumberFormat="1" applyFont="1" applyFill="1" applyAlignment="1" applyProtection="1">
      <alignment horizontal="center" vertical="center"/>
      <protection locked="0"/>
    </xf>
    <xf numFmtId="3" fontId="41" fillId="6" borderId="0" xfId="1" applyNumberFormat="1" applyFont="1" applyFill="1" applyBorder="1" applyAlignment="1" applyProtection="1">
      <alignment horizontal="center" vertical="center"/>
      <protection locked="0"/>
    </xf>
    <xf numFmtId="169" fontId="41" fillId="6" borderId="0" xfId="1" applyNumberFormat="1" applyFont="1" applyFill="1" applyBorder="1" applyAlignment="1" applyProtection="1">
      <alignment vertical="center"/>
      <protection locked="0"/>
    </xf>
    <xf numFmtId="3" fontId="42" fillId="6" borderId="0" xfId="0" applyNumberFormat="1" applyFont="1" applyFill="1" applyAlignment="1" applyProtection="1">
      <alignment horizontal="center" vertical="center"/>
      <protection locked="0"/>
    </xf>
    <xf numFmtId="0" fontId="33" fillId="11" borderId="42" xfId="1" applyNumberFormat="1" applyFont="1" applyFill="1" applyBorder="1" applyAlignment="1" applyProtection="1">
      <alignment horizontal="centerContinuous" vertical="center"/>
    </xf>
    <xf numFmtId="0" fontId="33" fillId="11" borderId="31" xfId="1" applyNumberFormat="1" applyFont="1" applyFill="1" applyBorder="1" applyAlignment="1" applyProtection="1">
      <alignment horizontal="centerContinuous" vertical="center"/>
    </xf>
    <xf numFmtId="44" fontId="33" fillId="11" borderId="23" xfId="1" applyFont="1" applyFill="1" applyBorder="1" applyAlignment="1" applyProtection="1">
      <alignment horizontal="centerContinuous" vertical="center"/>
    </xf>
    <xf numFmtId="44" fontId="33" fillId="11" borderId="13" xfId="1" applyFont="1" applyFill="1" applyBorder="1" applyAlignment="1" applyProtection="1">
      <alignment horizontal="centerContinuous" vertical="center"/>
    </xf>
    <xf numFmtId="169" fontId="33" fillId="11" borderId="42" xfId="1" applyNumberFormat="1" applyFont="1" applyFill="1" applyBorder="1" applyAlignment="1" applyProtection="1">
      <alignment horizontal="center" vertical="center"/>
    </xf>
    <xf numFmtId="169" fontId="33" fillId="11" borderId="23" xfId="1" applyNumberFormat="1" applyFont="1" applyFill="1" applyBorder="1" applyAlignment="1" applyProtection="1">
      <alignment horizontal="center" vertical="center"/>
    </xf>
    <xf numFmtId="169" fontId="33" fillId="11" borderId="26" xfId="1" applyNumberFormat="1" applyFont="1" applyFill="1" applyBorder="1" applyAlignment="1" applyProtection="1">
      <alignment horizontal="center" vertical="center"/>
    </xf>
    <xf numFmtId="0" fontId="33" fillId="11" borderId="21" xfId="1" applyNumberFormat="1" applyFont="1" applyFill="1" applyBorder="1" applyAlignment="1" applyProtection="1">
      <alignment horizontal="centerContinuous" vertical="center"/>
    </xf>
    <xf numFmtId="0" fontId="33" fillId="11" borderId="33" xfId="1" applyNumberFormat="1" applyFont="1" applyFill="1" applyBorder="1" applyAlignment="1" applyProtection="1">
      <alignment horizontal="centerContinuous" vertical="center"/>
    </xf>
    <xf numFmtId="0" fontId="33" fillId="11" borderId="23" xfId="1" applyNumberFormat="1" applyFont="1" applyFill="1" applyBorder="1" applyAlignment="1" applyProtection="1">
      <alignment horizontal="centerContinuous" vertical="center"/>
    </xf>
    <xf numFmtId="0" fontId="33" fillId="11" borderId="13" xfId="1" applyNumberFormat="1" applyFont="1" applyFill="1" applyBorder="1" applyAlignment="1" applyProtection="1">
      <alignment horizontal="centerContinuous" vertical="center"/>
    </xf>
    <xf numFmtId="44" fontId="33" fillId="11" borderId="42" xfId="1" applyFont="1" applyFill="1" applyBorder="1" applyAlignment="1" applyProtection="1">
      <alignment horizontal="centerContinuous" vertical="center"/>
    </xf>
    <xf numFmtId="44" fontId="33" fillId="11" borderId="31" xfId="1" applyFont="1" applyFill="1" applyBorder="1" applyAlignment="1" applyProtection="1">
      <alignment horizontal="centerContinuous" vertical="center"/>
    </xf>
    <xf numFmtId="0" fontId="42" fillId="0" borderId="20" xfId="0" applyFont="1" applyBorder="1" applyAlignment="1">
      <alignment horizontal="right"/>
    </xf>
    <xf numFmtId="0" fontId="42" fillId="0" borderId="20" xfId="0" applyFont="1" applyBorder="1"/>
    <xf numFmtId="0" fontId="43" fillId="0" borderId="20" xfId="0" applyFont="1" applyBorder="1"/>
    <xf numFmtId="0" fontId="43" fillId="0" borderId="20" xfId="0" applyFont="1" applyBorder="1" applyAlignment="1">
      <alignment horizontal="right"/>
    </xf>
    <xf numFmtId="0" fontId="43" fillId="0" borderId="21" xfId="0" applyFont="1" applyBorder="1"/>
    <xf numFmtId="44" fontId="33" fillId="11" borderId="16" xfId="1" applyFont="1" applyFill="1" applyBorder="1" applyAlignment="1" applyProtection="1">
      <alignment horizontal="centerContinuous" vertical="center"/>
    </xf>
    <xf numFmtId="44" fontId="33" fillId="11" borderId="21" xfId="1" applyFont="1" applyFill="1" applyBorder="1" applyAlignment="1" applyProtection="1">
      <alignment horizontal="centerContinuous" vertical="center"/>
    </xf>
    <xf numFmtId="44" fontId="33" fillId="11" borderId="33" xfId="1" applyFont="1" applyFill="1" applyBorder="1" applyAlignment="1" applyProtection="1">
      <alignment horizontal="centerContinuous" vertical="center"/>
    </xf>
    <xf numFmtId="0" fontId="18" fillId="11" borderId="42" xfId="2" applyFont="1" applyFill="1" applyBorder="1" applyAlignment="1">
      <alignment horizontal="left" indent="1"/>
    </xf>
    <xf numFmtId="10" fontId="18" fillId="11" borderId="3" xfId="5" applyNumberFormat="1" applyFont="1" applyFill="1" applyBorder="1" applyAlignment="1" applyProtection="1">
      <alignment horizontal="center" vertical="center"/>
      <protection locked="0"/>
    </xf>
    <xf numFmtId="10" fontId="18" fillId="11" borderId="55" xfId="5" applyNumberFormat="1" applyFont="1" applyFill="1" applyBorder="1" applyAlignment="1" applyProtection="1">
      <alignment horizontal="center" vertical="center"/>
      <protection locked="0"/>
    </xf>
    <xf numFmtId="10" fontId="18" fillId="11" borderId="44" xfId="5" applyNumberFormat="1" applyFont="1" applyFill="1" applyBorder="1" applyAlignment="1" applyProtection="1">
      <alignment horizontal="center" vertical="center"/>
      <protection locked="0"/>
    </xf>
    <xf numFmtId="169" fontId="36" fillId="3" borderId="73" xfId="1" applyNumberFormat="1" applyFont="1" applyFill="1" applyBorder="1" applyAlignment="1">
      <alignment horizontal="center" vertical="center"/>
    </xf>
    <xf numFmtId="44" fontId="43" fillId="11" borderId="74" xfId="0" applyNumberFormat="1" applyFont="1" applyFill="1" applyBorder="1"/>
    <xf numFmtId="44" fontId="43" fillId="11" borderId="72" xfId="0" applyNumberFormat="1" applyFont="1" applyFill="1" applyBorder="1"/>
    <xf numFmtId="44" fontId="33" fillId="9" borderId="8" xfId="1" applyFont="1" applyFill="1" applyBorder="1" applyAlignment="1" applyProtection="1">
      <alignment horizontal="center" vertical="center"/>
    </xf>
    <xf numFmtId="0" fontId="50" fillId="11" borderId="29" xfId="0" applyFont="1" applyFill="1" applyBorder="1"/>
    <xf numFmtId="0" fontId="50" fillId="11" borderId="30" xfId="0" applyFont="1" applyFill="1" applyBorder="1"/>
    <xf numFmtId="0" fontId="52" fillId="9" borderId="0" xfId="0" applyFont="1" applyFill="1"/>
    <xf numFmtId="0" fontId="0" fillId="9" borderId="0" xfId="0" applyFill="1"/>
    <xf numFmtId="0" fontId="33" fillId="11" borderId="26" xfId="1" applyNumberFormat="1" applyFont="1" applyFill="1" applyBorder="1" applyAlignment="1" applyProtection="1">
      <alignment horizontal="centerContinuous" vertical="center"/>
    </xf>
    <xf numFmtId="4" fontId="31" fillId="8" borderId="3" xfId="0" applyNumberFormat="1" applyFont="1" applyFill="1" applyBorder="1" applyAlignment="1" applyProtection="1">
      <alignment horizontal="center" vertical="center"/>
      <protection locked="0"/>
    </xf>
    <xf numFmtId="4" fontId="31" fillId="6" borderId="3" xfId="0" applyNumberFormat="1" applyFont="1" applyFill="1" applyBorder="1" applyAlignment="1">
      <alignment horizontal="center" vertical="center"/>
    </xf>
    <xf numFmtId="0" fontId="54" fillId="14" borderId="45" xfId="0" applyFont="1" applyFill="1" applyBorder="1" applyAlignment="1">
      <alignment horizontal="center" vertical="center"/>
    </xf>
    <xf numFmtId="0" fontId="54" fillId="14" borderId="47" xfId="0" applyFont="1" applyFill="1" applyBorder="1" applyAlignment="1">
      <alignment horizontal="center" vertical="center"/>
    </xf>
    <xf numFmtId="0" fontId="2" fillId="0" borderId="0" xfId="12"/>
    <xf numFmtId="0" fontId="2" fillId="0" borderId="0" xfId="12" applyAlignment="1">
      <alignment wrapText="1"/>
    </xf>
    <xf numFmtId="0" fontId="73" fillId="0" borderId="0" xfId="13" applyFont="1" applyAlignment="1">
      <alignment wrapText="1"/>
    </xf>
    <xf numFmtId="0" fontId="73" fillId="0" borderId="16" xfId="13" applyFont="1" applyBorder="1" applyAlignment="1">
      <alignment wrapText="1"/>
    </xf>
    <xf numFmtId="0" fontId="73" fillId="0" borderId="1" xfId="13" applyFont="1" applyBorder="1" applyAlignment="1">
      <alignment wrapText="1"/>
    </xf>
    <xf numFmtId="169" fontId="65" fillId="0" borderId="0" xfId="13" applyNumberFormat="1" applyFont="1" applyAlignment="1">
      <alignment horizontal="center"/>
    </xf>
    <xf numFmtId="0" fontId="64" fillId="0" borderId="0" xfId="13" applyFont="1"/>
    <xf numFmtId="0" fontId="61" fillId="0" borderId="0" xfId="13" applyFont="1"/>
    <xf numFmtId="0" fontId="64" fillId="0" borderId="0" xfId="13" applyFont="1" applyAlignment="1">
      <alignment horizontal="center"/>
    </xf>
    <xf numFmtId="0" fontId="66" fillId="0" borderId="16" xfId="13" applyFont="1" applyBorder="1" applyAlignment="1">
      <alignment vertical="center"/>
    </xf>
    <xf numFmtId="0" fontId="66" fillId="0" borderId="26" xfId="13" applyFont="1" applyBorder="1" applyAlignment="1">
      <alignment vertical="center"/>
    </xf>
    <xf numFmtId="0" fontId="64" fillId="0" borderId="0" xfId="13" applyFont="1" applyAlignment="1">
      <alignment vertical="center"/>
    </xf>
    <xf numFmtId="0" fontId="66" fillId="0" borderId="42" xfId="13" applyFont="1" applyBorder="1" applyAlignment="1">
      <alignment vertical="center"/>
    </xf>
    <xf numFmtId="0" fontId="65" fillId="0" borderId="0" xfId="13" applyFont="1" applyAlignment="1">
      <alignment horizontal="left" vertical="center"/>
    </xf>
    <xf numFmtId="0" fontId="57" fillId="2" borderId="42" xfId="13" applyFont="1" applyFill="1" applyBorder="1" applyAlignment="1">
      <alignment vertical="center"/>
    </xf>
    <xf numFmtId="0" fontId="62" fillId="0" borderId="0" xfId="13" applyFont="1" applyAlignment="1">
      <alignment horizontal="center" vertical="center"/>
    </xf>
    <xf numFmtId="0" fontId="63" fillId="0" borderId="0" xfId="13" applyFont="1" applyAlignment="1">
      <alignment vertical="center"/>
    </xf>
    <xf numFmtId="0" fontId="61" fillId="0" borderId="0" xfId="13" applyFont="1" applyAlignment="1">
      <alignment vertical="center"/>
    </xf>
    <xf numFmtId="0" fontId="57" fillId="0" borderId="6" xfId="13" applyFont="1" applyBorder="1" applyAlignment="1">
      <alignment vertical="center"/>
    </xf>
    <xf numFmtId="0" fontId="55" fillId="0" borderId="0" xfId="13"/>
    <xf numFmtId="0" fontId="55" fillId="0" borderId="0" xfId="13" applyAlignment="1">
      <alignment horizontal="center"/>
    </xf>
    <xf numFmtId="14" fontId="55" fillId="0" borderId="0" xfId="13" applyNumberFormat="1"/>
    <xf numFmtId="0" fontId="61" fillId="0" borderId="0" xfId="13" applyFont="1" applyAlignment="1">
      <alignment horizontal="center"/>
    </xf>
    <xf numFmtId="0" fontId="60" fillId="0" borderId="0" xfId="13" applyFont="1" applyAlignment="1">
      <alignment horizontal="left"/>
    </xf>
    <xf numFmtId="0" fontId="59" fillId="0" borderId="0" xfId="13" applyFont="1" applyAlignment="1">
      <alignment horizontal="center"/>
    </xf>
    <xf numFmtId="0" fontId="58" fillId="0" borderId="0" xfId="13" applyFont="1"/>
    <xf numFmtId="0" fontId="2" fillId="0" borderId="0" xfId="12" applyAlignment="1">
      <alignment horizontal="center"/>
    </xf>
    <xf numFmtId="0" fontId="1" fillId="0" borderId="0" xfId="15"/>
    <xf numFmtId="0" fontId="1" fillId="0" borderId="0" xfId="15" applyAlignment="1">
      <alignment wrapText="1"/>
    </xf>
    <xf numFmtId="0" fontId="1" fillId="0" borderId="0" xfId="15" applyAlignment="1">
      <alignment horizontal="center"/>
    </xf>
    <xf numFmtId="44" fontId="15" fillId="6" borderId="59" xfId="0" applyNumberFormat="1" applyFont="1" applyFill="1" applyBorder="1" applyAlignment="1">
      <alignment vertical="center"/>
    </xf>
    <xf numFmtId="0" fontId="15" fillId="4" borderId="37" xfId="2" applyFont="1" applyFill="1" applyBorder="1" applyAlignment="1" applyProtection="1">
      <alignment horizontal="left" indent="1"/>
      <protection locked="0"/>
    </xf>
    <xf numFmtId="0" fontId="15" fillId="4" borderId="23" xfId="2" applyFont="1" applyFill="1" applyBorder="1" applyAlignment="1" applyProtection="1">
      <alignment horizontal="left" indent="1"/>
      <protection locked="0"/>
    </xf>
    <xf numFmtId="44" fontId="0" fillId="0" borderId="0" xfId="1" applyFont="1" applyFill="1" applyAlignment="1" applyProtection="1">
      <alignment horizontal="center" vertical="center"/>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0" fillId="0" borderId="0" xfId="1" applyNumberFormat="1" applyFont="1" applyAlignment="1" applyProtection="1">
      <alignment horizontal="center"/>
      <protection locked="0"/>
    </xf>
    <xf numFmtId="0" fontId="0" fillId="0" borderId="0" xfId="1" applyNumberFormat="1" applyFont="1" applyAlignment="1" applyProtection="1">
      <alignment horizontal="center" vertical="center"/>
      <protection locked="0"/>
    </xf>
    <xf numFmtId="44" fontId="0" fillId="0" borderId="0" xfId="1" applyFont="1" applyAlignment="1" applyProtection="1">
      <alignment horizontal="center"/>
      <protection locked="0"/>
    </xf>
    <xf numFmtId="44" fontId="0" fillId="0" borderId="0" xfId="1" applyFont="1" applyAlignment="1" applyProtection="1">
      <alignment horizontal="center" vertical="center"/>
      <protection locked="0"/>
    </xf>
    <xf numFmtId="44" fontId="0" fillId="0" borderId="0" xfId="0" applyNumberFormat="1" applyAlignment="1" applyProtection="1">
      <alignment horizontal="center" vertical="center"/>
      <protection locked="0"/>
    </xf>
    <xf numFmtId="44" fontId="0" fillId="0" borderId="0" xfId="0" applyNumberFormat="1" applyAlignment="1" applyProtection="1">
      <alignment horizontal="center"/>
      <protection locked="0"/>
    </xf>
    <xf numFmtId="0" fontId="0" fillId="16" borderId="0" xfId="0" applyFill="1" applyAlignment="1">
      <alignment horizontal="center"/>
    </xf>
    <xf numFmtId="0" fontId="0" fillId="10" borderId="0" xfId="0" applyFill="1"/>
    <xf numFmtId="0" fontId="15" fillId="4" borderId="3" xfId="2" applyFont="1" applyFill="1" applyBorder="1" applyAlignment="1" applyProtection="1">
      <alignment horizontal="center" shrinkToFit="1"/>
      <protection locked="0"/>
    </xf>
    <xf numFmtId="49" fontId="0" fillId="17" borderId="87" xfId="0" applyNumberFormat="1" applyFill="1" applyBorder="1" applyAlignment="1">
      <alignment horizontal="center"/>
    </xf>
    <xf numFmtId="0" fontId="0" fillId="17" borderId="88" xfId="0" applyFill="1" applyBorder="1" applyAlignment="1">
      <alignment horizontal="center"/>
    </xf>
    <xf numFmtId="44" fontId="0" fillId="17" borderId="88" xfId="1" applyFont="1" applyFill="1" applyBorder="1" applyAlignment="1">
      <alignment horizontal="center"/>
    </xf>
    <xf numFmtId="0" fontId="0" fillId="17" borderId="89" xfId="0" applyFill="1" applyBorder="1" applyAlignment="1">
      <alignment horizontal="center"/>
    </xf>
    <xf numFmtId="49" fontId="0" fillId="0" borderId="87" xfId="0" applyNumberFormat="1" applyBorder="1" applyAlignment="1">
      <alignment horizontal="center"/>
    </xf>
    <xf numFmtId="0" fontId="0" fillId="0" borderId="88" xfId="0" applyBorder="1" applyAlignment="1">
      <alignment horizontal="center"/>
    </xf>
    <xf numFmtId="44" fontId="0" fillId="0" borderId="88" xfId="1" applyFont="1" applyBorder="1" applyAlignment="1">
      <alignment horizontal="center"/>
    </xf>
    <xf numFmtId="0" fontId="0" fillId="0" borderId="89" xfId="0" applyBorder="1" applyAlignment="1">
      <alignment horizontal="center"/>
    </xf>
    <xf numFmtId="0" fontId="15" fillId="0" borderId="24" xfId="2" applyFont="1" applyBorder="1" applyAlignment="1" applyProtection="1">
      <alignment horizontal="center"/>
      <protection locked="0"/>
    </xf>
    <xf numFmtId="0" fontId="42" fillId="3" borderId="90" xfId="0" applyFont="1" applyFill="1" applyBorder="1"/>
    <xf numFmtId="3" fontId="43" fillId="18" borderId="58" xfId="0" applyNumberFormat="1" applyFont="1" applyFill="1" applyBorder="1" applyAlignment="1">
      <alignment horizontal="center"/>
    </xf>
    <xf numFmtId="44" fontId="43" fillId="18" borderId="58" xfId="1" applyFont="1" applyFill="1" applyBorder="1" applyAlignment="1">
      <alignment horizontal="center"/>
    </xf>
    <xf numFmtId="14" fontId="41" fillId="4" borderId="40" xfId="0" applyNumberFormat="1" applyFont="1" applyFill="1" applyBorder="1" applyAlignment="1" applyProtection="1">
      <alignment horizontal="center" vertical="center"/>
      <protection locked="0"/>
    </xf>
    <xf numFmtId="14" fontId="42" fillId="4" borderId="38" xfId="0" applyNumberFormat="1" applyFont="1" applyFill="1" applyBorder="1" applyAlignment="1" applyProtection="1">
      <alignment horizontal="center" vertical="center"/>
      <protection locked="0"/>
    </xf>
    <xf numFmtId="14" fontId="42" fillId="4" borderId="20" xfId="0" applyNumberFormat="1" applyFont="1" applyFill="1" applyBorder="1" applyAlignment="1" applyProtection="1">
      <alignment horizontal="center" vertical="center"/>
      <protection locked="0"/>
    </xf>
    <xf numFmtId="170" fontId="41" fillId="4" borderId="11" xfId="0" applyNumberFormat="1" applyFont="1" applyFill="1" applyBorder="1" applyAlignment="1" applyProtection="1">
      <alignment horizontal="center" vertical="center"/>
      <protection locked="0"/>
    </xf>
    <xf numFmtId="170" fontId="42" fillId="4" borderId="32" xfId="0" applyNumberFormat="1" applyFont="1" applyFill="1" applyBorder="1" applyAlignment="1" applyProtection="1">
      <alignment horizontal="center" vertical="center"/>
      <protection locked="0"/>
    </xf>
    <xf numFmtId="170" fontId="42" fillId="4" borderId="36" xfId="0" applyNumberFormat="1" applyFont="1" applyFill="1" applyBorder="1" applyAlignment="1" applyProtection="1">
      <alignment horizontal="center" vertical="center"/>
      <protection locked="0"/>
    </xf>
    <xf numFmtId="170" fontId="33" fillId="11" borderId="40" xfId="0" applyNumberFormat="1" applyFont="1" applyFill="1" applyBorder="1" applyAlignment="1">
      <alignment horizontal="center" vertical="center"/>
    </xf>
    <xf numFmtId="170" fontId="43" fillId="11" borderId="38" xfId="0" applyNumberFormat="1" applyFont="1" applyFill="1" applyBorder="1" applyAlignment="1">
      <alignment horizontal="center" vertical="center"/>
    </xf>
    <xf numFmtId="170" fontId="43" fillId="11" borderId="20" xfId="0" applyNumberFormat="1" applyFont="1" applyFill="1" applyBorder="1" applyAlignment="1">
      <alignment horizontal="center" vertical="center"/>
    </xf>
    <xf numFmtId="0" fontId="43" fillId="9" borderId="6" xfId="0" applyFont="1" applyFill="1" applyBorder="1" applyAlignment="1">
      <alignment horizontal="center" vertical="center"/>
    </xf>
    <xf numFmtId="0" fontId="43" fillId="9" borderId="7" xfId="0" applyFont="1" applyFill="1" applyBorder="1" applyAlignment="1">
      <alignment horizontal="center" vertical="center"/>
    </xf>
    <xf numFmtId="0" fontId="43" fillId="9" borderId="8" xfId="0" applyFont="1" applyFill="1" applyBorder="1" applyAlignment="1">
      <alignment horizontal="center" vertical="center"/>
    </xf>
    <xf numFmtId="9" fontId="41" fillId="11" borderId="74" xfId="5" applyFont="1" applyFill="1" applyBorder="1" applyAlignment="1" applyProtection="1">
      <alignment horizontal="center" vertical="center"/>
    </xf>
    <xf numFmtId="9" fontId="41" fillId="11" borderId="73" xfId="5" applyFont="1" applyFill="1" applyBorder="1" applyAlignment="1" applyProtection="1">
      <alignment horizontal="center" vertical="center"/>
    </xf>
    <xf numFmtId="9" fontId="41" fillId="11" borderId="72" xfId="5" applyFont="1" applyFill="1" applyBorder="1" applyAlignment="1" applyProtection="1">
      <alignment horizontal="center" vertical="center"/>
    </xf>
    <xf numFmtId="44" fontId="43" fillId="18" borderId="58" xfId="1" applyFont="1" applyFill="1" applyBorder="1" applyAlignment="1" applyProtection="1">
      <alignment horizontal="center"/>
    </xf>
    <xf numFmtId="0" fontId="9" fillId="0" borderId="41" xfId="0" applyFont="1" applyBorder="1"/>
    <xf numFmtId="0" fontId="9" fillId="0" borderId="41" xfId="0" applyFont="1" applyBorder="1" applyAlignment="1">
      <alignment horizontal="center"/>
    </xf>
    <xf numFmtId="0" fontId="14" fillId="0" borderId="41" xfId="0" applyFont="1" applyBorder="1"/>
    <xf numFmtId="0" fontId="15" fillId="0" borderId="41" xfId="0" applyFont="1" applyBorder="1" applyAlignment="1">
      <alignment horizontal="center"/>
    </xf>
    <xf numFmtId="0" fontId="79" fillId="0" borderId="0" xfId="0" applyFont="1" applyAlignment="1">
      <alignment horizontal="center" vertical="center"/>
    </xf>
    <xf numFmtId="0" fontId="79" fillId="6" borderId="0" xfId="0" applyFont="1" applyFill="1" applyAlignment="1">
      <alignment horizontal="center" vertical="center"/>
    </xf>
    <xf numFmtId="0" fontId="0" fillId="0" borderId="84" xfId="0" applyBorder="1" applyProtection="1">
      <protection locked="0"/>
    </xf>
    <xf numFmtId="0" fontId="0" fillId="0" borderId="55" xfId="0" applyBorder="1" applyAlignment="1" applyProtection="1">
      <alignment horizontal="center"/>
      <protection locked="0"/>
    </xf>
    <xf numFmtId="0" fontId="0" fillId="0" borderId="55" xfId="0" applyBorder="1" applyProtection="1">
      <protection locked="0"/>
    </xf>
    <xf numFmtId="0" fontId="0" fillId="0" borderId="44" xfId="0" applyBorder="1" applyAlignment="1" applyProtection="1">
      <alignment horizontal="center"/>
      <protection locked="0"/>
    </xf>
    <xf numFmtId="0" fontId="0" fillId="0" borderId="14" xfId="0" applyBorder="1" applyProtection="1">
      <protection locked="0"/>
    </xf>
    <xf numFmtId="0" fontId="0" fillId="0" borderId="3" xfId="0" applyBorder="1" applyAlignment="1" applyProtection="1">
      <alignment horizontal="center"/>
      <protection locked="0"/>
    </xf>
    <xf numFmtId="0" fontId="0" fillId="0" borderId="3" xfId="0" applyBorder="1" applyProtection="1">
      <protection locked="0"/>
    </xf>
    <xf numFmtId="0" fontId="0" fillId="0" borderId="22" xfId="0" applyBorder="1" applyAlignment="1" applyProtection="1">
      <alignment horizontal="center"/>
      <protection locked="0"/>
    </xf>
    <xf numFmtId="0" fontId="9" fillId="0" borderId="14" xfId="0" applyFont="1" applyBorder="1" applyProtection="1">
      <protection locked="0"/>
    </xf>
    <xf numFmtId="0" fontId="9" fillId="0" borderId="3" xfId="0" applyFont="1" applyBorder="1" applyAlignment="1" applyProtection="1">
      <alignment horizontal="center"/>
      <protection locked="0"/>
    </xf>
    <xf numFmtId="0" fontId="9" fillId="0" borderId="3" xfId="0" applyFont="1" applyBorder="1" applyProtection="1">
      <protection locked="0"/>
    </xf>
    <xf numFmtId="0" fontId="15" fillId="0" borderId="3" xfId="0" applyFont="1" applyBorder="1" applyAlignment="1" applyProtection="1">
      <alignment horizontal="center"/>
      <protection locked="0"/>
    </xf>
    <xf numFmtId="0" fontId="9" fillId="0" borderId="22" xfId="0" applyFont="1" applyBorder="1" applyAlignment="1" applyProtection="1">
      <alignment horizontal="center"/>
      <protection locked="0"/>
    </xf>
    <xf numFmtId="0" fontId="9" fillId="0" borderId="83" xfId="0" applyFont="1" applyBorder="1" applyProtection="1">
      <protection locked="0"/>
    </xf>
    <xf numFmtId="0" fontId="9" fillId="0" borderId="69" xfId="0" applyFont="1" applyBorder="1" applyAlignment="1" applyProtection="1">
      <alignment horizontal="center"/>
      <protection locked="0"/>
    </xf>
    <xf numFmtId="0" fontId="9" fillId="0" borderId="69" xfId="0" applyFont="1" applyBorder="1" applyProtection="1">
      <protection locked="0"/>
    </xf>
    <xf numFmtId="0" fontId="15" fillId="0" borderId="69" xfId="0" applyFont="1" applyBorder="1" applyAlignment="1" applyProtection="1">
      <alignment horizontal="center"/>
      <protection locked="0"/>
    </xf>
    <xf numFmtId="0" fontId="9" fillId="0" borderId="82" xfId="0" applyFont="1" applyBorder="1" applyAlignment="1" applyProtection="1">
      <alignment horizontal="center"/>
      <protection locked="0"/>
    </xf>
    <xf numFmtId="0" fontId="8" fillId="3" borderId="28" xfId="0" applyFont="1" applyFill="1" applyBorder="1"/>
    <xf numFmtId="169" fontId="33" fillId="6" borderId="0" xfId="1" applyNumberFormat="1" applyFont="1" applyFill="1" applyBorder="1" applyAlignment="1" applyProtection="1">
      <alignment horizontal="center" vertical="center"/>
    </xf>
    <xf numFmtId="0" fontId="33" fillId="6" borderId="0" xfId="1" applyNumberFormat="1" applyFont="1" applyFill="1" applyBorder="1" applyAlignment="1" applyProtection="1">
      <alignment horizontal="centerContinuous" vertical="center"/>
    </xf>
    <xf numFmtId="44" fontId="33" fillId="6" borderId="0" xfId="1" applyFont="1" applyFill="1" applyBorder="1" applyAlignment="1" applyProtection="1">
      <alignment horizontal="centerContinuous" vertical="center"/>
    </xf>
    <xf numFmtId="0" fontId="33" fillId="6" borderId="0" xfId="1" applyNumberFormat="1" applyFont="1" applyFill="1" applyBorder="1" applyAlignment="1" applyProtection="1">
      <alignment horizontal="center" vertical="center"/>
    </xf>
    <xf numFmtId="44" fontId="33" fillId="6" borderId="0" xfId="1" applyFont="1" applyFill="1" applyBorder="1" applyAlignment="1" applyProtection="1">
      <alignment horizontal="center" vertical="center"/>
    </xf>
    <xf numFmtId="0" fontId="43" fillId="6" borderId="0" xfId="0" applyFont="1" applyFill="1"/>
    <xf numFmtId="44" fontId="0" fillId="0" borderId="0" xfId="1" applyFont="1" applyFill="1" applyBorder="1" applyAlignment="1" applyProtection="1">
      <alignment horizontal="center" vertical="center"/>
      <protection locked="0"/>
    </xf>
    <xf numFmtId="44" fontId="0" fillId="0" borderId="5" xfId="1" applyFont="1" applyFill="1" applyBorder="1" applyAlignment="1" applyProtection="1">
      <alignment horizontal="center" vertical="center"/>
      <protection locked="0"/>
    </xf>
    <xf numFmtId="0" fontId="0" fillId="0" borderId="0" xfId="1" applyNumberFormat="1" applyFont="1" applyBorder="1" applyAlignment="1" applyProtection="1">
      <alignment horizontal="center"/>
      <protection locked="0"/>
    </xf>
    <xf numFmtId="0" fontId="0" fillId="0" borderId="0" xfId="1" applyNumberFormat="1" applyFont="1" applyBorder="1" applyAlignment="1" applyProtection="1">
      <alignment horizontal="center" vertical="center"/>
      <protection locked="0"/>
    </xf>
    <xf numFmtId="44" fontId="0" fillId="0" borderId="0" xfId="1" applyFont="1" applyBorder="1" applyAlignment="1" applyProtection="1">
      <alignment horizontal="center"/>
      <protection locked="0"/>
    </xf>
    <xf numFmtId="44" fontId="0" fillId="0" borderId="5" xfId="1" applyFont="1" applyBorder="1" applyAlignment="1" applyProtection="1">
      <alignment horizontal="center" vertical="center"/>
      <protection locked="0"/>
    </xf>
    <xf numFmtId="44" fontId="0" fillId="0" borderId="5" xfId="0" applyNumberFormat="1" applyBorder="1" applyAlignment="1" applyProtection="1">
      <alignment horizontal="center"/>
      <protection locked="0"/>
    </xf>
    <xf numFmtId="0" fontId="33" fillId="6" borderId="0" xfId="0" applyFont="1" applyFill="1" applyAlignment="1">
      <alignment horizontal="center" vertical="center"/>
    </xf>
    <xf numFmtId="0" fontId="33" fillId="6" borderId="5" xfId="1" applyNumberFormat="1" applyFont="1" applyFill="1" applyBorder="1" applyAlignment="1" applyProtection="1">
      <alignment horizontal="centerContinuous" vertical="center"/>
    </xf>
    <xf numFmtId="164" fontId="33" fillId="6" borderId="0" xfId="0" applyNumberFormat="1" applyFont="1" applyFill="1" applyAlignment="1">
      <alignment vertical="top"/>
    </xf>
    <xf numFmtId="164" fontId="33" fillId="6" borderId="5" xfId="0" applyNumberFormat="1" applyFont="1" applyFill="1" applyBorder="1" applyAlignment="1">
      <alignment vertical="top"/>
    </xf>
    <xf numFmtId="44" fontId="33" fillId="6" borderId="5" xfId="1" applyFont="1" applyFill="1" applyBorder="1" applyAlignment="1" applyProtection="1">
      <alignment horizontal="centerContinuous" vertical="center"/>
    </xf>
    <xf numFmtId="44" fontId="33" fillId="6" borderId="5" xfId="1" applyFont="1" applyFill="1" applyBorder="1" applyAlignment="1" applyProtection="1">
      <alignment horizontal="center" vertical="center"/>
    </xf>
    <xf numFmtId="44" fontId="43" fillId="6" borderId="5" xfId="0" applyNumberFormat="1" applyFont="1" applyFill="1" applyBorder="1"/>
    <xf numFmtId="0" fontId="50" fillId="6" borderId="0" xfId="0" applyFont="1" applyFill="1"/>
    <xf numFmtId="0" fontId="43" fillId="6" borderId="5" xfId="0" applyFont="1" applyFill="1" applyBorder="1"/>
    <xf numFmtId="0" fontId="42" fillId="0" borderId="1" xfId="0" applyFont="1" applyBorder="1" applyAlignment="1">
      <alignment horizontal="right"/>
    </xf>
    <xf numFmtId="0" fontId="43" fillId="0" borderId="1" xfId="0" applyFont="1" applyBorder="1" applyAlignment="1">
      <alignment horizontal="right"/>
    </xf>
    <xf numFmtId="0" fontId="33" fillId="0" borderId="1" xfId="0" applyFont="1" applyBorder="1" applyAlignment="1">
      <alignment horizontal="right"/>
    </xf>
    <xf numFmtId="44" fontId="0" fillId="0" borderId="1" xfId="1"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3" fillId="6" borderId="1" xfId="0" applyFont="1" applyFill="1" applyBorder="1" applyAlignment="1">
      <alignment horizontal="center" vertical="center"/>
    </xf>
    <xf numFmtId="164" fontId="33" fillId="6" borderId="1" xfId="0" applyNumberFormat="1" applyFont="1" applyFill="1" applyBorder="1" applyAlignment="1">
      <alignment vertical="top"/>
    </xf>
    <xf numFmtId="0" fontId="42" fillId="6" borderId="1" xfId="0" applyFont="1" applyFill="1" applyBorder="1" applyAlignment="1">
      <alignment horizontal="right"/>
    </xf>
    <xf numFmtId="0" fontId="33" fillId="6" borderId="1" xfId="0" applyFont="1" applyFill="1" applyBorder="1" applyAlignment="1">
      <alignment horizontal="center" vertical="center" wrapText="1"/>
    </xf>
    <xf numFmtId="0" fontId="43" fillId="6" borderId="1" xfId="0" applyFont="1" applyFill="1" applyBorder="1" applyAlignment="1">
      <alignment horizontal="right"/>
    </xf>
    <xf numFmtId="0" fontId="0" fillId="0" borderId="18" xfId="0" applyBorder="1" applyAlignment="1">
      <alignment horizontal="right" vertical="center" indent="2"/>
    </xf>
    <xf numFmtId="44" fontId="0" fillId="0" borderId="0" xfId="1" applyFont="1" applyBorder="1" applyAlignment="1">
      <alignment horizontal="center" vertical="center"/>
    </xf>
    <xf numFmtId="0" fontId="43" fillId="0" borderId="1" xfId="0" applyFont="1" applyBorder="1" applyAlignment="1">
      <alignment horizontal="center" vertical="center"/>
    </xf>
    <xf numFmtId="0" fontId="43" fillId="0" borderId="0" xfId="0" applyFont="1" applyAlignment="1">
      <alignment horizontal="center" vertical="center"/>
    </xf>
    <xf numFmtId="164" fontId="33" fillId="0" borderId="0" xfId="0" applyNumberFormat="1" applyFont="1" applyAlignment="1">
      <alignment vertical="top"/>
    </xf>
    <xf numFmtId="0" fontId="43" fillId="9" borderId="0" xfId="0" applyFont="1" applyFill="1" applyAlignment="1">
      <alignment horizontal="center" vertical="center"/>
    </xf>
    <xf numFmtId="0" fontId="33" fillId="9" borderId="0" xfId="0" applyFont="1" applyFill="1" applyAlignment="1">
      <alignment horizontal="center" vertical="center"/>
    </xf>
    <xf numFmtId="0" fontId="43" fillId="9" borderId="0" xfId="0" applyFont="1" applyFill="1"/>
    <xf numFmtId="0" fontId="43" fillId="0" borderId="16" xfId="0" applyFont="1" applyBorder="1"/>
    <xf numFmtId="0" fontId="43" fillId="13" borderId="83" xfId="0" applyFont="1" applyFill="1" applyBorder="1" applyAlignment="1">
      <alignment horizontal="center"/>
    </xf>
    <xf numFmtId="0" fontId="43" fillId="13" borderId="69" xfId="0" applyFont="1" applyFill="1" applyBorder="1" applyAlignment="1">
      <alignment horizontal="center"/>
    </xf>
    <xf numFmtId="0" fontId="43" fillId="13" borderId="29" xfId="0" applyFont="1" applyFill="1" applyBorder="1" applyAlignment="1">
      <alignment horizontal="center"/>
    </xf>
    <xf numFmtId="0" fontId="43" fillId="9" borderId="6" xfId="0" applyFont="1" applyFill="1" applyBorder="1" applyAlignment="1">
      <alignment horizontal="center" vertical="center"/>
    </xf>
    <xf numFmtId="0" fontId="43" fillId="9" borderId="7" xfId="0" applyFont="1" applyFill="1" applyBorder="1" applyAlignment="1">
      <alignment horizontal="center" vertical="center"/>
    </xf>
    <xf numFmtId="0" fontId="43" fillId="9" borderId="8" xfId="0" applyFont="1" applyFill="1" applyBorder="1" applyAlignment="1">
      <alignment horizontal="center" vertical="center"/>
    </xf>
    <xf numFmtId="0" fontId="33" fillId="11" borderId="6" xfId="0" applyFont="1" applyFill="1" applyBorder="1" applyAlignment="1">
      <alignment horizontal="center"/>
    </xf>
    <xf numFmtId="0" fontId="33" fillId="11" borderId="7" xfId="0" applyFont="1" applyFill="1" applyBorder="1" applyAlignment="1">
      <alignment horizontal="center"/>
    </xf>
    <xf numFmtId="0" fontId="33" fillId="11" borderId="8" xfId="0" applyFont="1" applyFill="1" applyBorder="1" applyAlignment="1">
      <alignment horizontal="center"/>
    </xf>
    <xf numFmtId="0" fontId="33" fillId="9" borderId="6" xfId="0" applyFont="1" applyFill="1" applyBorder="1" applyAlignment="1">
      <alignment horizontal="center"/>
    </xf>
    <xf numFmtId="0" fontId="33" fillId="9" borderId="7" xfId="0" applyFont="1" applyFill="1" applyBorder="1" applyAlignment="1">
      <alignment horizontal="center"/>
    </xf>
    <xf numFmtId="0" fontId="33" fillId="9" borderId="8" xfId="0" applyFont="1" applyFill="1" applyBorder="1" applyAlignment="1">
      <alignment horizontal="center"/>
    </xf>
    <xf numFmtId="0" fontId="33" fillId="0" borderId="0" xfId="0" applyFont="1" applyAlignment="1">
      <alignment horizontal="center" vertical="center" wrapText="1"/>
    </xf>
    <xf numFmtId="0" fontId="44" fillId="0" borderId="20" xfId="0" applyFont="1" applyBorder="1" applyAlignment="1">
      <alignment horizontal="center" vertical="center" wrapText="1"/>
    </xf>
    <xf numFmtId="0" fontId="33" fillId="0" borderId="0" xfId="0" applyFont="1" applyAlignment="1">
      <alignment horizontal="right" vertical="center" wrapText="1"/>
    </xf>
    <xf numFmtId="0" fontId="43" fillId="13" borderId="84" xfId="0" applyFont="1" applyFill="1" applyBorder="1" applyAlignment="1">
      <alignment horizontal="center"/>
    </xf>
    <xf numFmtId="0" fontId="43" fillId="13" borderId="55" xfId="0" applyFont="1" applyFill="1" applyBorder="1" applyAlignment="1">
      <alignment horizontal="center"/>
    </xf>
    <xf numFmtId="0" fontId="43" fillId="11" borderId="17" xfId="0" applyFont="1" applyFill="1" applyBorder="1" applyAlignment="1">
      <alignment horizontal="left" vertical="top" wrapText="1"/>
    </xf>
    <xf numFmtId="0" fontId="43" fillId="11" borderId="18" xfId="0" applyFont="1" applyFill="1" applyBorder="1" applyAlignment="1">
      <alignment horizontal="left" vertical="top" wrapText="1"/>
    </xf>
    <xf numFmtId="0" fontId="43" fillId="11" borderId="19" xfId="0" applyFont="1" applyFill="1" applyBorder="1" applyAlignment="1">
      <alignment horizontal="left" vertical="top" wrapText="1"/>
    </xf>
    <xf numFmtId="0" fontId="43" fillId="11" borderId="1" xfId="0" applyFont="1" applyFill="1" applyBorder="1" applyAlignment="1">
      <alignment horizontal="left" vertical="top" wrapText="1"/>
    </xf>
    <xf numFmtId="0" fontId="43" fillId="11" borderId="0" xfId="0" applyFont="1" applyFill="1" applyAlignment="1">
      <alignment horizontal="left" vertical="top" wrapText="1"/>
    </xf>
    <xf numFmtId="0" fontId="43" fillId="11" borderId="5" xfId="0" applyFont="1" applyFill="1" applyBorder="1" applyAlignment="1">
      <alignment horizontal="left" vertical="top" wrapText="1"/>
    </xf>
    <xf numFmtId="0" fontId="43" fillId="11" borderId="16" xfId="0" applyFont="1" applyFill="1" applyBorder="1" applyAlignment="1">
      <alignment horizontal="left" vertical="top" wrapText="1"/>
    </xf>
    <xf numFmtId="0" fontId="43" fillId="11" borderId="20" xfId="0" applyFont="1" applyFill="1" applyBorder="1" applyAlignment="1">
      <alignment horizontal="left" vertical="top" wrapText="1"/>
    </xf>
    <xf numFmtId="0" fontId="43" fillId="11" borderId="21" xfId="0" applyFont="1" applyFill="1" applyBorder="1" applyAlignment="1">
      <alignment horizontal="left" vertical="top" wrapText="1"/>
    </xf>
    <xf numFmtId="0" fontId="33" fillId="5" borderId="6" xfId="0" applyFont="1" applyFill="1" applyBorder="1" applyAlignment="1">
      <alignment horizontal="right" indent="1"/>
    </xf>
    <xf numFmtId="0" fontId="33" fillId="5" borderId="8" xfId="0" applyFont="1" applyFill="1" applyBorder="1" applyAlignment="1">
      <alignment horizontal="right" indent="1"/>
    </xf>
    <xf numFmtId="0" fontId="50" fillId="11" borderId="11" xfId="0" applyFont="1" applyFill="1" applyBorder="1" applyAlignment="1">
      <alignment horizontal="center"/>
    </xf>
    <xf numFmtId="0" fontId="50" fillId="11" borderId="31" xfId="0" applyFont="1" applyFill="1" applyBorder="1" applyAlignment="1">
      <alignment horizontal="center"/>
    </xf>
    <xf numFmtId="0" fontId="33" fillId="11" borderId="6" xfId="0" applyFont="1" applyFill="1" applyBorder="1" applyAlignment="1">
      <alignment horizontal="center" vertical="center"/>
    </xf>
    <xf numFmtId="0" fontId="33" fillId="11" borderId="8" xfId="0" applyFont="1" applyFill="1" applyBorder="1" applyAlignment="1">
      <alignment horizontal="center" vertical="center"/>
    </xf>
    <xf numFmtId="0" fontId="33" fillId="5" borderId="6" xfId="0" applyFont="1" applyFill="1" applyBorder="1" applyAlignment="1">
      <alignment horizontal="right" vertical="center" indent="1"/>
    </xf>
    <xf numFmtId="0" fontId="33" fillId="5" borderId="7" xfId="0" applyFont="1" applyFill="1" applyBorder="1" applyAlignment="1">
      <alignment horizontal="right" vertical="center" indent="1"/>
    </xf>
    <xf numFmtId="0" fontId="43" fillId="9" borderId="17" xfId="0" applyFont="1" applyFill="1" applyBorder="1" applyAlignment="1">
      <alignment horizontal="center" vertical="center"/>
    </xf>
    <xf numFmtId="0" fontId="43" fillId="9" borderId="18" xfId="0" applyFont="1" applyFill="1" applyBorder="1" applyAlignment="1">
      <alignment horizontal="center" vertical="center"/>
    </xf>
    <xf numFmtId="0" fontId="43" fillId="9" borderId="19" xfId="0" applyFont="1" applyFill="1" applyBorder="1" applyAlignment="1">
      <alignment horizontal="center" vertical="center"/>
    </xf>
    <xf numFmtId="44" fontId="33" fillId="11" borderId="6" xfId="1" applyFont="1" applyFill="1" applyBorder="1" applyAlignment="1" applyProtection="1">
      <alignment horizontal="center"/>
    </xf>
    <xf numFmtId="44" fontId="33" fillId="11" borderId="8" xfId="1" applyFont="1" applyFill="1" applyBorder="1" applyAlignment="1" applyProtection="1">
      <alignment horizontal="center"/>
    </xf>
    <xf numFmtId="3" fontId="41" fillId="6" borderId="0" xfId="0" applyNumberFormat="1" applyFont="1" applyFill="1" applyAlignment="1" applyProtection="1">
      <alignment horizontal="right" vertical="top"/>
      <protection locked="0"/>
    </xf>
    <xf numFmtId="3" fontId="42" fillId="6" borderId="0" xfId="0" applyNumberFormat="1" applyFont="1" applyFill="1" applyAlignment="1" applyProtection="1">
      <alignment horizontal="right" vertical="top"/>
      <protection locked="0"/>
    </xf>
    <xf numFmtId="3" fontId="51" fillId="6" borderId="0" xfId="1" applyNumberFormat="1" applyFont="1" applyFill="1" applyBorder="1" applyAlignment="1" applyProtection="1">
      <alignment horizontal="center" vertical="center"/>
      <protection locked="0"/>
    </xf>
    <xf numFmtId="0" fontId="33" fillId="6" borderId="0" xfId="0" applyFont="1" applyFill="1" applyAlignment="1">
      <alignment horizontal="center"/>
    </xf>
    <xf numFmtId="0" fontId="43" fillId="7" borderId="6" xfId="0" applyFont="1" applyFill="1" applyBorder="1" applyAlignment="1">
      <alignment horizontal="right" vertical="center"/>
    </xf>
    <xf numFmtId="0" fontId="43" fillId="7" borderId="7" xfId="0" applyFont="1" applyFill="1" applyBorder="1" applyAlignment="1">
      <alignment horizontal="right" vertical="center"/>
    </xf>
    <xf numFmtId="169" fontId="41" fillId="11" borderId="42" xfId="1" applyNumberFormat="1" applyFont="1" applyFill="1" applyBorder="1" applyAlignment="1" applyProtection="1">
      <alignment horizontal="center" vertical="center"/>
    </xf>
    <xf numFmtId="169" fontId="41" fillId="11" borderId="31" xfId="1" applyNumberFormat="1" applyFont="1" applyFill="1" applyBorder="1" applyAlignment="1" applyProtection="1">
      <alignment horizontal="center" vertical="center"/>
    </xf>
    <xf numFmtId="169" fontId="42" fillId="11" borderId="23" xfId="1" applyNumberFormat="1" applyFont="1" applyFill="1" applyBorder="1" applyAlignment="1" applyProtection="1">
      <alignment horizontal="center" vertical="center"/>
    </xf>
    <xf numFmtId="169" fontId="42" fillId="11" borderId="13" xfId="1" applyNumberFormat="1" applyFont="1" applyFill="1" applyBorder="1" applyAlignment="1" applyProtection="1">
      <alignment horizontal="center" vertical="center"/>
    </xf>
    <xf numFmtId="169" fontId="42" fillId="11" borderId="26" xfId="1" applyNumberFormat="1" applyFont="1" applyFill="1" applyBorder="1" applyAlignment="1" applyProtection="1">
      <alignment horizontal="center" vertical="center"/>
    </xf>
    <xf numFmtId="169" fontId="42" fillId="11" borderId="30" xfId="1" applyNumberFormat="1" applyFont="1" applyFill="1" applyBorder="1" applyAlignment="1" applyProtection="1">
      <alignment horizontal="center" vertical="center"/>
    </xf>
    <xf numFmtId="0" fontId="43" fillId="5" borderId="6" xfId="0" applyFont="1" applyFill="1" applyBorder="1" applyAlignment="1">
      <alignment horizontal="right" vertical="center" indent="1"/>
    </xf>
    <xf numFmtId="0" fontId="43" fillId="5" borderId="8" xfId="0" applyFont="1" applyFill="1" applyBorder="1" applyAlignment="1">
      <alignment horizontal="right" vertical="center" indent="1"/>
    </xf>
    <xf numFmtId="0" fontId="33" fillId="0" borderId="20" xfId="0" applyFont="1" applyBorder="1" applyAlignment="1">
      <alignment horizontal="center" vertical="center" wrapText="1"/>
    </xf>
    <xf numFmtId="44" fontId="41" fillId="11" borderId="42" xfId="1" applyFont="1" applyFill="1" applyBorder="1" applyAlignment="1" applyProtection="1">
      <alignment horizontal="center"/>
    </xf>
    <xf numFmtId="44" fontId="41" fillId="11" borderId="31" xfId="1" applyFont="1" applyFill="1" applyBorder="1" applyAlignment="1" applyProtection="1">
      <alignment horizontal="center"/>
    </xf>
    <xf numFmtId="44" fontId="41" fillId="11" borderId="23" xfId="1" applyFont="1" applyFill="1" applyBorder="1" applyAlignment="1" applyProtection="1">
      <alignment horizontal="center"/>
    </xf>
    <xf numFmtId="44" fontId="41" fillId="11" borderId="13" xfId="1" applyFont="1" applyFill="1" applyBorder="1" applyAlignment="1" applyProtection="1">
      <alignment horizontal="center"/>
    </xf>
    <xf numFmtId="44" fontId="41" fillId="11" borderId="26" xfId="1" applyFont="1" applyFill="1" applyBorder="1" applyAlignment="1" applyProtection="1">
      <alignment horizontal="center"/>
    </xf>
    <xf numFmtId="44" fontId="41" fillId="11" borderId="30" xfId="1" applyFont="1" applyFill="1" applyBorder="1" applyAlignment="1" applyProtection="1">
      <alignment horizontal="center"/>
    </xf>
    <xf numFmtId="0" fontId="33" fillId="5" borderId="8" xfId="0" applyFont="1" applyFill="1" applyBorder="1" applyAlignment="1">
      <alignment horizontal="right" vertical="center" indent="1"/>
    </xf>
    <xf numFmtId="0" fontId="43" fillId="4" borderId="17" xfId="0" applyFont="1" applyFill="1" applyBorder="1" applyAlignment="1" applyProtection="1">
      <alignment horizontal="left" vertical="top" wrapText="1"/>
      <protection locked="0"/>
    </xf>
    <xf numFmtId="0" fontId="43" fillId="4" borderId="18" xfId="0" applyFont="1" applyFill="1" applyBorder="1" applyAlignment="1" applyProtection="1">
      <alignment horizontal="left" vertical="top" wrapText="1"/>
      <protection locked="0"/>
    </xf>
    <xf numFmtId="0" fontId="43" fillId="4" borderId="19" xfId="0" applyFont="1" applyFill="1" applyBorder="1" applyAlignment="1" applyProtection="1">
      <alignment horizontal="left" vertical="top" wrapText="1"/>
      <protection locked="0"/>
    </xf>
    <xf numFmtId="0" fontId="43" fillId="4" borderId="1" xfId="0" applyFont="1" applyFill="1" applyBorder="1" applyAlignment="1" applyProtection="1">
      <alignment horizontal="left" vertical="top" wrapText="1"/>
      <protection locked="0"/>
    </xf>
    <xf numFmtId="0" fontId="43" fillId="4" borderId="0" xfId="0" applyFont="1" applyFill="1" applyAlignment="1" applyProtection="1">
      <alignment horizontal="left" vertical="top" wrapText="1"/>
      <protection locked="0"/>
    </xf>
    <xf numFmtId="0" fontId="43" fillId="4" borderId="5" xfId="0" applyFont="1" applyFill="1" applyBorder="1" applyAlignment="1" applyProtection="1">
      <alignment horizontal="left" vertical="top" wrapText="1"/>
      <protection locked="0"/>
    </xf>
    <xf numFmtId="0" fontId="43" fillId="4" borderId="16" xfId="0" applyFont="1" applyFill="1" applyBorder="1" applyAlignment="1" applyProtection="1">
      <alignment horizontal="left" vertical="top" wrapText="1"/>
      <protection locked="0"/>
    </xf>
    <xf numFmtId="0" fontId="43" fillId="4" borderId="20" xfId="0" applyFont="1" applyFill="1" applyBorder="1" applyAlignment="1" applyProtection="1">
      <alignment horizontal="left" vertical="top" wrapText="1"/>
      <protection locked="0"/>
    </xf>
    <xf numFmtId="0" fontId="43" fillId="4" borderId="21" xfId="0" applyFont="1" applyFill="1" applyBorder="1" applyAlignment="1" applyProtection="1">
      <alignment horizontal="left" vertical="top" wrapText="1"/>
      <protection locked="0"/>
    </xf>
    <xf numFmtId="0" fontId="33" fillId="5" borderId="16" xfId="0" applyFont="1" applyFill="1" applyBorder="1" applyAlignment="1">
      <alignment horizontal="right" vertical="center" indent="1"/>
    </xf>
    <xf numFmtId="0" fontId="33" fillId="5" borderId="21" xfId="0" applyFont="1" applyFill="1" applyBorder="1" applyAlignment="1">
      <alignment horizontal="right" vertical="center" indent="1"/>
    </xf>
    <xf numFmtId="0" fontId="41" fillId="4" borderId="6" xfId="0" applyFont="1" applyFill="1" applyBorder="1" applyAlignment="1" applyProtection="1">
      <alignment horizontal="center"/>
      <protection locked="0"/>
    </xf>
    <xf numFmtId="0" fontId="41" fillId="4" borderId="7" xfId="0" applyFont="1" applyFill="1" applyBorder="1" applyAlignment="1" applyProtection="1">
      <alignment horizontal="center"/>
      <protection locked="0"/>
    </xf>
    <xf numFmtId="0" fontId="41" fillId="4" borderId="8" xfId="0" applyFont="1" applyFill="1" applyBorder="1" applyAlignment="1" applyProtection="1">
      <alignment horizontal="center"/>
      <protection locked="0"/>
    </xf>
    <xf numFmtId="0" fontId="33" fillId="4" borderId="6" xfId="0" applyFont="1" applyFill="1" applyBorder="1" applyAlignment="1" applyProtection="1">
      <alignment horizontal="center"/>
      <protection locked="0"/>
    </xf>
    <xf numFmtId="0" fontId="33" fillId="4" borderId="7" xfId="0" applyFont="1" applyFill="1" applyBorder="1" applyAlignment="1" applyProtection="1">
      <alignment horizontal="center"/>
      <protection locked="0"/>
    </xf>
    <xf numFmtId="0" fontId="33" fillId="4" borderId="8" xfId="0" applyFont="1" applyFill="1" applyBorder="1" applyAlignment="1" applyProtection="1">
      <alignment horizontal="center"/>
      <protection locked="0"/>
    </xf>
    <xf numFmtId="0" fontId="33" fillId="4" borderId="6" xfId="0" applyFont="1" applyFill="1" applyBorder="1" applyAlignment="1" applyProtection="1">
      <alignment horizontal="center" vertical="center"/>
      <protection locked="0"/>
    </xf>
    <xf numFmtId="0" fontId="33" fillId="4" borderId="7" xfId="0" applyFont="1" applyFill="1" applyBorder="1" applyAlignment="1" applyProtection="1">
      <alignment horizontal="center" vertical="center"/>
      <protection locked="0"/>
    </xf>
    <xf numFmtId="0" fontId="33" fillId="4" borderId="8" xfId="0" applyFont="1" applyFill="1" applyBorder="1" applyAlignment="1" applyProtection="1">
      <alignment horizontal="center" vertical="center"/>
      <protection locked="0"/>
    </xf>
    <xf numFmtId="0" fontId="41" fillId="4" borderId="17" xfId="0" applyFont="1" applyFill="1" applyBorder="1" applyAlignment="1" applyProtection="1">
      <alignment horizontal="center"/>
      <protection locked="0"/>
    </xf>
    <xf numFmtId="0" fontId="41" fillId="4" borderId="18" xfId="0" applyFont="1" applyFill="1" applyBorder="1" applyAlignment="1" applyProtection="1">
      <alignment horizontal="center"/>
      <protection locked="0"/>
    </xf>
    <xf numFmtId="0" fontId="41" fillId="4" borderId="19" xfId="0" applyFont="1" applyFill="1" applyBorder="1" applyAlignment="1" applyProtection="1">
      <alignment horizontal="center"/>
      <protection locked="0"/>
    </xf>
    <xf numFmtId="0" fontId="39" fillId="5" borderId="6" xfId="9" applyFont="1" applyFill="1" applyBorder="1" applyAlignment="1">
      <alignment horizontal="center" vertical="center"/>
    </xf>
    <xf numFmtId="0" fontId="39" fillId="5" borderId="8" xfId="9" applyFont="1" applyFill="1" applyBorder="1" applyAlignment="1">
      <alignment horizontal="center" vertical="center"/>
    </xf>
    <xf numFmtId="0" fontId="28" fillId="2" borderId="17" xfId="0" applyFont="1" applyFill="1" applyBorder="1" applyAlignment="1">
      <alignment horizontal="center" vertical="center"/>
    </xf>
    <xf numFmtId="0" fontId="28" fillId="2" borderId="18" xfId="0" applyFont="1" applyFill="1" applyBorder="1" applyAlignment="1">
      <alignment horizontal="center" vertical="center"/>
    </xf>
    <xf numFmtId="0" fontId="28" fillId="2" borderId="19" xfId="0" applyFont="1" applyFill="1" applyBorder="1" applyAlignment="1">
      <alignment horizontal="center" vertical="center"/>
    </xf>
    <xf numFmtId="0" fontId="28" fillId="2" borderId="16" xfId="0" applyFont="1" applyFill="1" applyBorder="1" applyAlignment="1">
      <alignment horizontal="center" vertical="center"/>
    </xf>
    <xf numFmtId="0" fontId="28" fillId="2" borderId="20" xfId="0" applyFont="1" applyFill="1" applyBorder="1" applyAlignment="1">
      <alignment horizontal="center" vertical="center"/>
    </xf>
    <xf numFmtId="0" fontId="28" fillId="2" borderId="21" xfId="0" applyFont="1" applyFill="1" applyBorder="1" applyAlignment="1">
      <alignment horizontal="center" vertical="center"/>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19" xfId="0" applyFont="1" applyBorder="1" applyAlignment="1">
      <alignment horizontal="center" vertical="center"/>
    </xf>
    <xf numFmtId="44" fontId="8" fillId="6" borderId="0" xfId="1" applyFont="1" applyFill="1" applyBorder="1" applyAlignment="1">
      <alignment horizontal="left" vertical="center"/>
    </xf>
    <xf numFmtId="0" fontId="33" fillId="6" borderId="1" xfId="0" applyFont="1" applyFill="1" applyBorder="1" applyAlignment="1">
      <alignment horizontal="center" vertical="center"/>
    </xf>
    <xf numFmtId="0" fontId="33" fillId="6" borderId="0" xfId="0" applyFont="1" applyFill="1" applyAlignment="1">
      <alignment horizontal="center" vertical="center"/>
    </xf>
    <xf numFmtId="0" fontId="33" fillId="6" borderId="5" xfId="0" applyFont="1" applyFill="1" applyBorder="1" applyAlignment="1">
      <alignment horizontal="center" vertical="center"/>
    </xf>
    <xf numFmtId="0" fontId="33" fillId="6" borderId="0" xfId="0" applyFont="1" applyFill="1" applyAlignment="1">
      <alignment horizontal="right" vertical="center" wrapText="1"/>
    </xf>
    <xf numFmtId="0" fontId="33" fillId="6" borderId="5" xfId="0" applyFont="1" applyFill="1" applyBorder="1" applyAlignment="1">
      <alignment horizontal="right" vertical="center" wrapText="1"/>
    </xf>
    <xf numFmtId="0" fontId="43" fillId="6" borderId="0" xfId="0" applyFont="1" applyFill="1" applyAlignment="1">
      <alignment horizontal="center"/>
    </xf>
    <xf numFmtId="0" fontId="50" fillId="6" borderId="0" xfId="0" applyFont="1" applyFill="1" applyAlignment="1">
      <alignment horizontal="center"/>
    </xf>
    <xf numFmtId="0" fontId="33" fillId="6" borderId="1" xfId="0" applyFont="1" applyFill="1" applyBorder="1" applyAlignment="1">
      <alignment horizontal="center"/>
    </xf>
    <xf numFmtId="0" fontId="33" fillId="6" borderId="5" xfId="0" applyFont="1" applyFill="1" applyBorder="1" applyAlignment="1">
      <alignment horizontal="center"/>
    </xf>
    <xf numFmtId="44" fontId="18" fillId="0" borderId="2" xfId="3" applyFont="1" applyBorder="1" applyAlignment="1" applyProtection="1"/>
    <xf numFmtId="44" fontId="18" fillId="0" borderId="13" xfId="3" applyFont="1" applyBorder="1" applyAlignment="1" applyProtection="1"/>
    <xf numFmtId="0" fontId="18" fillId="0" borderId="1" xfId="2" applyFont="1" applyBorder="1" applyAlignment="1">
      <alignment horizontal="left" indent="1"/>
    </xf>
    <xf numFmtId="0" fontId="18" fillId="0" borderId="50" xfId="2" applyFont="1" applyBorder="1" applyAlignment="1">
      <alignment horizontal="left" indent="1"/>
    </xf>
    <xf numFmtId="44" fontId="18" fillId="4" borderId="2" xfId="3" applyFont="1" applyFill="1" applyBorder="1" applyProtection="1">
      <protection locked="0"/>
    </xf>
    <xf numFmtId="44" fontId="18" fillId="4" borderId="13" xfId="3" applyFont="1" applyFill="1" applyBorder="1" applyProtection="1">
      <protection locked="0"/>
    </xf>
    <xf numFmtId="44" fontId="18" fillId="0" borderId="2" xfId="3" applyFont="1" applyBorder="1" applyAlignment="1" applyProtection="1">
      <alignment horizontal="center"/>
    </xf>
    <xf numFmtId="44" fontId="18" fillId="0" borderId="13" xfId="3" applyFont="1" applyBorder="1" applyAlignment="1" applyProtection="1">
      <alignment horizontal="center"/>
    </xf>
    <xf numFmtId="44" fontId="18" fillId="4" borderId="29" xfId="3" applyFont="1" applyFill="1" applyBorder="1" applyProtection="1">
      <protection locked="0"/>
    </xf>
    <xf numFmtId="44" fontId="18" fillId="4" borderId="30" xfId="3" applyFont="1" applyFill="1" applyBorder="1" applyProtection="1">
      <protection locked="0"/>
    </xf>
    <xf numFmtId="0" fontId="18" fillId="0" borderId="16" xfId="2" applyFont="1" applyBorder="1" applyAlignment="1">
      <alignment horizontal="left" indent="1"/>
    </xf>
    <xf numFmtId="0" fontId="18" fillId="0" borderId="49" xfId="2" applyFont="1" applyBorder="1" applyAlignment="1">
      <alignment horizontal="left" indent="1"/>
    </xf>
    <xf numFmtId="0" fontId="18" fillId="3" borderId="6" xfId="2" applyFont="1" applyFill="1" applyBorder="1" applyAlignment="1">
      <alignment horizontal="center"/>
    </xf>
    <xf numFmtId="0" fontId="18" fillId="3" borderId="7" xfId="2" applyFont="1" applyFill="1" applyBorder="1" applyAlignment="1">
      <alignment horizontal="center"/>
    </xf>
    <xf numFmtId="0" fontId="18" fillId="3" borderId="8" xfId="2" applyFont="1" applyFill="1" applyBorder="1" applyAlignment="1">
      <alignment horizontal="center"/>
    </xf>
    <xf numFmtId="44" fontId="18" fillId="6" borderId="2" xfId="3" applyFont="1" applyFill="1" applyBorder="1" applyAlignment="1" applyProtection="1">
      <alignment horizontal="center"/>
    </xf>
    <xf numFmtId="44" fontId="18" fillId="6" borderId="13" xfId="3" applyFont="1" applyFill="1" applyBorder="1" applyAlignment="1" applyProtection="1">
      <alignment horizontal="center"/>
    </xf>
    <xf numFmtId="44" fontId="18" fillId="4" borderId="11" xfId="3" applyFont="1" applyFill="1" applyBorder="1" applyProtection="1">
      <protection locked="0"/>
    </xf>
    <xf numFmtId="44" fontId="18" fillId="4" borderId="31" xfId="3" applyFont="1" applyFill="1" applyBorder="1" applyProtection="1">
      <protection locked="0"/>
    </xf>
    <xf numFmtId="0" fontId="18" fillId="0" borderId="17" xfId="2" applyFont="1" applyBorder="1" applyAlignment="1">
      <alignment horizontal="left" indent="1"/>
    </xf>
    <xf numFmtId="0" fontId="18" fillId="0" borderId="63" xfId="2" applyFont="1" applyBorder="1" applyAlignment="1">
      <alignment horizontal="left" indent="1"/>
    </xf>
    <xf numFmtId="44" fontId="18" fillId="0" borderId="11" xfId="3" applyFont="1" applyBorder="1" applyAlignment="1" applyProtection="1">
      <alignment horizontal="center"/>
    </xf>
    <xf numFmtId="44" fontId="18" fillId="0" borderId="31" xfId="3" applyFont="1" applyBorder="1" applyAlignment="1" applyProtection="1">
      <alignment horizontal="center"/>
    </xf>
    <xf numFmtId="0" fontId="35" fillId="3" borderId="6" xfId="2" applyFont="1" applyFill="1" applyBorder="1" applyAlignment="1">
      <alignment horizontal="center"/>
    </xf>
    <xf numFmtId="0" fontId="35" fillId="3" borderId="7" xfId="2" applyFont="1" applyFill="1" applyBorder="1" applyAlignment="1">
      <alignment horizontal="center"/>
    </xf>
    <xf numFmtId="0" fontId="35" fillId="3" borderId="8" xfId="2" applyFont="1" applyFill="1" applyBorder="1" applyAlignment="1">
      <alignment horizontal="center"/>
    </xf>
    <xf numFmtId="44" fontId="18" fillId="0" borderId="11" xfId="3" applyFont="1" applyBorder="1" applyAlignment="1" applyProtection="1"/>
    <xf numFmtId="44" fontId="18" fillId="0" borderId="31" xfId="3" applyFont="1" applyBorder="1" applyAlignment="1" applyProtection="1"/>
    <xf numFmtId="0" fontId="18" fillId="0" borderId="25" xfId="2" applyFont="1" applyBorder="1" applyAlignment="1">
      <alignment horizontal="left" indent="1"/>
    </xf>
    <xf numFmtId="0" fontId="18" fillId="0" borderId="34" xfId="2" applyFont="1" applyBorder="1" applyAlignment="1">
      <alignment horizontal="left" indent="1"/>
    </xf>
    <xf numFmtId="10" fontId="18" fillId="0" borderId="32" xfId="4" applyNumberFormat="1" applyFont="1" applyBorder="1" applyAlignment="1" applyProtection="1">
      <alignment horizontal="center"/>
    </xf>
    <xf numFmtId="10" fontId="18" fillId="0" borderId="33" xfId="4" applyNumberFormat="1" applyFont="1" applyBorder="1" applyAlignment="1" applyProtection="1">
      <alignment horizontal="center"/>
    </xf>
    <xf numFmtId="10" fontId="18" fillId="0" borderId="2" xfId="4" applyNumberFormat="1" applyFont="1" applyBorder="1" applyAlignment="1" applyProtection="1">
      <alignment horizontal="center"/>
    </xf>
    <xf numFmtId="10" fontId="18" fillId="0" borderId="13" xfId="4" applyNumberFormat="1" applyFont="1" applyBorder="1" applyAlignment="1" applyProtection="1">
      <alignment horizontal="center"/>
    </xf>
    <xf numFmtId="0" fontId="18" fillId="3" borderId="6" xfId="0" applyFont="1" applyFill="1" applyBorder="1" applyAlignment="1">
      <alignment horizontal="center"/>
    </xf>
    <xf numFmtId="0" fontId="18" fillId="3" borderId="7" xfId="0" applyFont="1" applyFill="1" applyBorder="1" applyAlignment="1">
      <alignment horizontal="center"/>
    </xf>
    <xf numFmtId="0" fontId="18" fillId="3" borderId="8" xfId="0" applyFont="1" applyFill="1" applyBorder="1" applyAlignment="1">
      <alignment horizontal="center"/>
    </xf>
    <xf numFmtId="0" fontId="18" fillId="0" borderId="23" xfId="2" applyFont="1" applyBorder="1" applyAlignment="1">
      <alignment horizontal="left" indent="1"/>
    </xf>
    <xf numFmtId="0" fontId="18" fillId="0" borderId="4" xfId="2" applyFont="1" applyBorder="1" applyAlignment="1">
      <alignment horizontal="left" indent="1"/>
    </xf>
    <xf numFmtId="44" fontId="18" fillId="0" borderId="29" xfId="3" applyFont="1" applyBorder="1" applyAlignment="1" applyProtection="1"/>
    <xf numFmtId="44" fontId="18" fillId="0" borderId="30" xfId="3" applyFont="1" applyBorder="1" applyAlignment="1" applyProtection="1"/>
    <xf numFmtId="44" fontId="18" fillId="0" borderId="36" xfId="3" applyFont="1" applyBorder="1" applyAlignment="1" applyProtection="1"/>
    <xf numFmtId="44" fontId="18" fillId="0" borderId="21" xfId="3" applyFont="1" applyBorder="1" applyAlignment="1" applyProtection="1"/>
    <xf numFmtId="0" fontId="47" fillId="0" borderId="0" xfId="0" applyFont="1" applyAlignment="1">
      <alignment horizontal="center"/>
    </xf>
    <xf numFmtId="0" fontId="18" fillId="0" borderId="6" xfId="2" applyFont="1" applyBorder="1" applyAlignment="1">
      <alignment horizontal="center" wrapText="1"/>
    </xf>
    <xf numFmtId="0" fontId="18" fillId="0" borderId="7" xfId="2" applyFont="1" applyBorder="1" applyAlignment="1">
      <alignment horizontal="center" wrapText="1"/>
    </xf>
    <xf numFmtId="0" fontId="18" fillId="0" borderId="8" xfId="2" applyFont="1" applyBorder="1" applyAlignment="1">
      <alignment horizontal="center" wrapText="1"/>
    </xf>
    <xf numFmtId="44" fontId="18" fillId="4" borderId="6" xfId="2" applyNumberFormat="1" applyFont="1" applyFill="1" applyBorder="1" applyAlignment="1" applyProtection="1">
      <alignment horizontal="center"/>
      <protection locked="0"/>
    </xf>
    <xf numFmtId="44" fontId="18" fillId="4" borderId="7" xfId="2" applyNumberFormat="1" applyFont="1" applyFill="1" applyBorder="1" applyAlignment="1" applyProtection="1">
      <alignment horizontal="center"/>
      <protection locked="0"/>
    </xf>
    <xf numFmtId="44" fontId="18" fillId="4" borderId="8" xfId="2" applyNumberFormat="1" applyFont="1" applyFill="1" applyBorder="1" applyAlignment="1" applyProtection="1">
      <alignment horizontal="center"/>
      <protection locked="0"/>
    </xf>
    <xf numFmtId="0" fontId="18" fillId="0" borderId="26" xfId="2" applyFont="1" applyBorder="1" applyAlignment="1">
      <alignment horizontal="left" indent="1"/>
    </xf>
    <xf numFmtId="0" fontId="18" fillId="0" borderId="27" xfId="2" applyFont="1" applyBorder="1" applyAlignment="1">
      <alignment horizontal="left" indent="1"/>
    </xf>
    <xf numFmtId="44" fontId="18" fillId="0" borderId="29" xfId="1" applyFont="1" applyBorder="1" applyAlignment="1" applyProtection="1">
      <alignment horizontal="center"/>
    </xf>
    <xf numFmtId="44" fontId="18" fillId="0" borderId="30" xfId="1" applyFont="1" applyBorder="1" applyAlignment="1" applyProtection="1">
      <alignment horizontal="center"/>
    </xf>
    <xf numFmtId="44" fontId="18" fillId="4" borderId="2" xfId="3" applyFont="1" applyFill="1" applyBorder="1" applyProtection="1"/>
    <xf numFmtId="44" fontId="18" fillId="4" borderId="13" xfId="3" applyFont="1" applyFill="1" applyBorder="1" applyProtection="1"/>
    <xf numFmtId="44" fontId="18" fillId="4" borderId="29" xfId="3" applyFont="1" applyFill="1" applyBorder="1" applyProtection="1"/>
    <xf numFmtId="44" fontId="18" fillId="4" borderId="30" xfId="3" applyFont="1" applyFill="1" applyBorder="1" applyProtection="1"/>
    <xf numFmtId="44" fontId="18" fillId="4" borderId="11" xfId="3" applyFont="1" applyFill="1" applyBorder="1" applyProtection="1"/>
    <xf numFmtId="44" fontId="18" fillId="4" borderId="31" xfId="3" applyFont="1" applyFill="1" applyBorder="1" applyProtection="1"/>
    <xf numFmtId="0" fontId="48" fillId="12" borderId="0" xfId="0" applyFont="1" applyFill="1" applyAlignment="1">
      <alignment horizontal="center"/>
    </xf>
    <xf numFmtId="0" fontId="16" fillId="4" borderId="17" xfId="0" applyFont="1" applyFill="1" applyBorder="1" applyAlignment="1" applyProtection="1">
      <alignment horizontal="center" vertical="top" wrapText="1"/>
      <protection locked="0"/>
    </xf>
    <xf numFmtId="0" fontId="16" fillId="4" borderId="18" xfId="0" applyFont="1" applyFill="1" applyBorder="1" applyAlignment="1" applyProtection="1">
      <alignment horizontal="center" vertical="top" wrapText="1"/>
      <protection locked="0"/>
    </xf>
    <xf numFmtId="0" fontId="16" fillId="4" borderId="19" xfId="0" applyFont="1" applyFill="1" applyBorder="1" applyAlignment="1" applyProtection="1">
      <alignment horizontal="center" vertical="top" wrapText="1"/>
      <protection locked="0"/>
    </xf>
    <xf numFmtId="0" fontId="16" fillId="4" borderId="1" xfId="0" applyFont="1" applyFill="1" applyBorder="1" applyAlignment="1" applyProtection="1">
      <alignment horizontal="center" vertical="top" wrapText="1"/>
      <protection locked="0"/>
    </xf>
    <xf numFmtId="0" fontId="16" fillId="4" borderId="0" xfId="0" applyFont="1" applyFill="1" applyAlignment="1" applyProtection="1">
      <alignment horizontal="center" vertical="top" wrapText="1"/>
      <protection locked="0"/>
    </xf>
    <xf numFmtId="0" fontId="16" fillId="4" borderId="5" xfId="0" applyFont="1" applyFill="1" applyBorder="1" applyAlignment="1" applyProtection="1">
      <alignment horizontal="center" vertical="top" wrapText="1"/>
      <protection locked="0"/>
    </xf>
    <xf numFmtId="0" fontId="16" fillId="4" borderId="16" xfId="0" applyFont="1" applyFill="1" applyBorder="1" applyAlignment="1" applyProtection="1">
      <alignment horizontal="center" vertical="top" wrapText="1"/>
      <protection locked="0"/>
    </xf>
    <xf numFmtId="0" fontId="16" fillId="4" borderId="20" xfId="0" applyFont="1" applyFill="1" applyBorder="1" applyAlignment="1" applyProtection="1">
      <alignment horizontal="center" vertical="top" wrapText="1"/>
      <protection locked="0"/>
    </xf>
    <xf numFmtId="0" fontId="16" fillId="4" borderId="21" xfId="0" applyFont="1" applyFill="1" applyBorder="1" applyAlignment="1" applyProtection="1">
      <alignment horizontal="center" vertical="top" wrapText="1"/>
      <protection locked="0"/>
    </xf>
    <xf numFmtId="44" fontId="18" fillId="4" borderId="6" xfId="2" applyNumberFormat="1" applyFont="1" applyFill="1" applyBorder="1" applyAlignment="1">
      <alignment horizontal="center"/>
    </xf>
    <xf numFmtId="44" fontId="18" fillId="4" borderId="7" xfId="2" applyNumberFormat="1" applyFont="1" applyFill="1" applyBorder="1" applyAlignment="1">
      <alignment horizontal="center"/>
    </xf>
    <xf numFmtId="44" fontId="18" fillId="4" borderId="8" xfId="2" applyNumberFormat="1" applyFont="1" applyFill="1" applyBorder="1" applyAlignment="1">
      <alignment horizontal="center"/>
    </xf>
    <xf numFmtId="0" fontId="16" fillId="4" borderId="1" xfId="0" applyFont="1" applyFill="1" applyBorder="1" applyAlignment="1">
      <alignment horizontal="left" vertical="center" wrapText="1" indent="1"/>
    </xf>
    <xf numFmtId="0" fontId="16" fillId="4" borderId="0" xfId="0" applyFont="1" applyFill="1" applyAlignment="1">
      <alignment horizontal="left" vertical="center" wrapText="1" indent="1"/>
    </xf>
    <xf numFmtId="0" fontId="16" fillId="4" borderId="5" xfId="0" applyFont="1" applyFill="1" applyBorder="1" applyAlignment="1">
      <alignment horizontal="left" vertical="center" wrapText="1" indent="1"/>
    </xf>
    <xf numFmtId="0" fontId="16" fillId="4" borderId="16" xfId="0" applyFont="1" applyFill="1" applyBorder="1" applyAlignment="1">
      <alignment horizontal="left" vertical="center" wrapText="1" indent="1"/>
    </xf>
    <xf numFmtId="0" fontId="16" fillId="4" borderId="20" xfId="0" applyFont="1" applyFill="1" applyBorder="1" applyAlignment="1">
      <alignment horizontal="left" vertical="center" wrapText="1" indent="1"/>
    </xf>
    <xf numFmtId="0" fontId="16" fillId="4" borderId="21" xfId="0" applyFont="1" applyFill="1" applyBorder="1" applyAlignment="1">
      <alignment horizontal="left" vertical="center" wrapText="1" indent="1"/>
    </xf>
    <xf numFmtId="10" fontId="18" fillId="0" borderId="29" xfId="4" applyNumberFormat="1" applyFont="1" applyBorder="1" applyAlignment="1" applyProtection="1">
      <alignment horizontal="center"/>
    </xf>
    <xf numFmtId="10" fontId="18" fillId="0" borderId="30" xfId="4" applyNumberFormat="1" applyFont="1" applyBorder="1" applyAlignment="1" applyProtection="1">
      <alignment horizontal="center"/>
    </xf>
    <xf numFmtId="44" fontId="18" fillId="0" borderId="32" xfId="3" applyFont="1" applyBorder="1" applyAlignment="1" applyProtection="1"/>
    <xf numFmtId="44" fontId="18" fillId="0" borderId="33" xfId="3" applyFont="1" applyBorder="1" applyAlignment="1" applyProtection="1"/>
    <xf numFmtId="0" fontId="35" fillId="3" borderId="6" xfId="2" applyFont="1" applyFill="1" applyBorder="1" applyAlignment="1">
      <alignment horizontal="center" vertical="center"/>
    </xf>
    <xf numFmtId="0" fontId="35" fillId="3" borderId="7" xfId="2" applyFont="1" applyFill="1" applyBorder="1" applyAlignment="1">
      <alignment horizontal="center" vertical="center"/>
    </xf>
    <xf numFmtId="0" fontId="35" fillId="3" borderId="8" xfId="2" applyFont="1" applyFill="1" applyBorder="1" applyAlignment="1">
      <alignment horizontal="center" vertical="center"/>
    </xf>
    <xf numFmtId="164" fontId="16" fillId="4" borderId="17" xfId="0" applyNumberFormat="1" applyFont="1" applyFill="1" applyBorder="1" applyAlignment="1" applyProtection="1">
      <alignment horizontal="center" vertical="top" wrapText="1"/>
      <protection locked="0"/>
    </xf>
    <xf numFmtId="164" fontId="16" fillId="4" borderId="18" xfId="0" applyNumberFormat="1" applyFont="1" applyFill="1" applyBorder="1" applyAlignment="1" applyProtection="1">
      <alignment horizontal="center" vertical="top" wrapText="1"/>
      <protection locked="0"/>
    </xf>
    <xf numFmtId="164" fontId="16" fillId="4" borderId="19" xfId="0" applyNumberFormat="1" applyFont="1" applyFill="1" applyBorder="1" applyAlignment="1" applyProtection="1">
      <alignment horizontal="center" vertical="top" wrapText="1"/>
      <protection locked="0"/>
    </xf>
    <xf numFmtId="164" fontId="16" fillId="4" borderId="1" xfId="0" applyNumberFormat="1" applyFont="1" applyFill="1" applyBorder="1" applyAlignment="1" applyProtection="1">
      <alignment horizontal="center" vertical="top" wrapText="1"/>
      <protection locked="0"/>
    </xf>
    <xf numFmtId="164" fontId="16" fillId="4" borderId="0" xfId="0" applyNumberFormat="1" applyFont="1" applyFill="1" applyAlignment="1" applyProtection="1">
      <alignment horizontal="center" vertical="top" wrapText="1"/>
      <protection locked="0"/>
    </xf>
    <xf numFmtId="164" fontId="16" fillId="4" borderId="5" xfId="0" applyNumberFormat="1" applyFont="1" applyFill="1" applyBorder="1" applyAlignment="1" applyProtection="1">
      <alignment horizontal="center" vertical="top" wrapText="1"/>
      <protection locked="0"/>
    </xf>
    <xf numFmtId="164" fontId="16" fillId="4" borderId="16" xfId="0" applyNumberFormat="1" applyFont="1" applyFill="1" applyBorder="1" applyAlignment="1" applyProtection="1">
      <alignment horizontal="center" vertical="top" wrapText="1"/>
      <protection locked="0"/>
    </xf>
    <xf numFmtId="164" fontId="16" fillId="4" borderId="20" xfId="0" applyNumberFormat="1" applyFont="1" applyFill="1" applyBorder="1" applyAlignment="1" applyProtection="1">
      <alignment horizontal="center" vertical="top" wrapText="1"/>
      <protection locked="0"/>
    </xf>
    <xf numFmtId="164" fontId="16" fillId="4" borderId="21" xfId="0" applyNumberFormat="1" applyFont="1" applyFill="1" applyBorder="1" applyAlignment="1" applyProtection="1">
      <alignment horizontal="center" vertical="top" wrapText="1"/>
      <protection locked="0"/>
    </xf>
    <xf numFmtId="0" fontId="15" fillId="0" borderId="23" xfId="0" applyFont="1" applyBorder="1" applyAlignment="1">
      <alignment horizontal="left" indent="3"/>
    </xf>
    <xf numFmtId="0" fontId="15" fillId="0" borderId="37" xfId="0" applyFont="1" applyBorder="1" applyAlignment="1">
      <alignment horizontal="left" indent="3"/>
    </xf>
    <xf numFmtId="0" fontId="15" fillId="0" borderId="4" xfId="0" applyFont="1" applyBorder="1" applyAlignment="1">
      <alignment horizontal="left" indent="3"/>
    </xf>
    <xf numFmtId="0" fontId="15" fillId="0" borderId="66" xfId="0" applyFont="1" applyBorder="1" applyAlignment="1">
      <alignment horizontal="left" indent="3"/>
    </xf>
    <xf numFmtId="0" fontId="15" fillId="0" borderId="51" xfId="0" applyFont="1" applyBorder="1" applyAlignment="1">
      <alignment horizontal="left" indent="3"/>
    </xf>
    <xf numFmtId="0" fontId="15" fillId="0" borderId="52" xfId="0" applyFont="1" applyBorder="1" applyAlignment="1">
      <alignment horizontal="left" indent="3"/>
    </xf>
    <xf numFmtId="0" fontId="18" fillId="0" borderId="42" xfId="2" applyFont="1" applyBorder="1" applyAlignment="1">
      <alignment horizontal="left" indent="1"/>
    </xf>
    <xf numFmtId="0" fontId="18" fillId="0" borderId="43" xfId="2" applyFont="1" applyBorder="1" applyAlignment="1">
      <alignment horizontal="left" indent="1"/>
    </xf>
    <xf numFmtId="10" fontId="18" fillId="0" borderId="11" xfId="4" applyNumberFormat="1" applyFont="1" applyBorder="1" applyAlignment="1" applyProtection="1">
      <alignment horizontal="center"/>
    </xf>
    <xf numFmtId="10" fontId="18" fillId="0" borderId="31" xfId="4" applyNumberFormat="1" applyFont="1" applyBorder="1" applyAlignment="1" applyProtection="1">
      <alignment horizontal="center"/>
    </xf>
    <xf numFmtId="0" fontId="48" fillId="0" borderId="0" xfId="0" applyFont="1" applyAlignment="1">
      <alignment horizontal="center"/>
    </xf>
    <xf numFmtId="0" fontId="18" fillId="3" borderId="6"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9" xfId="0" applyFont="1" applyFill="1" applyBorder="1" applyAlignment="1">
      <alignment horizontal="center" vertical="center"/>
    </xf>
    <xf numFmtId="0" fontId="15" fillId="8" borderId="42" xfId="0" applyFont="1" applyFill="1" applyBorder="1" applyAlignment="1">
      <alignment horizontal="left" vertical="center" indent="3"/>
    </xf>
    <xf numFmtId="0" fontId="15" fillId="8" borderId="40" xfId="0" applyFont="1" applyFill="1" applyBorder="1" applyAlignment="1">
      <alignment horizontal="left" vertical="center" indent="3"/>
    </xf>
    <xf numFmtId="0" fontId="15" fillId="8" borderId="43" xfId="0" applyFont="1" applyFill="1" applyBorder="1" applyAlignment="1">
      <alignment horizontal="left" vertical="center" indent="3"/>
    </xf>
    <xf numFmtId="0" fontId="15" fillId="8" borderId="23" xfId="0" applyFont="1" applyFill="1" applyBorder="1" applyAlignment="1">
      <alignment horizontal="left" vertical="center" indent="3"/>
    </xf>
    <xf numFmtId="0" fontId="15" fillId="8" borderId="37" xfId="0" applyFont="1" applyFill="1" applyBorder="1" applyAlignment="1">
      <alignment horizontal="left" vertical="center" indent="3"/>
    </xf>
    <xf numFmtId="0" fontId="15" fillId="8" borderId="4" xfId="0" applyFont="1" applyFill="1" applyBorder="1" applyAlignment="1">
      <alignment horizontal="left" vertical="center" indent="3"/>
    </xf>
    <xf numFmtId="0" fontId="15" fillId="0" borderId="23" xfId="0" applyFont="1" applyBorder="1" applyAlignment="1">
      <alignment horizontal="left" vertical="center" indent="3"/>
    </xf>
    <xf numFmtId="0" fontId="15" fillId="0" borderId="37" xfId="0" applyFont="1" applyBorder="1" applyAlignment="1">
      <alignment horizontal="left" vertical="center" indent="3"/>
    </xf>
    <xf numFmtId="0" fontId="15" fillId="0" borderId="4" xfId="0" applyFont="1" applyBorder="1" applyAlignment="1">
      <alignment horizontal="left" vertical="center" indent="3"/>
    </xf>
    <xf numFmtId="0" fontId="15" fillId="8" borderId="25" xfId="0" applyFont="1" applyFill="1" applyBorder="1" applyAlignment="1" applyProtection="1">
      <alignment horizontal="left" vertical="center" indent="3"/>
      <protection locked="0"/>
    </xf>
    <xf numFmtId="0" fontId="15" fillId="8" borderId="38" xfId="0" applyFont="1" applyFill="1" applyBorder="1" applyAlignment="1" applyProtection="1">
      <alignment horizontal="left" vertical="center" indent="3"/>
      <protection locked="0"/>
    </xf>
    <xf numFmtId="0" fontId="15" fillId="8" borderId="34" xfId="0" applyFont="1" applyFill="1" applyBorder="1" applyAlignment="1" applyProtection="1">
      <alignment horizontal="left" vertical="center" indent="3"/>
      <protection locked="0"/>
    </xf>
    <xf numFmtId="0" fontId="15" fillId="8" borderId="23" xfId="0" applyFont="1" applyFill="1" applyBorder="1" applyAlignment="1" applyProtection="1">
      <alignment horizontal="left" vertical="center" indent="3"/>
      <protection locked="0"/>
    </xf>
    <xf numFmtId="0" fontId="15" fillId="8" borderId="37" xfId="0" applyFont="1" applyFill="1" applyBorder="1" applyAlignment="1" applyProtection="1">
      <alignment horizontal="left" vertical="center" indent="3"/>
      <protection locked="0"/>
    </xf>
    <xf numFmtId="0" fontId="15" fillId="8" borderId="4" xfId="0" applyFont="1" applyFill="1" applyBorder="1" applyAlignment="1" applyProtection="1">
      <alignment horizontal="left" vertical="center" indent="3"/>
      <protection locked="0"/>
    </xf>
    <xf numFmtId="0" fontId="15" fillId="4" borderId="17" xfId="0" applyFont="1" applyFill="1" applyBorder="1" applyAlignment="1" applyProtection="1">
      <alignment horizontal="left" vertical="top" wrapText="1" indent="1"/>
      <protection locked="0"/>
    </xf>
    <xf numFmtId="0" fontId="15" fillId="4" borderId="18" xfId="0" applyFont="1" applyFill="1" applyBorder="1" applyAlignment="1" applyProtection="1">
      <alignment horizontal="left" vertical="top" wrapText="1" indent="1"/>
      <protection locked="0"/>
    </xf>
    <xf numFmtId="0" fontId="15" fillId="4" borderId="19" xfId="0" applyFont="1" applyFill="1" applyBorder="1" applyAlignment="1" applyProtection="1">
      <alignment horizontal="left" vertical="top" wrapText="1" indent="1"/>
      <protection locked="0"/>
    </xf>
    <xf numFmtId="0" fontId="15" fillId="4" borderId="1" xfId="0" applyFont="1" applyFill="1" applyBorder="1" applyAlignment="1" applyProtection="1">
      <alignment horizontal="left" vertical="top" wrapText="1" indent="1"/>
      <protection locked="0"/>
    </xf>
    <xf numFmtId="0" fontId="15" fillId="4" borderId="0" xfId="0" applyFont="1" applyFill="1" applyAlignment="1" applyProtection="1">
      <alignment horizontal="left" vertical="top" wrapText="1" indent="1"/>
      <protection locked="0"/>
    </xf>
    <xf numFmtId="0" fontId="15" fillId="4" borderId="5" xfId="0" applyFont="1" applyFill="1" applyBorder="1" applyAlignment="1" applyProtection="1">
      <alignment horizontal="left" vertical="top" wrapText="1" indent="1"/>
      <protection locked="0"/>
    </xf>
    <xf numFmtId="0" fontId="15" fillId="4" borderId="16" xfId="0" applyFont="1" applyFill="1" applyBorder="1" applyAlignment="1" applyProtection="1">
      <alignment horizontal="left" vertical="top" wrapText="1" indent="1"/>
      <protection locked="0"/>
    </xf>
    <xf numFmtId="0" fontId="15" fillId="4" borderId="20" xfId="0" applyFont="1" applyFill="1" applyBorder="1" applyAlignment="1" applyProtection="1">
      <alignment horizontal="left" vertical="top" wrapText="1" indent="1"/>
      <protection locked="0"/>
    </xf>
    <xf numFmtId="0" fontId="15" fillId="4" borderId="21" xfId="0" applyFont="1" applyFill="1" applyBorder="1" applyAlignment="1" applyProtection="1">
      <alignment horizontal="left" vertical="top" wrapText="1" indent="1"/>
      <protection locked="0"/>
    </xf>
    <xf numFmtId="44" fontId="15" fillId="4" borderId="2" xfId="3" applyFont="1" applyFill="1" applyBorder="1" applyProtection="1">
      <protection locked="0"/>
    </xf>
    <xf numFmtId="44" fontId="15" fillId="4" borderId="13" xfId="3" applyFont="1" applyFill="1" applyBorder="1" applyProtection="1">
      <protection locked="0"/>
    </xf>
    <xf numFmtId="0" fontId="15" fillId="8" borderId="42" xfId="0" applyFont="1" applyFill="1" applyBorder="1" applyAlignment="1" applyProtection="1">
      <alignment horizontal="left" vertical="center" indent="3"/>
      <protection locked="0"/>
    </xf>
    <xf numFmtId="0" fontId="15" fillId="8" borderId="40" xfId="0" applyFont="1" applyFill="1" applyBorder="1" applyAlignment="1" applyProtection="1">
      <alignment horizontal="left" vertical="center" indent="3"/>
      <protection locked="0"/>
    </xf>
    <xf numFmtId="168" fontId="22" fillId="0" borderId="0" xfId="0" applyNumberFormat="1" applyFont="1" applyAlignment="1">
      <alignment horizontal="left" vertical="center"/>
    </xf>
    <xf numFmtId="0" fontId="22" fillId="0" borderId="0" xfId="0" applyFont="1" applyAlignment="1">
      <alignment horizontal="left" vertical="center"/>
    </xf>
    <xf numFmtId="0" fontId="19" fillId="0" borderId="0" xfId="0" applyFont="1" applyAlignment="1">
      <alignment horizontal="center" vertical="center"/>
    </xf>
    <xf numFmtId="0" fontId="78" fillId="2" borderId="3" xfId="13" applyFont="1" applyFill="1" applyBorder="1" applyAlignment="1" applyProtection="1">
      <alignment horizontal="center" vertical="top" wrapText="1"/>
      <protection locked="0"/>
    </xf>
    <xf numFmtId="0" fontId="78" fillId="2" borderId="2" xfId="13" applyFont="1" applyFill="1" applyBorder="1" applyAlignment="1" applyProtection="1">
      <alignment horizontal="center" vertical="top" wrapText="1"/>
      <protection locked="0"/>
    </xf>
    <xf numFmtId="0" fontId="78" fillId="2" borderId="37" xfId="13" applyFont="1" applyFill="1" applyBorder="1" applyAlignment="1" applyProtection="1">
      <alignment horizontal="center" vertical="top" wrapText="1"/>
      <protection locked="0"/>
    </xf>
    <xf numFmtId="0" fontId="78" fillId="2" borderId="4" xfId="13" applyFont="1" applyFill="1" applyBorder="1" applyAlignment="1" applyProtection="1">
      <alignment horizontal="center" vertical="top" wrapText="1"/>
      <protection locked="0"/>
    </xf>
    <xf numFmtId="0" fontId="73" fillId="0" borderId="17" xfId="13" applyFont="1" applyBorder="1" applyAlignment="1">
      <alignment horizontal="left" wrapText="1"/>
    </xf>
    <xf numFmtId="0" fontId="73" fillId="0" borderId="18" xfId="13" applyFont="1" applyBorder="1" applyAlignment="1">
      <alignment horizontal="left" wrapText="1"/>
    </xf>
    <xf numFmtId="0" fontId="73" fillId="0" borderId="19" xfId="13" applyFont="1" applyBorder="1" applyAlignment="1">
      <alignment horizontal="left" wrapText="1"/>
    </xf>
    <xf numFmtId="0" fontId="73" fillId="0" borderId="1" xfId="13" applyFont="1" applyBorder="1" applyAlignment="1">
      <alignment horizontal="left" wrapText="1"/>
    </xf>
    <xf numFmtId="0" fontId="73" fillId="0" borderId="0" xfId="13" applyFont="1" applyAlignment="1">
      <alignment horizontal="left" wrapText="1"/>
    </xf>
    <xf numFmtId="0" fontId="73" fillId="0" borderId="5" xfId="13" applyFont="1" applyBorder="1" applyAlignment="1">
      <alignment horizontal="left" wrapText="1"/>
    </xf>
    <xf numFmtId="0" fontId="73" fillId="0" borderId="16" xfId="13" applyFont="1" applyBorder="1" applyAlignment="1">
      <alignment horizontal="left" wrapText="1"/>
    </xf>
    <xf numFmtId="0" fontId="73" fillId="0" borderId="20" xfId="13" applyFont="1" applyBorder="1" applyAlignment="1">
      <alignment horizontal="left" wrapText="1"/>
    </xf>
    <xf numFmtId="0" fontId="73" fillId="0" borderId="21" xfId="13" applyFont="1" applyBorder="1" applyAlignment="1">
      <alignment horizontal="left" wrapText="1"/>
    </xf>
    <xf numFmtId="0" fontId="69" fillId="0" borderId="14" xfId="13" applyFont="1" applyBorder="1" applyAlignment="1">
      <alignment horizontal="center"/>
    </xf>
    <xf numFmtId="0" fontId="69" fillId="0" borderId="3" xfId="13" applyFont="1" applyBorder="1" applyAlignment="1">
      <alignment horizontal="center"/>
    </xf>
    <xf numFmtId="4" fontId="69" fillId="0" borderId="69" xfId="13" applyNumberFormat="1" applyFont="1" applyBorder="1" applyAlignment="1">
      <alignment horizontal="center"/>
    </xf>
    <xf numFmtId="4" fontId="69" fillId="0" borderId="82" xfId="13" applyNumberFormat="1" applyFont="1" applyBorder="1" applyAlignment="1">
      <alignment horizontal="center"/>
    </xf>
    <xf numFmtId="0" fontId="73" fillId="0" borderId="18" xfId="13" applyFont="1" applyBorder="1" applyAlignment="1">
      <alignment horizontal="center" wrapText="1"/>
    </xf>
    <xf numFmtId="0" fontId="73" fillId="0" borderId="18" xfId="13" applyFont="1" applyBorder="1" applyAlignment="1">
      <alignment horizontal="center"/>
    </xf>
    <xf numFmtId="0" fontId="64" fillId="0" borderId="18" xfId="13" applyFont="1" applyBorder="1" applyAlignment="1">
      <alignment horizontal="left" vertical="center"/>
    </xf>
    <xf numFmtId="0" fontId="69" fillId="2" borderId="3" xfId="13" applyFont="1" applyFill="1" applyBorder="1" applyAlignment="1">
      <alignment horizontal="center"/>
    </xf>
    <xf numFmtId="0" fontId="74" fillId="2" borderId="20" xfId="13" applyFont="1" applyFill="1" applyBorder="1" applyAlignment="1" applyProtection="1">
      <alignment horizontal="left"/>
      <protection locked="0"/>
    </xf>
    <xf numFmtId="44" fontId="59" fillId="2" borderId="16" xfId="1" applyFont="1" applyFill="1" applyBorder="1" applyAlignment="1" applyProtection="1">
      <alignment horizontal="center" vertical="center"/>
      <protection locked="0"/>
    </xf>
    <xf numFmtId="44" fontId="59" fillId="2" borderId="21" xfId="1" applyFont="1" applyFill="1" applyBorder="1" applyAlignment="1" applyProtection="1">
      <alignment horizontal="center" vertical="center"/>
      <protection locked="0"/>
    </xf>
    <xf numFmtId="0" fontId="59" fillId="15" borderId="16" xfId="13" applyFont="1" applyFill="1" applyBorder="1" applyAlignment="1">
      <alignment horizontal="center" vertical="center"/>
    </xf>
    <xf numFmtId="0" fontId="59" fillId="15" borderId="21" xfId="13" applyFont="1" applyFill="1" applyBorder="1" applyAlignment="1">
      <alignment horizontal="center" vertical="center"/>
    </xf>
    <xf numFmtId="4" fontId="69" fillId="0" borderId="3" xfId="13" applyNumberFormat="1" applyFont="1" applyBorder="1" applyAlignment="1">
      <alignment horizontal="center"/>
    </xf>
    <xf numFmtId="4" fontId="69" fillId="0" borderId="22" xfId="13" applyNumberFormat="1" applyFont="1" applyBorder="1" applyAlignment="1">
      <alignment horizontal="center"/>
    </xf>
    <xf numFmtId="0" fontId="69" fillId="0" borderId="83" xfId="13" applyFont="1" applyBorder="1" applyAlignment="1">
      <alignment horizontal="center"/>
    </xf>
    <xf numFmtId="0" fontId="69" fillId="0" borderId="69" xfId="13" applyFont="1" applyBorder="1" applyAlignment="1">
      <alignment horizontal="center"/>
    </xf>
    <xf numFmtId="0" fontId="77" fillId="0" borderId="0" xfId="12" applyFont="1" applyAlignment="1">
      <alignment horizontal="center"/>
    </xf>
    <xf numFmtId="0" fontId="57" fillId="0" borderId="0" xfId="12" applyFont="1" applyAlignment="1">
      <alignment horizontal="center" wrapText="1"/>
    </xf>
    <xf numFmtId="0" fontId="56" fillId="0" borderId="0" xfId="12" applyFont="1" applyAlignment="1">
      <alignment horizontal="center"/>
    </xf>
    <xf numFmtId="0" fontId="62" fillId="2" borderId="39" xfId="13" applyFont="1" applyFill="1" applyBorder="1" applyAlignment="1" applyProtection="1">
      <alignment horizontal="center" vertical="center"/>
      <protection locked="0"/>
    </xf>
    <xf numFmtId="0" fontId="62" fillId="2" borderId="30" xfId="13" applyFont="1" applyFill="1" applyBorder="1" applyAlignment="1" applyProtection="1">
      <alignment horizontal="center" vertical="center"/>
      <protection locked="0"/>
    </xf>
    <xf numFmtId="0" fontId="62" fillId="2" borderId="16" xfId="13" applyFont="1" applyFill="1" applyBorder="1" applyAlignment="1" applyProtection="1">
      <alignment horizontal="center" vertical="center"/>
      <protection locked="0"/>
    </xf>
    <xf numFmtId="0" fontId="62" fillId="2" borderId="20" xfId="13" applyFont="1" applyFill="1" applyBorder="1" applyAlignment="1" applyProtection="1">
      <alignment horizontal="center" vertical="center"/>
      <protection locked="0"/>
    </xf>
    <xf numFmtId="0" fontId="62" fillId="2" borderId="21" xfId="13" applyFont="1" applyFill="1" applyBorder="1" applyAlignment="1" applyProtection="1">
      <alignment horizontal="center" vertical="center"/>
      <protection locked="0"/>
    </xf>
    <xf numFmtId="0" fontId="62" fillId="2" borderId="7" xfId="13" applyFont="1" applyFill="1" applyBorder="1" applyAlignment="1">
      <alignment horizontal="center" vertical="center"/>
    </xf>
    <xf numFmtId="0" fontId="62" fillId="2" borderId="8" xfId="13" applyFont="1" applyFill="1" applyBorder="1" applyAlignment="1">
      <alignment horizontal="center" vertical="center"/>
    </xf>
    <xf numFmtId="0" fontId="62" fillId="2" borderId="25" xfId="13" applyFont="1" applyFill="1" applyBorder="1" applyAlignment="1">
      <alignment horizontal="center" vertical="center"/>
    </xf>
    <xf numFmtId="0" fontId="62" fillId="2" borderId="38" xfId="13" applyFont="1" applyFill="1" applyBorder="1" applyAlignment="1">
      <alignment horizontal="center" vertical="center"/>
    </xf>
    <xf numFmtId="0" fontId="62" fillId="2" borderId="33" xfId="13" applyFont="1" applyFill="1" applyBorder="1" applyAlignment="1">
      <alignment horizontal="center" vertical="center"/>
    </xf>
    <xf numFmtId="0" fontId="57" fillId="2" borderId="42" xfId="13" applyFont="1" applyFill="1" applyBorder="1" applyAlignment="1">
      <alignment horizontal="center"/>
    </xf>
    <xf numFmtId="0" fontId="57" fillId="2" borderId="40" xfId="13" applyFont="1" applyFill="1" applyBorder="1" applyAlignment="1">
      <alignment horizontal="center"/>
    </xf>
    <xf numFmtId="0" fontId="76" fillId="2" borderId="23" xfId="12" applyFont="1" applyFill="1" applyBorder="1" applyAlignment="1" applyProtection="1">
      <alignment horizontal="center"/>
      <protection locked="0"/>
    </xf>
    <xf numFmtId="0" fontId="76" fillId="2" borderId="37" xfId="12" applyFont="1" applyFill="1" applyBorder="1" applyAlignment="1" applyProtection="1">
      <alignment horizontal="center"/>
      <protection locked="0"/>
    </xf>
    <xf numFmtId="0" fontId="76" fillId="2" borderId="38" xfId="12" applyFont="1" applyFill="1" applyBorder="1" applyAlignment="1" applyProtection="1">
      <alignment horizontal="center"/>
      <protection locked="0"/>
    </xf>
    <xf numFmtId="0" fontId="76" fillId="2" borderId="33" xfId="12" applyFont="1" applyFill="1" applyBorder="1" applyAlignment="1" applyProtection="1">
      <alignment horizontal="center"/>
      <protection locked="0"/>
    </xf>
    <xf numFmtId="0" fontId="62" fillId="2" borderId="40" xfId="13" applyFont="1" applyFill="1" applyBorder="1" applyAlignment="1">
      <alignment horizontal="center" vertical="center"/>
    </xf>
    <xf numFmtId="0" fontId="62" fillId="2" borderId="31" xfId="13" applyFont="1" applyFill="1" applyBorder="1" applyAlignment="1">
      <alignment horizontal="center" vertical="center"/>
    </xf>
    <xf numFmtId="0" fontId="57" fillId="0" borderId="6" xfId="13" applyFont="1" applyBorder="1" applyAlignment="1">
      <alignment horizontal="center" vertical="center"/>
    </xf>
    <xf numFmtId="0" fontId="57" fillId="0" borderId="7" xfId="13" applyFont="1" applyBorder="1" applyAlignment="1">
      <alignment horizontal="center" vertical="center"/>
    </xf>
    <xf numFmtId="14" fontId="62" fillId="2" borderId="7" xfId="13" applyNumberFormat="1" applyFont="1" applyFill="1" applyBorder="1" applyAlignment="1">
      <alignment horizontal="center" vertical="center"/>
    </xf>
    <xf numFmtId="0" fontId="62" fillId="2" borderId="40" xfId="13" applyFont="1" applyFill="1" applyBorder="1" applyAlignment="1" applyProtection="1">
      <alignment horizontal="left"/>
      <protection locked="0"/>
    </xf>
    <xf numFmtId="0" fontId="62" fillId="2" borderId="31" xfId="13" applyFont="1" applyFill="1" applyBorder="1" applyAlignment="1" applyProtection="1">
      <alignment horizontal="left"/>
      <protection locked="0"/>
    </xf>
    <xf numFmtId="0" fontId="62" fillId="2" borderId="40" xfId="13" applyFont="1" applyFill="1" applyBorder="1" applyAlignment="1">
      <alignment horizontal="left" vertical="center" indent="4"/>
    </xf>
    <xf numFmtId="0" fontId="62" fillId="2" borderId="31" xfId="13" applyFont="1" applyFill="1" applyBorder="1" applyAlignment="1">
      <alignment horizontal="left" vertical="center" indent="4"/>
    </xf>
    <xf numFmtId="0" fontId="71" fillId="0" borderId="3" xfId="13" applyFont="1" applyBorder="1" applyAlignment="1">
      <alignment horizontal="center"/>
    </xf>
    <xf numFmtId="0" fontId="67" fillId="5" borderId="17" xfId="13" applyFont="1" applyFill="1" applyBorder="1" applyAlignment="1">
      <alignment horizontal="center" vertical="center"/>
    </xf>
    <xf numFmtId="0" fontId="75" fillId="5" borderId="63" xfId="13" applyFont="1" applyFill="1" applyBorder="1" applyAlignment="1">
      <alignment horizontal="center" vertical="center"/>
    </xf>
    <xf numFmtId="0" fontId="62" fillId="2" borderId="25" xfId="13" applyFont="1" applyFill="1" applyBorder="1" applyAlignment="1" applyProtection="1">
      <alignment horizontal="center"/>
      <protection locked="0"/>
    </xf>
    <xf numFmtId="0" fontId="62" fillId="2" borderId="38" xfId="13" applyFont="1" applyFill="1" applyBorder="1" applyAlignment="1" applyProtection="1">
      <alignment horizontal="center"/>
      <protection locked="0"/>
    </xf>
    <xf numFmtId="0" fontId="62" fillId="2" borderId="33" xfId="13" applyFont="1" applyFill="1" applyBorder="1" applyAlignment="1" applyProtection="1">
      <alignment horizontal="center"/>
      <protection locked="0"/>
    </xf>
    <xf numFmtId="0" fontId="62" fillId="2" borderId="16" xfId="13" applyFont="1" applyFill="1" applyBorder="1" applyAlignment="1">
      <alignment horizontal="center" vertical="center"/>
    </xf>
    <xf numFmtId="0" fontId="62" fillId="2" borderId="20" xfId="13" applyFont="1" applyFill="1" applyBorder="1" applyAlignment="1">
      <alignment horizontal="center" vertical="center"/>
    </xf>
    <xf numFmtId="0" fontId="62" fillId="2" borderId="21" xfId="13" applyFont="1" applyFill="1" applyBorder="1" applyAlignment="1">
      <alignment horizontal="center" vertical="center"/>
    </xf>
    <xf numFmtId="0" fontId="70" fillId="0" borderId="3" xfId="13" applyFont="1" applyBorder="1" applyAlignment="1">
      <alignment horizontal="center"/>
    </xf>
    <xf numFmtId="0" fontId="78" fillId="2" borderId="68" xfId="13" applyFont="1" applyFill="1" applyBorder="1" applyAlignment="1" applyProtection="1">
      <alignment horizontal="center" vertical="top" wrapText="1"/>
      <protection locked="0"/>
    </xf>
    <xf numFmtId="0" fontId="78" fillId="2" borderId="0" xfId="13" applyFont="1" applyFill="1" applyAlignment="1" applyProtection="1">
      <alignment horizontal="center" vertical="top" wrapText="1"/>
      <protection locked="0"/>
    </xf>
    <xf numFmtId="0" fontId="78" fillId="2" borderId="50" xfId="13" applyFont="1" applyFill="1" applyBorder="1" applyAlignment="1" applyProtection="1">
      <alignment horizontal="center" vertical="top" wrapText="1"/>
      <protection locked="0"/>
    </xf>
    <xf numFmtId="14" fontId="62" fillId="2" borderId="7" xfId="13" applyNumberFormat="1" applyFont="1" applyFill="1" applyBorder="1" applyAlignment="1">
      <alignment horizontal="center"/>
    </xf>
    <xf numFmtId="0" fontId="62" fillId="2" borderId="7" xfId="13" applyFont="1" applyFill="1" applyBorder="1" applyAlignment="1">
      <alignment horizontal="center"/>
    </xf>
    <xf numFmtId="0" fontId="62" fillId="2" borderId="8" xfId="13" applyFont="1" applyFill="1" applyBorder="1" applyAlignment="1">
      <alignment horizontal="center"/>
    </xf>
    <xf numFmtId="4" fontId="69" fillId="0" borderId="15" xfId="13" applyNumberFormat="1" applyFont="1" applyBorder="1" applyAlignment="1">
      <alignment horizontal="center"/>
    </xf>
    <xf numFmtId="4" fontId="69" fillId="0" borderId="64" xfId="13" applyNumberFormat="1" applyFont="1" applyBorder="1" applyAlignment="1">
      <alignment horizontal="center"/>
    </xf>
    <xf numFmtId="0" fontId="69" fillId="0" borderId="85" xfId="13" applyFont="1" applyBorder="1" applyAlignment="1">
      <alignment horizontal="center"/>
    </xf>
    <xf numFmtId="0" fontId="69" fillId="0" borderId="15" xfId="13" applyFont="1" applyBorder="1" applyAlignment="1">
      <alignment horizontal="center"/>
    </xf>
    <xf numFmtId="0" fontId="67" fillId="5" borderId="56" xfId="13" applyFont="1" applyFill="1" applyBorder="1" applyAlignment="1">
      <alignment horizontal="center" vertical="center"/>
    </xf>
    <xf numFmtId="0" fontId="67" fillId="5" borderId="18" xfId="13" applyFont="1" applyFill="1" applyBorder="1" applyAlignment="1">
      <alignment horizontal="center" vertical="center"/>
    </xf>
    <xf numFmtId="0" fontId="67" fillId="5" borderId="63" xfId="13" applyFont="1" applyFill="1" applyBorder="1" applyAlignment="1">
      <alignment horizontal="center" vertical="center"/>
    </xf>
    <xf numFmtId="0" fontId="67" fillId="5" borderId="19" xfId="13" applyFont="1" applyFill="1" applyBorder="1" applyAlignment="1">
      <alignment horizontal="center" vertical="center"/>
    </xf>
    <xf numFmtId="0" fontId="68" fillId="0" borderId="77" xfId="13" applyFont="1" applyBorder="1" applyAlignment="1">
      <alignment horizontal="center" wrapText="1"/>
    </xf>
    <xf numFmtId="0" fontId="68" fillId="0" borderId="41" xfId="13" applyFont="1" applyBorder="1" applyAlignment="1">
      <alignment horizontal="center" wrapText="1"/>
    </xf>
    <xf numFmtId="0" fontId="68" fillId="0" borderId="86" xfId="13" applyFont="1" applyBorder="1" applyAlignment="1">
      <alignment horizontal="center" wrapText="1"/>
    </xf>
    <xf numFmtId="0" fontId="68" fillId="0" borderId="25" xfId="13" applyFont="1" applyBorder="1" applyAlignment="1">
      <alignment horizontal="center" wrapText="1"/>
    </xf>
    <xf numFmtId="0" fontId="68" fillId="0" borderId="38" xfId="13" applyFont="1" applyBorder="1" applyAlignment="1">
      <alignment horizontal="center" wrapText="1"/>
    </xf>
    <xf numFmtId="0" fontId="68" fillId="0" borderId="33" xfId="13" applyFont="1" applyBorder="1" applyAlignment="1">
      <alignment horizontal="center" wrapText="1"/>
    </xf>
    <xf numFmtId="0" fontId="69" fillId="2" borderId="15" xfId="13" applyFont="1" applyFill="1" applyBorder="1" applyAlignment="1">
      <alignment horizontal="center"/>
    </xf>
    <xf numFmtId="0" fontId="69" fillId="2" borderId="2" xfId="13" applyFont="1" applyFill="1" applyBorder="1" applyAlignment="1">
      <alignment horizontal="center"/>
    </xf>
    <xf numFmtId="0" fontId="69" fillId="2" borderId="37" xfId="13" applyFont="1" applyFill="1" applyBorder="1" applyAlignment="1">
      <alignment horizontal="center"/>
    </xf>
    <xf numFmtId="0" fontId="69" fillId="2" borderId="4" xfId="13" applyFont="1" applyFill="1" applyBorder="1" applyAlignment="1">
      <alignment horizontal="center"/>
    </xf>
    <xf numFmtId="0" fontId="72" fillId="2" borderId="2" xfId="13" applyFont="1" applyFill="1" applyBorder="1" applyAlignment="1">
      <alignment horizontal="center"/>
    </xf>
    <xf numFmtId="0" fontId="72" fillId="2" borderId="37" xfId="13" applyFont="1" applyFill="1" applyBorder="1" applyAlignment="1">
      <alignment horizontal="center"/>
    </xf>
    <xf numFmtId="0" fontId="72" fillId="2" borderId="4" xfId="13" applyFont="1" applyFill="1" applyBorder="1" applyAlignment="1">
      <alignment horizontal="center"/>
    </xf>
    <xf numFmtId="0" fontId="62" fillId="2" borderId="25" xfId="13" applyFont="1" applyFill="1" applyBorder="1" applyAlignment="1">
      <alignment horizontal="center"/>
    </xf>
    <xf numFmtId="0" fontId="62" fillId="2" borderId="38" xfId="13" applyFont="1" applyFill="1" applyBorder="1" applyAlignment="1">
      <alignment horizontal="center"/>
    </xf>
    <xf numFmtId="0" fontId="62" fillId="2" borderId="33" xfId="13" applyFont="1" applyFill="1" applyBorder="1" applyAlignment="1">
      <alignment horizontal="center"/>
    </xf>
    <xf numFmtId="0" fontId="77" fillId="0" borderId="0" xfId="15" applyFont="1" applyAlignment="1">
      <alignment horizontal="center"/>
    </xf>
    <xf numFmtId="0" fontId="57" fillId="0" borderId="0" xfId="15" applyFont="1" applyAlignment="1">
      <alignment horizontal="center" wrapText="1"/>
    </xf>
    <xf numFmtId="0" fontId="56" fillId="0" borderId="0" xfId="15" applyFont="1" applyAlignment="1">
      <alignment horizontal="center"/>
    </xf>
    <xf numFmtId="0" fontId="62" fillId="2" borderId="39" xfId="13" applyFont="1" applyFill="1" applyBorder="1" applyAlignment="1">
      <alignment horizontal="center" vertical="center"/>
    </xf>
    <xf numFmtId="0" fontId="62" fillId="2" borderId="30" xfId="13" applyFont="1" applyFill="1" applyBorder="1" applyAlignment="1">
      <alignment horizontal="center" vertical="center"/>
    </xf>
    <xf numFmtId="0" fontId="76" fillId="2" borderId="23" xfId="15" applyFont="1" applyFill="1" applyBorder="1" applyAlignment="1">
      <alignment horizontal="center"/>
    </xf>
    <xf numFmtId="0" fontId="76" fillId="2" borderId="37" xfId="15" applyFont="1" applyFill="1" applyBorder="1" applyAlignment="1">
      <alignment horizontal="center"/>
    </xf>
    <xf numFmtId="0" fontId="76" fillId="2" borderId="38" xfId="15" applyFont="1" applyFill="1" applyBorder="1" applyAlignment="1">
      <alignment horizontal="center"/>
    </xf>
    <xf numFmtId="0" fontId="76" fillId="2" borderId="33" xfId="15" applyFont="1" applyFill="1" applyBorder="1" applyAlignment="1">
      <alignment horizontal="center"/>
    </xf>
    <xf numFmtId="0" fontId="62" fillId="2" borderId="40" xfId="13" applyFont="1" applyFill="1" applyBorder="1" applyAlignment="1">
      <alignment horizontal="left"/>
    </xf>
    <xf numFmtId="0" fontId="62" fillId="2" borderId="31" xfId="13" applyFont="1" applyFill="1" applyBorder="1" applyAlignment="1">
      <alignment horizontal="left"/>
    </xf>
    <xf numFmtId="0" fontId="62" fillId="2" borderId="40" xfId="13" applyFont="1" applyFill="1" applyBorder="1" applyAlignment="1">
      <alignment horizontal="left" vertical="center"/>
    </xf>
    <xf numFmtId="0" fontId="62" fillId="2" borderId="31" xfId="13" applyFont="1" applyFill="1" applyBorder="1" applyAlignment="1">
      <alignment horizontal="left" vertical="center"/>
    </xf>
    <xf numFmtId="0" fontId="74" fillId="2" borderId="20" xfId="13" applyFont="1" applyFill="1" applyBorder="1" applyAlignment="1">
      <alignment horizontal="left"/>
    </xf>
    <xf numFmtId="44" fontId="59" fillId="2" borderId="16" xfId="16" applyFont="1" applyFill="1" applyBorder="1" applyAlignment="1">
      <alignment horizontal="center" vertical="center"/>
    </xf>
    <xf numFmtId="44" fontId="59" fillId="2" borderId="21" xfId="16" applyFont="1" applyFill="1" applyBorder="1" applyAlignment="1">
      <alignment horizontal="center" vertical="center"/>
    </xf>
  </cellXfs>
  <cellStyles count="17">
    <cellStyle name="Currency" xfId="1" builtinId="4"/>
    <cellStyle name="Currency 2" xfId="8" xr:uid="{2C1FA742-0774-42C5-BC52-5244AF4334C1}"/>
    <cellStyle name="Currency 2 2" xfId="3" xr:uid="{D95E5DC9-715D-4A79-87B3-5D4F5940128E}"/>
    <cellStyle name="Currency 3" xfId="11" xr:uid="{DBBB8E9A-9CC8-4144-98E6-945F8539DB32}"/>
    <cellStyle name="Currency 4" xfId="14" xr:uid="{0DC6A291-BF06-4985-9EB6-FCCBF028C0FB}"/>
    <cellStyle name="Currency 5" xfId="16" xr:uid="{57ED36D5-27C2-49D9-8799-ADEF06CC15AD}"/>
    <cellStyle name="Normal" xfId="0" builtinId="0"/>
    <cellStyle name="Normal 2" xfId="9" xr:uid="{35D01E7A-3920-47F1-AB4F-900221772FA0}"/>
    <cellStyle name="Normal 3" xfId="12" xr:uid="{A9F0FF5A-F20F-4CE9-8881-7992ABA6D9B4}"/>
    <cellStyle name="Normal 4" xfId="15" xr:uid="{EE67C404-4D4A-4428-9E7C-4898502A857A}"/>
    <cellStyle name="Normal 6" xfId="6" xr:uid="{119854D7-EA8F-48D0-8DF5-D1DDCB8D8F15}"/>
    <cellStyle name="Normal 6 2" xfId="10" xr:uid="{E71CDCB1-CAF4-44F8-BAD9-008143FCB498}"/>
    <cellStyle name="Normal 7" xfId="7" xr:uid="{BADE5718-2360-46C8-8EA7-DC0CEDC10CF8}"/>
    <cellStyle name="Normal 7 2" xfId="2" xr:uid="{BA50182A-D85C-400E-9012-66773C4B1CED}"/>
    <cellStyle name="Normal_2. Flooring Proposal Template" xfId="13" xr:uid="{84A03D17-4020-4FCF-A107-8C453C6FD5CC}"/>
    <cellStyle name="Percent" xfId="5" builtinId="5"/>
    <cellStyle name="Percent 2 2" xfId="4" xr:uid="{C0713C68-96CD-4093-94D3-DE16E6BFE993}"/>
  </cellStyles>
  <dxfs count="685">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top style="thin">
          <color indexed="64"/>
        </top>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left" vertical="center" textRotation="0" wrapText="0" indent="0" justifyLastLine="0" shrinkToFit="0" readingOrder="0"/>
      <border diagonalUp="0" diagonalDown="0">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rgb="FF75DBFF"/>
        </patternFill>
      </fill>
      <alignment horizontal="left"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protection locked="1" hidden="0"/>
    </dxf>
    <dxf>
      <font>
        <b/>
        <i val="0"/>
        <color rgb="FFFF0000"/>
      </font>
      <fill>
        <patternFill>
          <bgColor rgb="FFFFFF99"/>
        </patternFill>
      </fill>
    </dxf>
    <dxf>
      <fill>
        <patternFill>
          <bgColor theme="1" tint="4.9989318521683403E-2"/>
        </patternFill>
      </fill>
    </dxf>
    <dxf>
      <font>
        <b/>
        <i val="0"/>
        <color rgb="FFFF0000"/>
      </font>
      <fill>
        <patternFill>
          <bgColor rgb="FFFFFF99"/>
        </patternFill>
      </fill>
    </dxf>
    <dxf>
      <fill>
        <patternFill>
          <bgColor theme="1" tint="4.9989318521683403E-2"/>
        </patternFill>
      </fill>
    </dxf>
    <dxf>
      <font>
        <b/>
        <i val="0"/>
        <color rgb="FFFF0000"/>
      </font>
      <fill>
        <patternFill>
          <bgColor rgb="FFFFFF99"/>
        </patternFill>
      </fill>
    </dxf>
    <dxf>
      <font>
        <b/>
        <i val="0"/>
        <color rgb="FFFF0000"/>
      </font>
      <fill>
        <patternFill>
          <bgColor rgb="FFFFFF99"/>
        </patternFill>
      </fill>
    </dxf>
    <dxf>
      <fill>
        <patternFill>
          <bgColor theme="1" tint="4.9989318521683403E-2"/>
        </patternFill>
      </fill>
    </dxf>
    <dxf>
      <font>
        <b/>
        <i val="0"/>
        <color rgb="FFFF0000"/>
      </font>
      <fill>
        <patternFill>
          <bgColor rgb="FFFFFF99"/>
        </patternFill>
      </fill>
    </dxf>
    <dxf>
      <font>
        <b/>
        <i val="0"/>
        <color rgb="FFFF0000"/>
      </font>
      <fill>
        <patternFill>
          <bgColor rgb="FFFFFF99"/>
        </patternFill>
      </fill>
    </dxf>
    <dxf>
      <fill>
        <patternFill>
          <bgColor theme="1" tint="4.9989318521683403E-2"/>
        </patternFill>
      </fill>
    </dxf>
    <dxf>
      <font>
        <b/>
        <i val="0"/>
        <color theme="0"/>
      </font>
      <fill>
        <patternFill>
          <bgColor rgb="FFFF0000"/>
        </patternFill>
      </fill>
    </dxf>
    <dxf>
      <fill>
        <patternFill>
          <bgColor rgb="FFFFFF00"/>
        </patternFill>
      </fill>
    </dxf>
    <dxf>
      <fill>
        <patternFill>
          <bgColor rgb="FFFFFF00"/>
        </patternFill>
      </fill>
    </dxf>
    <dxf>
      <font>
        <color rgb="FF9C0006"/>
      </font>
      <fill>
        <patternFill>
          <bgColor rgb="FFFFC7CE"/>
        </patternFill>
      </fill>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4"/>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6"/>
        <color auto="1"/>
        <name val="Helvetica"/>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center" textRotation="0" wrapText="0" indent="0" justifyLastLine="0" shrinkToFit="0" readingOrder="0"/>
      <border diagonalUp="0" diagonalDown="0" outline="0">
        <left style="thin">
          <color indexed="64"/>
        </left>
        <right/>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double">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double">
          <color indexed="64"/>
        </bottom>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double">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rgb="FF75DB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rgb="FF75DBFF"/>
        </patternFill>
      </fill>
      <alignment horizontal="center" vertical="center" textRotation="0" wrapText="0" indent="0" justifyLastLine="0" shrinkToFit="0" readingOrder="0"/>
      <border diagonalUp="0" diagonalDown="0" outline="0">
        <left/>
        <right style="thin">
          <color indexed="64"/>
        </right>
        <top style="thin">
          <color indexed="64"/>
        </top>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rgb="FF75DBFF"/>
        </patternFill>
      </fill>
      <alignment horizontal="left" vertical="center" textRotation="0" wrapText="0" indent="0" justifyLastLine="0" shrinkToFit="0" readingOrder="0"/>
      <border diagonalUp="0" diagonalDown="0" outline="0">
        <left/>
        <right style="thin">
          <color indexed="64"/>
        </right>
        <top style="thin">
          <color indexed="64"/>
        </top>
        <bottom style="double">
          <color indexed="64"/>
        </bottom>
      </border>
      <protection locked="1" hidden="0"/>
    </dxf>
    <dxf>
      <border outline="0">
        <top style="double">
          <color indexed="64"/>
        </top>
      </border>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protection locked="1" hidden="0"/>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libri"/>
        <family val="2"/>
        <scheme val="none"/>
      </font>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alignment horizontal="general" vertical="center" textRotation="0" wrapText="0" indent="0" justifyLastLine="0" shrinkToFit="0" readingOrder="0"/>
      <border diagonalUp="0" diagonalDown="0" outline="0">
        <left/>
        <right/>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bottom style="thin">
          <color indexed="64"/>
        </bottom>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34" formatCode="_(&quot;$&quot;* #,##0.00_);_(&quot;$&quot;* \(#,##0.00\);_(&quot;$&quot;* &quot;-&quot;??_);_(@_)"/>
      <fill>
        <patternFill patternType="solid">
          <fgColor indexed="64"/>
          <bgColor rgb="FF75DBFF"/>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3" formatCode="#,##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0" formatCode="General"/>
      <fill>
        <patternFill patternType="solid">
          <fgColor indexed="64"/>
          <bgColor rgb="FF75DB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0" formatCode="General"/>
      <fill>
        <patternFill patternType="solid">
          <fgColor indexed="64"/>
          <bgColor rgb="FF75DBFF"/>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0" formatCode="General"/>
      <fill>
        <patternFill patternType="solid">
          <fgColor indexed="64"/>
          <bgColor rgb="FF75DBFF"/>
        </patternFill>
      </fill>
      <alignment horizontal="left" vertical="center" textRotation="0" wrapText="0" relativeIndent="1" justifyLastLine="0" shrinkToFit="0" readingOrder="0"/>
      <border diagonalUp="0" diagonalDown="0" outline="0">
        <left/>
        <right/>
        <top style="thin">
          <color indexed="64"/>
        </top>
        <bottom style="thin">
          <color indexed="64"/>
        </bottom>
      </border>
      <protection locked="0" hidden="0"/>
    </dxf>
    <dxf>
      <border outline="0">
        <top style="double">
          <color indexed="64"/>
        </top>
      </border>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dxf>
    <dxf>
      <border outline="0">
        <left style="medium">
          <color indexed="64"/>
        </left>
        <right style="thin">
          <color indexed="64"/>
        </right>
        <top style="medium">
          <color indexed="64"/>
        </top>
        <bottom style="thin">
          <color indexed="64"/>
        </bottom>
      </border>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34" formatCode="_(&quot;$&quot;* #,##0.00_);_(&quot;$&quot;* \(#,##0.00\);_(&quot;$&quot;* &quot;-&quot;??_);_(@_)"/>
      <alignment horizontal="general" vertical="center" textRotation="0" wrapText="0" indent="0" justifyLastLine="0" shrinkToFit="0" readingOrder="0"/>
      <border diagonalUp="0" diagonalDown="0">
        <left style="thin">
          <color indexed="64"/>
        </left>
        <right/>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fill>
        <patternFill patternType="solid">
          <fgColor indexed="64"/>
          <bgColor rgb="FF75DB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right style="thin">
          <color indexed="64"/>
        </right>
        <top style="thin">
          <color indexed="64"/>
        </top>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2" formatCode="0.00"/>
      <fill>
        <patternFill patternType="solid">
          <fgColor indexed="64"/>
          <bgColor rgb="FF75DBFF"/>
        </patternFill>
      </fill>
      <alignment horizontal="center" vertical="center" textRotation="0" wrapText="0" indent="0" justifyLastLine="0" shrinkToFit="0" readingOrder="0"/>
      <border diagonalUp="0" diagonalDown="0">
        <left/>
        <right style="thin">
          <color indexed="64"/>
        </right>
        <top style="thin">
          <color indexed="64"/>
        </top>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fill>
        <patternFill patternType="solid">
          <fgColor indexed="64"/>
          <bgColor rgb="FF75DBFF"/>
        </patternFill>
      </fill>
      <alignment horizontal="left" vertical="center" textRotation="0" wrapText="0" indent="0" justifyLastLine="0" shrinkToFit="0" readingOrder="0"/>
      <border diagonalUp="0" diagonalDown="0">
        <left/>
        <right/>
        <top style="thin">
          <color indexed="64"/>
        </top>
        <bottom style="double">
          <color indexed="64"/>
        </bottom>
        <vertical/>
        <horizontal/>
      </border>
      <protection locked="1" hidden="0"/>
    </dxf>
    <dxf>
      <border outline="0">
        <top style="double">
          <color indexed="64"/>
        </top>
      </border>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protection locked="1" hidden="0"/>
    </dxf>
    <dxf>
      <border outline="0">
        <left style="medium">
          <color indexed="64"/>
        </left>
        <right style="thin">
          <color indexed="64"/>
        </right>
        <top style="medium">
          <color indexed="64"/>
        </top>
        <bottom style="medium">
          <color indexed="64"/>
        </bottom>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medium">
          <color indexed="64"/>
        </right>
        <top style="medium">
          <color indexed="64"/>
        </top>
        <bottom style="medium">
          <color indexed="64"/>
        </bottom>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medium">
          <color indexed="64"/>
        </right>
        <top style="medium">
          <color indexed="64"/>
        </top>
        <bottom style="medium">
          <color indexed="64"/>
        </bottom>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medium">
          <color indexed="64"/>
        </right>
        <top style="medium">
          <color indexed="64"/>
        </top>
        <bottom style="medium">
          <color indexed="64"/>
        </bottom>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ttom style="medium">
          <color indexed="64"/>
        </bottom>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medium">
          <color indexed="64"/>
        </right>
        <top style="medium">
          <color indexed="64"/>
        </top>
        <bottom style="medium">
          <color indexed="64"/>
        </bottom>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medium">
          <color indexed="64"/>
        </right>
        <top style="medium">
          <color indexed="64"/>
        </top>
      </border>
    </dxf>
    <dxf>
      <numFmt numFmtId="34" formatCode="_(&quot;$&quot;* #,##0.00_);_(&quot;$&quot;* \(#,##0.00\);_(&quot;$&quot;* &quot;-&quot;??_);_(@_)"/>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numFmt numFmtId="34" formatCode="_(&quot;$&quot;* #,##0.00_);_(&quot;$&quot;* \(#,##0.00\);_(&quot;$&quot;* &quot;-&quot;??_);_(@_)"/>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border diagonalUp="0" diagonalDown="0">
        <left style="medium">
          <color indexed="64"/>
        </left>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top/>
        <bottom/>
      </border>
    </dxf>
    <dxf>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outline="0">
        <left style="medium">
          <color indexed="64"/>
        </left>
        <right style="thin">
          <color indexed="64"/>
        </right>
        <top style="medium">
          <color indexed="64"/>
        </top>
        <bottom style="medium">
          <color indexed="64"/>
        </bottom>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34" formatCode="_(&quot;$&quot;* #,##0.00_);_(&quot;$&quot;* \(#,##0.00\);_(&quot;$&quot;* &quot;-&quot;??_);_(@_)"/>
      <alignment horizontal="center" vertical="center" textRotation="0" wrapText="0" indent="0" justifyLastLine="0" shrinkToFit="0" readingOrder="0"/>
      <border diagonalUp="0" diagonalDown="0">
        <left style="thin">
          <color indexed="64"/>
        </left>
        <right/>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fill>
        <patternFill patternType="solid">
          <fgColor indexed="64"/>
          <bgColor rgb="FF78DEFF"/>
        </patternFill>
      </fill>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i val="0"/>
        <strike val="0"/>
        <condense val="0"/>
        <extend val="0"/>
        <outline val="0"/>
        <shadow val="0"/>
        <u val="none"/>
        <vertAlign val="baseline"/>
        <sz val="10"/>
        <color auto="1"/>
        <name val="Calibri"/>
        <family val="2"/>
        <scheme val="none"/>
      </font>
      <numFmt numFmtId="4" formatCode="#,##0.00"/>
      <fill>
        <patternFill patternType="solid">
          <fgColor indexed="64"/>
          <bgColor rgb="FF75DBFF"/>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i val="0"/>
        <strike val="0"/>
        <condense val="0"/>
        <extend val="0"/>
        <outline val="0"/>
        <shadow val="0"/>
        <u val="none"/>
        <vertAlign val="baseline"/>
        <sz val="10"/>
        <color auto="1"/>
        <name val="Calibri"/>
        <family val="2"/>
        <scheme val="none"/>
      </font>
      <numFmt numFmtId="3" formatCode="#,##0"/>
      <fill>
        <patternFill patternType="solid">
          <fgColor indexed="64"/>
          <bgColor rgb="FF78DEFF"/>
        </patternFill>
      </fill>
      <alignment horizontal="center" vertical="center" textRotation="0" wrapText="0" indent="0" justifyLastLine="0" shrinkToFit="0" readingOrder="0"/>
      <border diagonalUp="0" diagonalDown="0">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top style="thin">
          <color indexed="64"/>
        </top>
        <bottom style="thin">
          <color indexed="64"/>
        </bottom>
      </border>
      <protection locked="1" hidden="0"/>
    </dxf>
    <dxf>
      <border>
        <top style="double">
          <color indexed="64"/>
        </top>
      </border>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diagonalUp="0" diagonalDown="0">
        <left style="medium">
          <color indexed="64"/>
        </left>
        <right style="medium">
          <color indexed="64"/>
        </right>
        <top style="medium">
          <color indexed="64"/>
        </top>
        <bottom style="medium">
          <color indexed="64"/>
        </bottom>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double">
          <color indexed="64"/>
        </bottom>
        <vertical/>
        <horizontal/>
      </border>
      <protection locked="0" hidden="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0"/>
    </dxf>
    <dxf>
      <protection locked="1" hidden="0"/>
    </dxf>
    <dxf>
      <border outline="0">
        <left style="medium">
          <color indexed="64"/>
        </left>
        <right style="medium">
          <color indexed="64"/>
        </right>
        <top style="medium">
          <color indexed="64"/>
        </top>
        <bottom style="medium">
          <color indexed="64"/>
        </bottom>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indexed="64"/>
        </left>
        <right/>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fill>
        <patternFill patternType="solid">
          <fgColor indexed="64"/>
          <bgColor rgb="FF78DEFF"/>
        </patternFill>
      </fill>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0"/>
        <color auto="1"/>
        <name val="Calibri"/>
        <family val="2"/>
        <scheme val="none"/>
      </font>
      <numFmt numFmtId="4" formatCode="#,##0.0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i val="0"/>
        <strike val="0"/>
        <condense val="0"/>
        <extend val="0"/>
        <outline val="0"/>
        <shadow val="0"/>
        <u val="none"/>
        <vertAlign val="baseline"/>
        <sz val="10"/>
        <color auto="1"/>
        <name val="Calibri"/>
        <family val="2"/>
        <scheme val="none"/>
      </font>
      <numFmt numFmtId="3" formatCode="#,##0"/>
      <fill>
        <patternFill patternType="solid">
          <fgColor indexed="64"/>
          <bgColor rgb="FF78DEFF"/>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3" justifyLastLine="0" shrinkToFit="0" readingOrder="0"/>
      <border diagonalUp="0" diagonalDown="0">
        <left/>
        <right/>
        <top style="thin">
          <color indexed="64"/>
        </top>
        <bottom style="thin">
          <color indexed="64"/>
        </bottom>
      </border>
      <protection locked="1" hidden="0"/>
    </dxf>
    <dxf>
      <border>
        <top style="double">
          <color indexed="64"/>
        </top>
      </border>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diagonalUp="0" diagonalDown="0">
        <left style="medium">
          <color indexed="64"/>
        </left>
        <right style="medium">
          <color indexed="64"/>
        </right>
        <top style="medium">
          <color indexed="64"/>
        </top>
        <bottom style="medium">
          <color indexed="64"/>
        </bottom>
      </border>
    </dxf>
    <dxf>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bottom/>
      </border>
      <protection locked="1" hidden="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auto="1"/>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vertical/>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vertical/>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medium">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top/>
        <bottom style="medium">
          <color indexed="64"/>
        </bottom>
      </border>
    </dxf>
    <dxf>
      <font>
        <b val="0"/>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vertical/>
      </border>
      <protection locked="1" hidden="0"/>
    </dxf>
    <dxf>
      <font>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auto="1"/>
        <name val="Calibri"/>
        <family val="2"/>
        <scheme val="none"/>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protection locked="1" hidden="0"/>
    </dxf>
    <dxf>
      <font>
        <b/>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outline="0">
        <left/>
        <right style="medium">
          <color indexed="64"/>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numFmt numFmtId="3" formatCode="#,##0"/>
      <fill>
        <patternFill patternType="solid">
          <fgColor indexed="64"/>
          <bgColor rgb="FF75DB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right/>
        <top style="double">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left" vertical="bottom"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1"/>
        <color auto="1"/>
        <name val="Calibri"/>
        <family val="2"/>
        <scheme val="none"/>
      </font>
      <numFmt numFmtId="30" formatCode="@"/>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vertical/>
      </border>
      <protection locked="1" hidden="0"/>
    </dxf>
    <dxf>
      <font>
        <b/>
        <strike val="0"/>
        <outline val="0"/>
        <shadow val="0"/>
        <u val="none"/>
        <vertAlign val="baseline"/>
        <name val="Calibri"/>
        <family val="2"/>
        <scheme val="none"/>
      </font>
      <protection locked="1" hidden="0"/>
    </dxf>
    <dxf>
      <border outline="0">
        <right style="medium">
          <color indexed="64"/>
        </right>
        <top style="medium">
          <color indexed="64"/>
        </top>
        <bottom style="thin">
          <color indexed="64"/>
        </bottom>
      </border>
    </dxf>
    <dxf>
      <font>
        <strike val="0"/>
        <outline val="0"/>
        <shadow val="0"/>
        <u val="none"/>
        <vertAlign val="baseline"/>
        <name val="Calibri"/>
        <family val="2"/>
        <scheme val="none"/>
      </font>
      <protection locked="1" hidden="0"/>
    </dxf>
    <dxf>
      <border outline="0">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alignment horizontal="center" vertical="bottom" textRotation="0" wrapText="0" indent="0" justifyLastLine="0" shrinkToFit="0" readingOrder="0"/>
      <protection locked="1" hidden="0"/>
    </dxf>
    <dxf>
      <numFmt numFmtId="34" formatCode="_(&quot;$&quot;* #,##0.00_);_(&quot;$&quot;* \(#,##0.00\);_(&quot;$&quot;* &quot;-&quot;??_);_(@_)"/>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34" formatCode="_(&quot;$&quot;* #,##0.00_);_(&quot;$&quot;* \(#,##0.00\);_(&quot;$&quot;* &quot;-&quot;??_);_(@_)"/>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protection locked="0" hidden="0"/>
    </dxf>
    <dxf>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protection locked="0" hidden="0"/>
    </dxf>
    <dxf>
      <alignment horizont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numFmt numFmtId="34" formatCode="_(&quot;$&quot;* #,##0.00_);_(&quot;$&quot;* \(#,##0.00\);_(&quot;$&quot;* &quot;-&quot;??_);_(@_)"/>
      <alignment horizontal="center" vertical="bottom" textRotation="0" wrapText="0" indent="0" justifyLastLine="0" shrinkToFit="0" readingOrder="0"/>
      <border diagonalUp="0" diagonalDown="0">
        <left/>
        <right style="medium">
          <color indexed="64"/>
        </right>
        <top/>
        <bottom/>
      </border>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medium">
          <color indexed="64"/>
        </right>
        <top/>
        <bottom/>
        <vertical/>
        <horizontal/>
      </border>
      <protection locked="0" hidden="0"/>
    </dxf>
    <dxf>
      <alignment horizontal="center" vertical="bottom"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34" formatCode="_(&quot;$&quot;* #,##0.00_);_(&quot;$&quot;* \(#,##0.00\);_(&quot;$&quot;* &quot;-&quot;??_);_(@_)"/>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protection locked="0" hidden="0"/>
    </dxf>
    <dxf>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border diagonalUp="0" diagonalDown="0">
        <left style="medium">
          <color indexed="64"/>
        </left>
        <right/>
        <top/>
        <bottom/>
      </border>
      <protection locked="0" hidden="0"/>
    </dxf>
    <dxf>
      <alignment horizontal="center" vertical="center" textRotation="0" wrapText="0" indent="0" justifyLastLine="0" shrinkToFit="0" readingOrder="0"/>
      <border diagonalUp="0" diagonalDown="0">
        <left style="medium">
          <color indexed="64"/>
        </left>
        <right/>
        <top/>
        <bottom/>
        <vertical/>
        <horizontal/>
      </border>
      <protection locked="0" hidden="0"/>
    </dxf>
    <dxf>
      <protection locked="0" hidden="0"/>
    </dxf>
    <dxf>
      <alignment horizont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1009]* #,##0.00_-;\-[$$-1009]* #,##0.00_-;_-[$$-1009]*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right style="medium">
          <color indexed="64"/>
        </right>
        <top style="medium">
          <color indexed="64"/>
        </top>
      </border>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border>
        <left style="thin">
          <color auto="1"/>
        </left>
        <right/>
        <top style="thin">
          <color auto="1"/>
        </top>
        <bottom style="thin">
          <color auto="1"/>
        </bottom>
        <horizontal style="thin">
          <color auto="1"/>
        </horizontal>
      </border>
    </dxf>
  </dxfs>
  <tableStyles count="1" defaultTableStyle="TableStyleMedium2" defaultPivotStyle="PivotStyleLight16">
    <tableStyle name="Table Style 1" pivot="0" count="1" xr9:uid="{7C211D37-7A32-4E41-A691-9017EC355C81}">
      <tableStyleElement type="wholeTable" dxfId="684"/>
    </tableStyle>
  </tableStyles>
  <colors>
    <mruColors>
      <color rgb="FF75DBFF"/>
      <color rgb="FF33CCFF"/>
      <color rgb="FFE1F7FF"/>
      <color rgb="FFFF66CC"/>
      <color rgb="FFFF000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ichStyles" Target="richData/rich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13</xdr:col>
      <xdr:colOff>68262</xdr:colOff>
      <xdr:row>10</xdr:row>
      <xdr:rowOff>82550</xdr:rowOff>
    </xdr:from>
    <xdr:to>
      <xdr:col>15</xdr:col>
      <xdr:colOff>617537</xdr:colOff>
      <xdr:row>30</xdr:row>
      <xdr:rowOff>28573</xdr:rowOff>
    </xdr:to>
    <xdr:grpSp>
      <xdr:nvGrpSpPr>
        <xdr:cNvPr id="2" name="Group 1">
          <a:extLst>
            <a:ext uri="{FF2B5EF4-FFF2-40B4-BE49-F238E27FC236}">
              <a16:creationId xmlns:a16="http://schemas.microsoft.com/office/drawing/2014/main" id="{BDCEF78A-5156-4C93-AC5B-19E705E76BA9}"/>
            </a:ext>
          </a:extLst>
        </xdr:cNvPr>
        <xdr:cNvGrpSpPr/>
      </xdr:nvGrpSpPr>
      <xdr:grpSpPr>
        <a:xfrm>
          <a:off x="16148730" y="2222046"/>
          <a:ext cx="2528661" cy="4137023"/>
          <a:chOff x="10891837" y="2514600"/>
          <a:chExt cx="3438525" cy="3756023"/>
        </a:xfrm>
      </xdr:grpSpPr>
      <xdr:grpSp>
        <xdr:nvGrpSpPr>
          <xdr:cNvPr id="3" name="Group 2">
            <a:extLst>
              <a:ext uri="{FF2B5EF4-FFF2-40B4-BE49-F238E27FC236}">
                <a16:creationId xmlns:a16="http://schemas.microsoft.com/office/drawing/2014/main" id="{4D0402A1-0384-D89C-C8C1-C8D8F5F2F2B1}"/>
              </a:ext>
            </a:extLst>
          </xdr:cNvPr>
          <xdr:cNvGrpSpPr/>
        </xdr:nvGrpSpPr>
        <xdr:grpSpPr>
          <a:xfrm>
            <a:off x="10934701" y="2514600"/>
            <a:ext cx="3381374" cy="3756023"/>
            <a:chOff x="15582901" y="2486025"/>
            <a:chExt cx="3297871" cy="3803648"/>
          </a:xfrm>
        </xdr:grpSpPr>
        <xdr:pic>
          <xdr:nvPicPr>
            <xdr:cNvPr id="6" name="Picture 5">
              <a:extLst>
                <a:ext uri="{FF2B5EF4-FFF2-40B4-BE49-F238E27FC236}">
                  <a16:creationId xmlns:a16="http://schemas.microsoft.com/office/drawing/2014/main" id="{23D4E405-1072-0CDD-9A47-B237E6D56F49}"/>
                </a:ext>
              </a:extLst>
            </xdr:cNvPr>
            <xdr:cNvPicPr>
              <a:picLocks noChangeAspect="1"/>
            </xdr:cNvPicPr>
          </xdr:nvPicPr>
          <xdr:blipFill>
            <a:blip xmlns:r="http://schemas.openxmlformats.org/officeDocument/2006/relationships" r:embed="rId1"/>
            <a:stretch>
              <a:fillRect/>
            </a:stretch>
          </xdr:blipFill>
          <xdr:spPr>
            <a:xfrm>
              <a:off x="15769545" y="2486025"/>
              <a:ext cx="2924583" cy="314368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7" name="Picture 6">
              <a:extLst>
                <a:ext uri="{FF2B5EF4-FFF2-40B4-BE49-F238E27FC236}">
                  <a16:creationId xmlns:a16="http://schemas.microsoft.com/office/drawing/2014/main" id="{E907A770-C5AA-6D66-EDC3-FA6A65B57BAF}"/>
                </a:ext>
              </a:extLst>
            </xdr:cNvPr>
            <xdr:cNvPicPr>
              <a:picLocks noChangeAspect="1"/>
            </xdr:cNvPicPr>
          </xdr:nvPicPr>
          <xdr:blipFill>
            <a:blip xmlns:r="http://schemas.openxmlformats.org/officeDocument/2006/relationships" r:embed="rId2"/>
            <a:stretch>
              <a:fillRect/>
            </a:stretch>
          </xdr:blipFill>
          <xdr:spPr>
            <a:xfrm>
              <a:off x="15582901" y="5841998"/>
              <a:ext cx="3297871" cy="4476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sp macro="" textlink="">
        <xdr:nvSpPr>
          <xdr:cNvPr id="4" name="Freeform: Shape 3">
            <a:extLst>
              <a:ext uri="{FF2B5EF4-FFF2-40B4-BE49-F238E27FC236}">
                <a16:creationId xmlns:a16="http://schemas.microsoft.com/office/drawing/2014/main" id="{2BCFA52E-2B7B-5F3A-AA5F-7445286EB753}"/>
              </a:ext>
            </a:extLst>
          </xdr:cNvPr>
          <xdr:cNvSpPr/>
        </xdr:nvSpPr>
        <xdr:spPr>
          <a:xfrm>
            <a:off x="10891837" y="4562475"/>
            <a:ext cx="3438525" cy="1257299"/>
          </a:xfrm>
          <a:custGeom>
            <a:avLst/>
            <a:gdLst>
              <a:gd name="connsiteX0" fmla="*/ 1019175 w 3438525"/>
              <a:gd name="connsiteY0" fmla="*/ 0 h 1252537"/>
              <a:gd name="connsiteX1" fmla="*/ 0 w 3438525"/>
              <a:gd name="connsiteY1" fmla="*/ 1247775 h 1252537"/>
              <a:gd name="connsiteX2" fmla="*/ 3438525 w 3438525"/>
              <a:gd name="connsiteY2" fmla="*/ 1252537 h 1252537"/>
              <a:gd name="connsiteX3" fmla="*/ 1957387 w 3438525"/>
              <a:gd name="connsiteY3" fmla="*/ 0 h 1252537"/>
              <a:gd name="connsiteX4" fmla="*/ 1890712 w 3438525"/>
              <a:gd name="connsiteY4" fmla="*/ 128587 h 1252537"/>
              <a:gd name="connsiteX5" fmla="*/ 1681162 w 3438525"/>
              <a:gd name="connsiteY5" fmla="*/ 223837 h 1252537"/>
              <a:gd name="connsiteX6" fmla="*/ 1343025 w 3438525"/>
              <a:gd name="connsiteY6" fmla="*/ 223837 h 1252537"/>
              <a:gd name="connsiteX7" fmla="*/ 1147762 w 3438525"/>
              <a:gd name="connsiteY7" fmla="*/ 166687 h 1252537"/>
              <a:gd name="connsiteX8" fmla="*/ 1019175 w 3438525"/>
              <a:gd name="connsiteY8" fmla="*/ 0 h 1252537"/>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43025 w 3438525"/>
              <a:gd name="connsiteY6" fmla="*/ 228599 h 1257299"/>
              <a:gd name="connsiteX7" fmla="*/ 1147762 w 3438525"/>
              <a:gd name="connsiteY7" fmla="*/ 171449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43025 w 3438525"/>
              <a:gd name="connsiteY6" fmla="*/ 228599 h 1257299"/>
              <a:gd name="connsiteX7" fmla="*/ 1147762 w 3438525"/>
              <a:gd name="connsiteY7" fmla="*/ 171449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43025 w 3438525"/>
              <a:gd name="connsiteY6" fmla="*/ 228599 h 1257299"/>
              <a:gd name="connsiteX7" fmla="*/ 1147762 w 3438525"/>
              <a:gd name="connsiteY7" fmla="*/ 171449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43025 w 3438525"/>
              <a:gd name="connsiteY6" fmla="*/ 228599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62075 w 3438525"/>
              <a:gd name="connsiteY6" fmla="*/ 238124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28599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0712 w 3438525"/>
              <a:gd name="connsiteY4" fmla="*/ 133349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895475 w 3438525"/>
              <a:gd name="connsiteY4" fmla="*/ 100011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919288 w 3438525"/>
              <a:gd name="connsiteY4" fmla="*/ 90486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919288 w 3438525"/>
              <a:gd name="connsiteY4" fmla="*/ 90486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 name="connsiteX0" fmla="*/ 1038225 w 3438525"/>
              <a:gd name="connsiteY0" fmla="*/ 0 h 1257299"/>
              <a:gd name="connsiteX1" fmla="*/ 0 w 3438525"/>
              <a:gd name="connsiteY1" fmla="*/ 1252537 h 1257299"/>
              <a:gd name="connsiteX2" fmla="*/ 3438525 w 3438525"/>
              <a:gd name="connsiteY2" fmla="*/ 1257299 h 1257299"/>
              <a:gd name="connsiteX3" fmla="*/ 1957387 w 3438525"/>
              <a:gd name="connsiteY3" fmla="*/ 4762 h 1257299"/>
              <a:gd name="connsiteX4" fmla="*/ 1905001 w 3438525"/>
              <a:gd name="connsiteY4" fmla="*/ 85724 h 1257299"/>
              <a:gd name="connsiteX5" fmla="*/ 1681162 w 3438525"/>
              <a:gd name="connsiteY5" fmla="*/ 219074 h 1257299"/>
              <a:gd name="connsiteX6" fmla="*/ 1371600 w 3438525"/>
              <a:gd name="connsiteY6" fmla="*/ 233361 h 1257299"/>
              <a:gd name="connsiteX7" fmla="*/ 1162050 w 3438525"/>
              <a:gd name="connsiteY7" fmla="*/ 161924 h 1257299"/>
              <a:gd name="connsiteX8" fmla="*/ 1038225 w 3438525"/>
              <a:gd name="connsiteY8" fmla="*/ 0 h 12572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38525" h="1257299">
                <a:moveTo>
                  <a:pt x="1038225" y="0"/>
                </a:moveTo>
                <a:lnTo>
                  <a:pt x="0" y="1252537"/>
                </a:lnTo>
                <a:lnTo>
                  <a:pt x="3438525" y="1257299"/>
                </a:lnTo>
                <a:lnTo>
                  <a:pt x="1957387" y="4762"/>
                </a:lnTo>
                <a:lnTo>
                  <a:pt x="1905001" y="85724"/>
                </a:lnTo>
                <a:cubicBezTo>
                  <a:pt x="1820864" y="157162"/>
                  <a:pt x="1760537" y="176211"/>
                  <a:pt x="1681162" y="219074"/>
                </a:cubicBezTo>
                <a:cubicBezTo>
                  <a:pt x="1577975" y="247649"/>
                  <a:pt x="1474787" y="228599"/>
                  <a:pt x="1371600" y="233361"/>
                </a:cubicBezTo>
                <a:lnTo>
                  <a:pt x="1162050" y="161924"/>
                </a:lnTo>
                <a:cubicBezTo>
                  <a:pt x="1125538" y="104774"/>
                  <a:pt x="1046162" y="123826"/>
                  <a:pt x="1038225" y="0"/>
                </a:cubicBezTo>
                <a:close/>
              </a:path>
            </a:pathLst>
          </a:custGeom>
          <a:solidFill>
            <a:srgbClr val="FFFF00">
              <a:alpha val="25000"/>
            </a:srgbClr>
          </a:solidFill>
          <a:ln>
            <a:solidFill>
              <a:srgbClr val="FFFF00">
                <a:alpha val="25000"/>
              </a:srgb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Oval 4">
            <a:extLst>
              <a:ext uri="{FF2B5EF4-FFF2-40B4-BE49-F238E27FC236}">
                <a16:creationId xmlns:a16="http://schemas.microsoft.com/office/drawing/2014/main" id="{0F4925E3-B17E-349A-E72D-E864F7888754}"/>
              </a:ext>
            </a:extLst>
          </xdr:cNvPr>
          <xdr:cNvSpPr/>
        </xdr:nvSpPr>
        <xdr:spPr>
          <a:xfrm>
            <a:off x="11930062" y="4319587"/>
            <a:ext cx="914400" cy="466725"/>
          </a:xfrm>
          <a:prstGeom prst="ellipse">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16</xdr:col>
      <xdr:colOff>247650</xdr:colOff>
      <xdr:row>18</xdr:row>
      <xdr:rowOff>31750</xdr:rowOff>
    </xdr:from>
    <xdr:ext cx="4086225" cy="457200"/>
    <xdr:sp macro="" textlink="">
      <xdr:nvSpPr>
        <xdr:cNvPr id="2" name="Text Box 2">
          <a:extLst>
            <a:ext uri="{FF2B5EF4-FFF2-40B4-BE49-F238E27FC236}">
              <a16:creationId xmlns:a16="http://schemas.microsoft.com/office/drawing/2014/main" id="{D8F1275D-7632-4EEC-A65D-798AC29268BF}"/>
            </a:ext>
          </a:extLst>
        </xdr:cNvPr>
        <xdr:cNvSpPr txBox="1">
          <a:spLocks noChangeArrowheads="1"/>
        </xdr:cNvSpPr>
      </xdr:nvSpPr>
      <xdr:spPr bwMode="auto">
        <a:xfrm>
          <a:off x="10001250" y="3286125"/>
          <a:ext cx="40862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3</xdr:row>
      <xdr:rowOff>6350</xdr:rowOff>
    </xdr:from>
    <xdr:ext cx="3657600" cy="971550"/>
    <xdr:sp macro="" textlink="">
      <xdr:nvSpPr>
        <xdr:cNvPr id="3" name="Text Box 3">
          <a:extLst>
            <a:ext uri="{FF2B5EF4-FFF2-40B4-BE49-F238E27FC236}">
              <a16:creationId xmlns:a16="http://schemas.microsoft.com/office/drawing/2014/main" id="{4E803534-6F34-4FBD-9504-E9127C18250B}"/>
            </a:ext>
          </a:extLst>
        </xdr:cNvPr>
        <xdr:cNvSpPr txBox="1">
          <a:spLocks noChangeArrowheads="1"/>
        </xdr:cNvSpPr>
      </xdr:nvSpPr>
      <xdr:spPr bwMode="auto">
        <a:xfrm>
          <a:off x="7924800" y="552450"/>
          <a:ext cx="36576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xdr:row>
      <xdr:rowOff>57150</xdr:rowOff>
    </xdr:from>
    <xdr:ext cx="4438650" cy="1076325"/>
    <xdr:sp macro="" textlink="">
      <xdr:nvSpPr>
        <xdr:cNvPr id="4" name="Text Box 1">
          <a:extLst>
            <a:ext uri="{FF2B5EF4-FFF2-40B4-BE49-F238E27FC236}">
              <a16:creationId xmlns:a16="http://schemas.microsoft.com/office/drawing/2014/main" id="{C7D6CE8C-12D7-407D-BA6B-09DD4DAB8A52}"/>
            </a:ext>
          </a:extLst>
        </xdr:cNvPr>
        <xdr:cNvSpPr txBox="1">
          <a:spLocks noChangeArrowheads="1"/>
        </xdr:cNvSpPr>
      </xdr:nvSpPr>
      <xdr:spPr bwMode="auto">
        <a:xfrm>
          <a:off x="9144000" y="419100"/>
          <a:ext cx="44386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354965</xdr:colOff>
      <xdr:row>0</xdr:row>
      <xdr:rowOff>53975</xdr:rowOff>
    </xdr:from>
    <xdr:ext cx="4353818" cy="1051074"/>
    <xdr:sp macro="" textlink="">
      <xdr:nvSpPr>
        <xdr:cNvPr id="5" name="Text Box 3">
          <a:extLst>
            <a:ext uri="{FF2B5EF4-FFF2-40B4-BE49-F238E27FC236}">
              <a16:creationId xmlns:a16="http://schemas.microsoft.com/office/drawing/2014/main" id="{3EF06506-11B1-4C17-856D-A5B67BA5F35F}"/>
            </a:ext>
          </a:extLst>
        </xdr:cNvPr>
        <xdr:cNvSpPr txBox="1">
          <a:spLocks noChangeArrowheads="1"/>
        </xdr:cNvSpPr>
      </xdr:nvSpPr>
      <xdr:spPr bwMode="auto">
        <a:xfrm>
          <a:off x="5228590" y="53975"/>
          <a:ext cx="4353818" cy="1051074"/>
        </a:xfrm>
        <a:prstGeom prst="rect">
          <a:avLst/>
        </a:prstGeom>
        <a:noFill/>
        <a:ln w="9525">
          <a:noFill/>
          <a:miter lim="800000"/>
          <a:headEnd/>
          <a:tailEnd/>
        </a:ln>
      </xdr:spPr>
      <xdr:txBody>
        <a:bodyPr vertOverflow="clip" wrap="square" lIns="91440" tIns="86868" rIns="0" bIns="0" anchor="ctr" upright="1"/>
        <a:lstStyle/>
        <a:p>
          <a:pPr algn="l" rtl="0">
            <a:defRPr sz="1000"/>
          </a:pPr>
          <a:r>
            <a:rPr lang="en-US" sz="4600" b="1" i="0" u="none" strike="noStrike">
              <a:solidFill>
                <a:sysClr val="windowText" lastClr="000000"/>
              </a:solidFill>
              <a:latin typeface="Times New Roman"/>
              <a:cs typeface="Times New Roman"/>
            </a:rPr>
            <a:t>WORK</a:t>
          </a:r>
          <a:r>
            <a:rPr lang="en-US" sz="4600" b="1" i="1" u="none" strike="noStrike">
              <a:solidFill>
                <a:sysClr val="windowText" lastClr="000000"/>
              </a:solidFill>
              <a:latin typeface="Times New Roman"/>
              <a:cs typeface="Times New Roman"/>
            </a:rPr>
            <a:t> </a:t>
          </a:r>
          <a:r>
            <a:rPr lang="en-US" sz="4600" b="1" i="0" u="none" strike="noStrike">
              <a:solidFill>
                <a:sysClr val="windowText" lastClr="000000"/>
              </a:solidFill>
              <a:latin typeface="Times New Roman"/>
              <a:cs typeface="Times New Roman"/>
            </a:rPr>
            <a:t>ORDER</a:t>
          </a:r>
        </a:p>
      </xdr:txBody>
    </xdr:sp>
    <xdr:clientData/>
  </xdr:oneCellAnchor>
  <xdr:twoCellAnchor>
    <xdr:from>
      <xdr:col>1</xdr:col>
      <xdr:colOff>38100</xdr:colOff>
      <xdr:row>0</xdr:row>
      <xdr:rowOff>38100</xdr:rowOff>
    </xdr:from>
    <xdr:to>
      <xdr:col>9</xdr:col>
      <xdr:colOff>476250</xdr:colOff>
      <xdr:row>8</xdr:row>
      <xdr:rowOff>66675</xdr:rowOff>
    </xdr:to>
    <xdr:grpSp>
      <xdr:nvGrpSpPr>
        <xdr:cNvPr id="6" name="Group 1">
          <a:extLst>
            <a:ext uri="{FF2B5EF4-FFF2-40B4-BE49-F238E27FC236}">
              <a16:creationId xmlns:a16="http://schemas.microsoft.com/office/drawing/2014/main" id="{B555ECD7-4AC8-4F8E-BC6D-2DC5A6026DA1}"/>
            </a:ext>
          </a:extLst>
        </xdr:cNvPr>
        <xdr:cNvGrpSpPr>
          <a:grpSpLocks/>
        </xdr:cNvGrpSpPr>
      </xdr:nvGrpSpPr>
      <xdr:grpSpPr bwMode="auto">
        <a:xfrm>
          <a:off x="95250" y="38100"/>
          <a:ext cx="5848350" cy="1701800"/>
          <a:chOff x="106761983" y="105613200"/>
          <a:chExt cx="6913540" cy="1524000"/>
        </a:xfrm>
      </xdr:grpSpPr>
      <xdr:grpSp>
        <xdr:nvGrpSpPr>
          <xdr:cNvPr id="7" name="Group 8">
            <a:extLst>
              <a:ext uri="{FF2B5EF4-FFF2-40B4-BE49-F238E27FC236}">
                <a16:creationId xmlns:a16="http://schemas.microsoft.com/office/drawing/2014/main" id="{74ACFD29-C551-D163-0B22-7E6356EDAFB9}"/>
              </a:ext>
            </a:extLst>
          </xdr:cNvPr>
          <xdr:cNvGrpSpPr>
            <a:grpSpLocks/>
          </xdr:cNvGrpSpPr>
        </xdr:nvGrpSpPr>
        <xdr:grpSpPr bwMode="auto">
          <a:xfrm>
            <a:off x="106761983" y="105720072"/>
            <a:ext cx="1289617" cy="1337588"/>
            <a:chOff x="106761983" y="105720072"/>
            <a:chExt cx="1289617" cy="1337588"/>
          </a:xfrm>
        </xdr:grpSpPr>
        <xdr:sp macro="" textlink="">
          <xdr:nvSpPr>
            <xdr:cNvPr id="10" name="Rectangle 3" hidden="1">
              <a:extLst>
                <a:ext uri="{FF2B5EF4-FFF2-40B4-BE49-F238E27FC236}">
                  <a16:creationId xmlns:a16="http://schemas.microsoft.com/office/drawing/2014/main" id="{4FFA7357-A016-8F3E-2BE7-35A4CB52B639}"/>
                </a:ext>
              </a:extLst>
            </xdr:cNvPr>
            <xdr:cNvSpPr>
              <a:spLocks noChangeArrowheads="1" noChangeShapeType="1"/>
            </xdr:cNvSpPr>
          </xdr:nvSpPr>
          <xdr:spPr bwMode="auto">
            <a:xfrm>
              <a:off x="106761983" y="105720072"/>
              <a:ext cx="1289617" cy="1337588"/>
            </a:xfrm>
            <a:prstGeom prst="rect">
              <a:avLst/>
            </a:prstGeom>
            <a:solidFill>
              <a:srgbClr val="FFCC00"/>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1" name="Rectangle 4">
              <a:extLst>
                <a:ext uri="{FF2B5EF4-FFF2-40B4-BE49-F238E27FC236}">
                  <a16:creationId xmlns:a16="http://schemas.microsoft.com/office/drawing/2014/main" id="{3AA4B227-3B99-0823-C729-68784CE30A59}"/>
                </a:ext>
              </a:extLst>
            </xdr:cNvPr>
            <xdr:cNvSpPr>
              <a:spLocks noChangeArrowheads="1" noChangeShapeType="1"/>
            </xdr:cNvSpPr>
          </xdr:nvSpPr>
          <xdr:spPr bwMode="auto">
            <a:xfrm>
              <a:off x="107276206" y="106282035"/>
              <a:ext cx="775394" cy="775625"/>
            </a:xfrm>
            <a:prstGeom prst="rect">
              <a:avLst/>
            </a:prstGeom>
            <a:solidFill>
              <a:srgbClr val="FFCC00"/>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2" name="Rectangle 5">
              <a:extLst>
                <a:ext uri="{FF2B5EF4-FFF2-40B4-BE49-F238E27FC236}">
                  <a16:creationId xmlns:a16="http://schemas.microsoft.com/office/drawing/2014/main" id="{05B2AFEA-9041-8E3F-9AD7-CF3DBE0EB733}"/>
                </a:ext>
              </a:extLst>
            </xdr:cNvPr>
            <xdr:cNvSpPr>
              <a:spLocks noChangeArrowheads="1" noChangeShapeType="1"/>
            </xdr:cNvSpPr>
          </xdr:nvSpPr>
          <xdr:spPr bwMode="auto">
            <a:xfrm>
              <a:off x="107025513" y="105720072"/>
              <a:ext cx="613852" cy="581715"/>
            </a:xfrm>
            <a:prstGeom prst="rect">
              <a:avLst/>
            </a:prstGeom>
            <a:solidFill>
              <a:srgbClr val="000000">
                <a:alpha val="61176"/>
              </a:srgbClr>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3" name="Rectangle 6">
              <a:extLst>
                <a:ext uri="{FF2B5EF4-FFF2-40B4-BE49-F238E27FC236}">
                  <a16:creationId xmlns:a16="http://schemas.microsoft.com/office/drawing/2014/main" id="{44D666FB-392D-276A-BBD5-5A99C1D5D018}"/>
                </a:ext>
              </a:extLst>
            </xdr:cNvPr>
            <xdr:cNvSpPr>
              <a:spLocks noChangeArrowheads="1" noChangeShapeType="1"/>
            </xdr:cNvSpPr>
          </xdr:nvSpPr>
          <xdr:spPr bwMode="auto">
            <a:xfrm>
              <a:off x="106761983" y="106225527"/>
              <a:ext cx="516922" cy="517079"/>
            </a:xfrm>
            <a:prstGeom prst="rect">
              <a:avLst/>
            </a:prstGeom>
            <a:solidFill>
              <a:srgbClr val="000000"/>
            </a:solidFill>
            <a:ln>
              <a:noFill/>
            </a:ln>
            <a:extLst>
              <a:ext uri="{91240B29-F687-4F45-9708-019B960494DF}">
                <a14:hiddenLine xmlns:a14="http://schemas.microsoft.com/office/drawing/2010/main" w="0" algn="in">
                  <a:solidFill>
                    <a:srgbClr val="000000"/>
                  </a:solidFill>
                  <a:miter lim="800000"/>
                  <a:headEnd/>
                  <a:tailEnd/>
                </a14:hiddenLine>
              </a:ext>
            </a:extLst>
          </xdr:spPr>
        </xdr:sp>
      </xdr:grpSp>
      <xdr:sp macro="" textlink="">
        <xdr:nvSpPr>
          <xdr:cNvPr id="8" name="Line 7">
            <a:extLst>
              <a:ext uri="{FF2B5EF4-FFF2-40B4-BE49-F238E27FC236}">
                <a16:creationId xmlns:a16="http://schemas.microsoft.com/office/drawing/2014/main" id="{EA1CDDC1-AAEC-C40C-2E37-F6CC3632F98C}"/>
              </a:ext>
            </a:extLst>
          </xdr:cNvPr>
          <xdr:cNvSpPr>
            <a:spLocks noChangeShapeType="1"/>
          </xdr:cNvSpPr>
        </xdr:nvSpPr>
        <xdr:spPr bwMode="auto">
          <a:xfrm flipH="1">
            <a:off x="107725754" y="105613200"/>
            <a:ext cx="5" cy="1524000"/>
          </a:xfrm>
          <a:prstGeom prst="line">
            <a:avLst/>
          </a:prstGeom>
          <a:noFill/>
          <a:ln w="76200" algn="ctr">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A3E33FB-C5FC-4A23-9EFC-40D24C4E1865}"/>
              </a:ext>
            </a:extLst>
          </xdr:cNvPr>
          <xdr:cNvSpPr>
            <a:spLocks noChangeShapeType="1"/>
          </xdr:cNvSpPr>
        </xdr:nvSpPr>
        <xdr:spPr bwMode="auto">
          <a:xfrm flipH="1">
            <a:off x="106817523" y="106904082"/>
            <a:ext cx="6858000" cy="6884"/>
          </a:xfrm>
          <a:prstGeom prst="line">
            <a:avLst/>
          </a:prstGeom>
          <a:noFill/>
          <a:ln w="25400" algn="ctr">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oneCellAnchor>
    <xdr:from>
      <xdr:col>16</xdr:col>
      <xdr:colOff>247650</xdr:colOff>
      <xdr:row>18</xdr:row>
      <xdr:rowOff>31750</xdr:rowOff>
    </xdr:from>
    <xdr:ext cx="4083050" cy="450850"/>
    <xdr:sp macro="" textlink="">
      <xdr:nvSpPr>
        <xdr:cNvPr id="2" name="Text Box 2">
          <a:extLst>
            <a:ext uri="{FF2B5EF4-FFF2-40B4-BE49-F238E27FC236}">
              <a16:creationId xmlns:a16="http://schemas.microsoft.com/office/drawing/2014/main" id="{694B9822-14FA-473C-B358-993FC94DB1A4}"/>
            </a:ext>
          </a:extLst>
        </xdr:cNvPr>
        <xdr:cNvSpPr txBox="1">
          <a:spLocks noChangeArrowheads="1"/>
        </xdr:cNvSpPr>
      </xdr:nvSpPr>
      <xdr:spPr bwMode="auto">
        <a:xfrm>
          <a:off x="10001250" y="3346450"/>
          <a:ext cx="4083050"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3</xdr:row>
      <xdr:rowOff>6350</xdr:rowOff>
    </xdr:from>
    <xdr:ext cx="3657600" cy="977900"/>
    <xdr:sp macro="" textlink="">
      <xdr:nvSpPr>
        <xdr:cNvPr id="3" name="Text Box 3">
          <a:extLst>
            <a:ext uri="{FF2B5EF4-FFF2-40B4-BE49-F238E27FC236}">
              <a16:creationId xmlns:a16="http://schemas.microsoft.com/office/drawing/2014/main" id="{97C8C7E2-B813-40DD-AC97-9A147DB19BC4}"/>
            </a:ext>
          </a:extLst>
        </xdr:cNvPr>
        <xdr:cNvSpPr txBox="1">
          <a:spLocks noChangeArrowheads="1"/>
        </xdr:cNvSpPr>
      </xdr:nvSpPr>
      <xdr:spPr bwMode="auto">
        <a:xfrm>
          <a:off x="7924800" y="558800"/>
          <a:ext cx="3657600"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15</xdr:col>
      <xdr:colOff>0</xdr:colOff>
      <xdr:row>2</xdr:row>
      <xdr:rowOff>57150</xdr:rowOff>
    </xdr:from>
    <xdr:ext cx="4438650" cy="1079500"/>
    <xdr:sp macro="" textlink="">
      <xdr:nvSpPr>
        <xdr:cNvPr id="4" name="Text Box 1">
          <a:extLst>
            <a:ext uri="{FF2B5EF4-FFF2-40B4-BE49-F238E27FC236}">
              <a16:creationId xmlns:a16="http://schemas.microsoft.com/office/drawing/2014/main" id="{0CC4EC36-3DFC-4B40-AD16-95C37C5199C9}"/>
            </a:ext>
          </a:extLst>
        </xdr:cNvPr>
        <xdr:cNvSpPr txBox="1">
          <a:spLocks noChangeArrowheads="1"/>
        </xdr:cNvSpPr>
      </xdr:nvSpPr>
      <xdr:spPr bwMode="auto">
        <a:xfrm>
          <a:off x="9144000" y="425450"/>
          <a:ext cx="443865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354965</xdr:colOff>
      <xdr:row>0</xdr:row>
      <xdr:rowOff>53975</xdr:rowOff>
    </xdr:from>
    <xdr:ext cx="4350643" cy="1051074"/>
    <xdr:sp macro="" textlink="">
      <xdr:nvSpPr>
        <xdr:cNvPr id="5" name="Text Box 3">
          <a:extLst>
            <a:ext uri="{FF2B5EF4-FFF2-40B4-BE49-F238E27FC236}">
              <a16:creationId xmlns:a16="http://schemas.microsoft.com/office/drawing/2014/main" id="{63C3B921-CAA7-4AFB-9082-F4A008DB9DA3}"/>
            </a:ext>
          </a:extLst>
        </xdr:cNvPr>
        <xdr:cNvSpPr txBox="1">
          <a:spLocks noChangeArrowheads="1"/>
        </xdr:cNvSpPr>
      </xdr:nvSpPr>
      <xdr:spPr bwMode="auto">
        <a:xfrm>
          <a:off x="5231765" y="53975"/>
          <a:ext cx="4350643" cy="1051074"/>
        </a:xfrm>
        <a:prstGeom prst="rect">
          <a:avLst/>
        </a:prstGeom>
        <a:noFill/>
        <a:ln w="9525">
          <a:noFill/>
          <a:miter lim="800000"/>
          <a:headEnd/>
          <a:tailEnd/>
        </a:ln>
      </xdr:spPr>
      <xdr:txBody>
        <a:bodyPr vertOverflow="clip" wrap="square" lIns="91440" tIns="86868" rIns="0" bIns="0" anchor="ctr" upright="1"/>
        <a:lstStyle/>
        <a:p>
          <a:pPr algn="l" rtl="0">
            <a:defRPr sz="1000"/>
          </a:pPr>
          <a:r>
            <a:rPr lang="en-US" sz="4600" b="1" i="0" u="none" strike="noStrike">
              <a:solidFill>
                <a:sysClr val="windowText" lastClr="000000"/>
              </a:solidFill>
              <a:latin typeface="Times New Roman"/>
              <a:cs typeface="Times New Roman"/>
            </a:rPr>
            <a:t>WORK</a:t>
          </a:r>
          <a:r>
            <a:rPr lang="en-US" sz="4600" b="1" i="1" u="none" strike="noStrike">
              <a:solidFill>
                <a:sysClr val="windowText" lastClr="000000"/>
              </a:solidFill>
              <a:latin typeface="Times New Roman"/>
              <a:cs typeface="Times New Roman"/>
            </a:rPr>
            <a:t> </a:t>
          </a:r>
          <a:r>
            <a:rPr lang="en-US" sz="4600" b="1" i="0" u="none" strike="noStrike">
              <a:solidFill>
                <a:sysClr val="windowText" lastClr="000000"/>
              </a:solidFill>
              <a:latin typeface="Times New Roman"/>
              <a:cs typeface="Times New Roman"/>
            </a:rPr>
            <a:t>ORDER</a:t>
          </a:r>
        </a:p>
      </xdr:txBody>
    </xdr:sp>
    <xdr:clientData/>
  </xdr:oneCellAnchor>
  <xdr:twoCellAnchor>
    <xdr:from>
      <xdr:col>1</xdr:col>
      <xdr:colOff>38100</xdr:colOff>
      <xdr:row>0</xdr:row>
      <xdr:rowOff>38100</xdr:rowOff>
    </xdr:from>
    <xdr:to>
      <xdr:col>9</xdr:col>
      <xdr:colOff>476250</xdr:colOff>
      <xdr:row>8</xdr:row>
      <xdr:rowOff>66675</xdr:rowOff>
    </xdr:to>
    <xdr:grpSp>
      <xdr:nvGrpSpPr>
        <xdr:cNvPr id="6" name="Group 1">
          <a:extLst>
            <a:ext uri="{FF2B5EF4-FFF2-40B4-BE49-F238E27FC236}">
              <a16:creationId xmlns:a16="http://schemas.microsoft.com/office/drawing/2014/main" id="{9A11AB86-C365-4C92-B753-DD454509E3DE}"/>
            </a:ext>
          </a:extLst>
        </xdr:cNvPr>
        <xdr:cNvGrpSpPr>
          <a:grpSpLocks/>
        </xdr:cNvGrpSpPr>
      </xdr:nvGrpSpPr>
      <xdr:grpSpPr bwMode="auto">
        <a:xfrm>
          <a:off x="95250" y="38100"/>
          <a:ext cx="5848350" cy="1701800"/>
          <a:chOff x="106761983" y="105613200"/>
          <a:chExt cx="6913540" cy="1524000"/>
        </a:xfrm>
      </xdr:grpSpPr>
      <xdr:grpSp>
        <xdr:nvGrpSpPr>
          <xdr:cNvPr id="7" name="Group 8">
            <a:extLst>
              <a:ext uri="{FF2B5EF4-FFF2-40B4-BE49-F238E27FC236}">
                <a16:creationId xmlns:a16="http://schemas.microsoft.com/office/drawing/2014/main" id="{995AE617-4C2B-61B9-EC56-1E0831802C67}"/>
              </a:ext>
            </a:extLst>
          </xdr:cNvPr>
          <xdr:cNvGrpSpPr>
            <a:grpSpLocks/>
          </xdr:cNvGrpSpPr>
        </xdr:nvGrpSpPr>
        <xdr:grpSpPr bwMode="auto">
          <a:xfrm>
            <a:off x="106761983" y="105720072"/>
            <a:ext cx="1289617" cy="1337588"/>
            <a:chOff x="106761983" y="105720072"/>
            <a:chExt cx="1289617" cy="1337588"/>
          </a:xfrm>
        </xdr:grpSpPr>
        <xdr:sp macro="" textlink="">
          <xdr:nvSpPr>
            <xdr:cNvPr id="10" name="Rectangle 3" hidden="1">
              <a:extLst>
                <a:ext uri="{FF2B5EF4-FFF2-40B4-BE49-F238E27FC236}">
                  <a16:creationId xmlns:a16="http://schemas.microsoft.com/office/drawing/2014/main" id="{8FF8C5EE-1848-4CC9-1E4C-2AD4FB50ADFF}"/>
                </a:ext>
              </a:extLst>
            </xdr:cNvPr>
            <xdr:cNvSpPr>
              <a:spLocks noChangeArrowheads="1" noChangeShapeType="1"/>
            </xdr:cNvSpPr>
          </xdr:nvSpPr>
          <xdr:spPr bwMode="auto">
            <a:xfrm>
              <a:off x="106761983" y="105720072"/>
              <a:ext cx="1289617" cy="1337588"/>
            </a:xfrm>
            <a:prstGeom prst="rect">
              <a:avLst/>
            </a:prstGeom>
            <a:solidFill>
              <a:srgbClr val="FFCC00"/>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1" name="Rectangle 4">
              <a:extLst>
                <a:ext uri="{FF2B5EF4-FFF2-40B4-BE49-F238E27FC236}">
                  <a16:creationId xmlns:a16="http://schemas.microsoft.com/office/drawing/2014/main" id="{B937AE85-64E3-F53C-A8EF-66549E873F61}"/>
                </a:ext>
              </a:extLst>
            </xdr:cNvPr>
            <xdr:cNvSpPr>
              <a:spLocks noChangeArrowheads="1" noChangeShapeType="1"/>
            </xdr:cNvSpPr>
          </xdr:nvSpPr>
          <xdr:spPr bwMode="auto">
            <a:xfrm>
              <a:off x="107276206" y="106282035"/>
              <a:ext cx="775394" cy="775625"/>
            </a:xfrm>
            <a:prstGeom prst="rect">
              <a:avLst/>
            </a:prstGeom>
            <a:solidFill>
              <a:srgbClr val="FFCC00"/>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2" name="Rectangle 5">
              <a:extLst>
                <a:ext uri="{FF2B5EF4-FFF2-40B4-BE49-F238E27FC236}">
                  <a16:creationId xmlns:a16="http://schemas.microsoft.com/office/drawing/2014/main" id="{7E09EF82-CD5C-7188-D233-260C57D75D82}"/>
                </a:ext>
              </a:extLst>
            </xdr:cNvPr>
            <xdr:cNvSpPr>
              <a:spLocks noChangeArrowheads="1" noChangeShapeType="1"/>
            </xdr:cNvSpPr>
          </xdr:nvSpPr>
          <xdr:spPr bwMode="auto">
            <a:xfrm>
              <a:off x="107025513" y="105720072"/>
              <a:ext cx="613852" cy="581715"/>
            </a:xfrm>
            <a:prstGeom prst="rect">
              <a:avLst/>
            </a:prstGeom>
            <a:solidFill>
              <a:srgbClr val="000000">
                <a:alpha val="61176"/>
              </a:srgbClr>
            </a:solidFill>
            <a:ln>
              <a:noFill/>
            </a:ln>
            <a:extLst>
              <a:ext uri="{91240B29-F687-4F45-9708-019B960494DF}">
                <a14:hiddenLine xmlns:a14="http://schemas.microsoft.com/office/drawing/2010/main" w="0" algn="in">
                  <a:solidFill>
                    <a:srgbClr val="000000"/>
                  </a:solidFill>
                  <a:miter lim="800000"/>
                  <a:headEnd/>
                  <a:tailEnd/>
                </a14:hiddenLine>
              </a:ext>
            </a:extLst>
          </xdr:spPr>
        </xdr:sp>
        <xdr:sp macro="" textlink="">
          <xdr:nvSpPr>
            <xdr:cNvPr id="13" name="Rectangle 6">
              <a:extLst>
                <a:ext uri="{FF2B5EF4-FFF2-40B4-BE49-F238E27FC236}">
                  <a16:creationId xmlns:a16="http://schemas.microsoft.com/office/drawing/2014/main" id="{A84087A2-D3AD-A908-30B2-4F0D70DCACEA}"/>
                </a:ext>
              </a:extLst>
            </xdr:cNvPr>
            <xdr:cNvSpPr>
              <a:spLocks noChangeArrowheads="1" noChangeShapeType="1"/>
            </xdr:cNvSpPr>
          </xdr:nvSpPr>
          <xdr:spPr bwMode="auto">
            <a:xfrm>
              <a:off x="106761983" y="106225527"/>
              <a:ext cx="516922" cy="517079"/>
            </a:xfrm>
            <a:prstGeom prst="rect">
              <a:avLst/>
            </a:prstGeom>
            <a:solidFill>
              <a:srgbClr val="000000"/>
            </a:solidFill>
            <a:ln>
              <a:noFill/>
            </a:ln>
            <a:extLst>
              <a:ext uri="{91240B29-F687-4F45-9708-019B960494DF}">
                <a14:hiddenLine xmlns:a14="http://schemas.microsoft.com/office/drawing/2010/main" w="0" algn="in">
                  <a:solidFill>
                    <a:srgbClr val="000000"/>
                  </a:solidFill>
                  <a:miter lim="800000"/>
                  <a:headEnd/>
                  <a:tailEnd/>
                </a14:hiddenLine>
              </a:ext>
            </a:extLst>
          </xdr:spPr>
        </xdr:sp>
      </xdr:grpSp>
      <xdr:sp macro="" textlink="">
        <xdr:nvSpPr>
          <xdr:cNvPr id="8" name="Line 7">
            <a:extLst>
              <a:ext uri="{FF2B5EF4-FFF2-40B4-BE49-F238E27FC236}">
                <a16:creationId xmlns:a16="http://schemas.microsoft.com/office/drawing/2014/main" id="{28FDD2AA-F864-4F11-E80C-8865D43DC9B5}"/>
              </a:ext>
            </a:extLst>
          </xdr:cNvPr>
          <xdr:cNvSpPr>
            <a:spLocks noChangeShapeType="1"/>
          </xdr:cNvSpPr>
        </xdr:nvSpPr>
        <xdr:spPr bwMode="auto">
          <a:xfrm flipH="1">
            <a:off x="107725754" y="105613200"/>
            <a:ext cx="5" cy="1524000"/>
          </a:xfrm>
          <a:prstGeom prst="line">
            <a:avLst/>
          </a:prstGeom>
          <a:noFill/>
          <a:ln w="76200" algn="ctr">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AD7BAA7-D867-14A2-6D16-00DD6243E825}"/>
              </a:ext>
            </a:extLst>
          </xdr:cNvPr>
          <xdr:cNvSpPr>
            <a:spLocks noChangeShapeType="1"/>
          </xdr:cNvSpPr>
        </xdr:nvSpPr>
        <xdr:spPr bwMode="auto">
          <a:xfrm flipH="1">
            <a:off x="106817523" y="106904082"/>
            <a:ext cx="6858000" cy="6884"/>
          </a:xfrm>
          <a:prstGeom prst="line">
            <a:avLst/>
          </a:prstGeom>
          <a:noFill/>
          <a:ln w="25400" algn="ctr">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persons/person.xml><?xml version="1.0" encoding="utf-8"?>
<personList xmlns="http://schemas.microsoft.com/office/spreadsheetml/2018/threadedcomments" xmlns:x="http://schemas.openxmlformats.org/spreadsheetml/2006/main">
  <person displayName="Chris Larabee" id="{2CA135E7-6A6B-4BC1-9917-2425EEB0E6E9}" userId="S::larabee@htipolymer.com::e6d7852f-e790-4e01-aad5-225c835358bf"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7" xr16:uid="{534C4B06-79FD-47C8-9F95-13267E3888AD}" autoFormatId="16" applyNumberFormats="0" applyBorderFormats="0" applyFontFormats="0" applyPatternFormats="0" applyAlignmentFormats="0" applyWidthHeightFormats="0">
  <queryTableRefresh nextId="19" unboundColumnsRight="3">
    <queryTableFields count="9">
      <queryTableField id="1" name="Description" tableColumnId="1"/>
      <queryTableField id="2" name="Color" tableColumnId="2"/>
      <queryTableField id="14" name="Qty" tableColumnId="12"/>
      <queryTableField id="6" name="Unit Size" tableColumnId="6"/>
      <queryTableField id="4" name="Cost" tableColumnId="4"/>
      <queryTableField id="5" name="Quoted Cost" tableColumnId="5"/>
      <queryTableField id="18" dataBound="0" tableColumnId="14"/>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5" xr16:uid="{573859FD-B069-42F7-802A-2CF17107DF19}" autoFormatId="16" applyNumberFormats="0" applyBorderFormats="0" applyFontFormats="0" applyPatternFormats="0" applyAlignmentFormats="0" applyWidthHeightFormats="0">
  <queryTableRefresh nextId="19" unboundColumnsRight="3">
    <queryTableFields count="9">
      <queryTableField id="1" name="Description" tableColumnId="1"/>
      <queryTableField id="2" name="Color" tableColumnId="2"/>
      <queryTableField id="14" name="Qty" tableColumnId="12"/>
      <queryTableField id="6" name="Unit Size" tableColumnId="6"/>
      <queryTableField id="4" name="Cost" tableColumnId="4"/>
      <queryTableField id="5" name="Quoted Cost" tableColumnId="5"/>
      <queryTableField id="18" dataBound="0" tableColumnId="14"/>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4" xr16:uid="{03C38FFB-FC3B-447F-872E-AF05A8DC9A2B}" autoFormatId="16" applyNumberFormats="0" applyBorderFormats="0" applyFontFormats="0" applyPatternFormats="0" applyAlignmentFormats="0" applyWidthHeightFormats="0">
  <queryTableRefresh nextId="13">
    <queryTableFields count="10">
      <queryTableField id="1" name="Description" tableColumnId="1"/>
      <queryTableField id="2" name="Color" tableColumnId="2"/>
      <queryTableField id="3" name="Total Qty" tableColumnId="3"/>
      <queryTableField id="4" name="Unit Size" tableColumnId="4"/>
      <queryTableField id="10" name=" " tableColumnId="10"/>
      <queryTableField id="5" name="Weight" tableColumnId="5"/>
      <queryTableField id="6" name="Rec'd Qty" tableColumnId="6"/>
      <queryTableField id="7" name="Return Qty" tableColumnId="7"/>
      <queryTableField id="8" name="Pallet #" tableColumnId="8"/>
      <queryTableField id="9" name="Shop Qty" tableColumnId="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en-US</v>
    <v>avylur</v>
    <v>268435456</v>
    <v>1</v>
    <v>Powered by Refinitiv</v>
    <v>0</v>
    <v>USD/CAD</v>
    <v>2</v>
    <v>3</v>
    <v>Finance</v>
    <v>4</v>
    <v>1.4447000000000001</v>
    <v>1.3479000000000001</v>
    <v>-5.0000000000000001E-4</v>
    <v>-3.6400000000000001E-4</v>
    <v>CAD</v>
    <v>USD</v>
    <v>1.3736999999999999</v>
    <v>Currency Pair</v>
    <v>46100.905405092592</v>
    <v>1.3731</v>
    <v>US Dollar/Canadian Dollar FX Spot Rate</v>
    <v>1.3736999999999999</v>
    <v>1.3737999999999999</v>
    <v>1.3733</v>
    <v>USDCAD</v>
    <v>USD/CAD</v>
  </rv>
  <rv s="1">
    <v>0</v>
  </rv>
  <rv s="0">
    <v>en-US</v>
    <v>avyqcw</v>
    <v>268435456</v>
    <v>1</v>
    <v>Powered by Refinitiv</v>
    <v>0</v>
    <v>USD/MXN</v>
    <v>2</v>
    <v>5</v>
    <v>Finance</v>
    <v>4</v>
    <v>21.082999999999998</v>
    <v>17.081299999999999</v>
    <v>-7.4000000000000003E-3</v>
    <v>-4.1730000000000001E-4</v>
    <v>MXN</v>
    <v>USD</v>
    <v>17.734999999999999</v>
    <v>Currency Pair</v>
    <v>46100.904513888891</v>
    <v>17.7225</v>
    <v>US Dollar/Mexican Peso FX Spot Rate</v>
    <v>17.730699999999999</v>
    <v>17.732099999999999</v>
    <v>17.724699999999999</v>
    <v>USDMXN</v>
    <v>USD/MXN</v>
  </rv>
  <rv s="1">
    <v>2</v>
  </rv>
  <rv s="2">
    <v>0</v>
    <v>5</v>
  </rv>
</rvData>
</file>

<file path=xl/richData/rdrichvaluestructure.xml><?xml version="1.0" encoding="utf-8"?>
<rvStructures xmlns="http://schemas.microsoft.com/office/spreadsheetml/2017/richdata" count="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6">
    <spb s="0">
      <v>0</v>
      <v>Name</v>
    </spb>
    <spb s="1">
      <v>0</v>
      <v>0</v>
      <v>0</v>
    </spb>
    <spb s="2">
      <v>1</v>
      <v>1</v>
    </spb>
    <spb s="3">
      <v>1</v>
      <v>1</v>
      <v>2</v>
      <v>1</v>
      <v>1</v>
      <v>1</v>
      <v>3</v>
      <v>1</v>
      <v>1</v>
      <v>1</v>
      <v>4</v>
      <v>5</v>
    </spb>
    <spb s="4">
      <v>GMT</v>
    </spb>
    <spb s="3">
      <v>6</v>
      <v>6</v>
      <v>2</v>
      <v>6</v>
      <v>6</v>
      <v>6</v>
      <v>3</v>
      <v>6</v>
      <v>6</v>
      <v>6</v>
      <v>4</v>
      <v>5</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_-[$$-en-CA]* #,##0.00_-;-[$$-en-CA]* #,##0.00_-;_-[$$-en-CA]* "-"??_-;_-@_-</rpv>
    </rSty>
    <rSty>
      <rpv i="1">1</rpv>
    </rSty>
    <rSty dxfid="3"/>
    <rSty dxfid="2"/>
    <rSty dxfid="0">
      <rpv i="0">0.00</rpv>
    </rSty>
    <rSty dxfid="1">
      <rpv i="0">_-[$$-es-MX]* #,##0.00_-;-[$$-es-MX]* #,##0.00_-;_-[$$-es-MX]* "-"??_-;_-@_-</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6BC2E-066E-4B08-8502-1C81998850A5}" name="Table1" displayName="Table1" ref="X1:AJ845" totalsRowShown="0" headerRowDxfId="683" dataDxfId="682">
  <autoFilter ref="X1:AJ845" xr:uid="{E966BC2E-066E-4B08-8502-1C81998850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sortState xmlns:xlrd2="http://schemas.microsoft.com/office/spreadsheetml/2017/richdata2" ref="X2:AJ600">
    <sortCondition ref="AD2:AD600"/>
    <sortCondition ref="X2:X600"/>
  </sortState>
  <tableColumns count="13">
    <tableColumn id="1" xr3:uid="{63B38E7F-91FF-45F2-85DB-5CA534A3BD21}" name="Product #" dataDxfId="681"/>
    <tableColumn id="2" xr3:uid="{31E30AD5-7F7D-44D0-8710-CBAADCE95F7F}" name="Description" dataDxfId="680"/>
    <tableColumn id="3" xr3:uid="{60B6B21A-0368-49C8-96EE-77C534121315}" name="Cost" dataDxfId="679" dataCellStyle="Currency"/>
    <tableColumn id="4" xr3:uid="{FEDC6F44-B951-4F62-9DAE-029B259F4F3F}" name="Unit Size" dataDxfId="678"/>
    <tableColumn id="5" xr3:uid="{7E68838F-F895-4B28-948C-1C7590CAF269}" name="Weight" dataDxfId="677"/>
    <tableColumn id="6" xr3:uid="{A4FF18B5-D6C5-4D5C-9B37-E31B8FC65B36}" name="Color" dataDxfId="676"/>
    <tableColumn id="7" xr3:uid="{C8FE0127-A8C1-4A4E-89DB-55CAA19676E4}" name="B:B" dataDxfId="675"/>
    <tableColumn id="8" xr3:uid="{4B4D74C3-582A-427D-8F8C-82FC2A80437C}" name="C:C" dataDxfId="674"/>
    <tableColumn id="9" xr3:uid="{C26409BD-E2A5-4640-BEBA-C3BC24ACFA60}" name="D:D" dataDxfId="673">
      <calculatedColumnFormula>Table1[[#This Row],[C:C]]*1.1</calculatedColumnFormula>
    </tableColumn>
    <tableColumn id="10" xr3:uid="{B820AAC6-375F-477D-8C1D-35229AC6CA8D}" name="L:L" dataDxfId="672"/>
    <tableColumn id="11" xr3:uid="{5227958E-FBB6-4804-ACFF-5B3F179464E4}" name="M:M" dataDxfId="671"/>
    <tableColumn id="12" xr3:uid="{E5D9DE1D-7AA2-4698-8F5C-F3A833FD9C8B}" name="N:N" dataDxfId="670">
      <calculatedColumnFormula>IFERROR(VLOOKUP(X2,#REF!,8,FALSE),0)</calculatedColumnFormula>
    </tableColumn>
    <tableColumn id="13" xr3:uid="{D4CBB861-08BE-42A3-9DD6-85EB99AEEE7D}" name="Total Qty" dataDxfId="66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BFFA1B-7777-411B-A689-B370E4A9DB38}" name="PRICE_TABLE" displayName="PRICE_TABLE" ref="AT1:AW116" totalsRowShown="0" headerRowDxfId="668">
  <autoFilter ref="AT1:AW116" xr:uid="{5ABFFA1B-7777-411B-A689-B370E4A9DB38}"/>
  <tableColumns count="4">
    <tableColumn id="1" xr3:uid="{34C0500A-D9C5-4F9B-A062-E35ADDABBCB2}" name="PRODUCT"/>
    <tableColumn id="2" xr3:uid="{EA64C446-43AD-4F13-84FB-D519517FE2C9}" name="UOM"/>
    <tableColumn id="3" xr3:uid="{01C9364E-746F-432B-BCD2-FD45F09B0E3E}" name="LOOKUP COMBO" dataDxfId="667">
      <calculatedColumnFormula>AT2&amp;AU2</calculatedColumnFormula>
    </tableColumn>
    <tableColumn id="4" xr3:uid="{E1A72C18-8E20-4133-ABAB-3D2454B0600D}" name="PRICE" dataDxfId="666" dataCellStyle="Currency"/>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CC6ADD-E183-48B6-A63B-151901B6DC2A}" name="PROD_ID_TABLE" displayName="PROD_ID_TABLE" ref="AY1:BC650" totalsRowShown="0" headerRowDxfId="665" dataDxfId="663" headerRowBorderDxfId="664" tableBorderDxfId="662">
  <autoFilter ref="AY1:BC650" xr:uid="{F6CC6ADD-E183-48B6-A63B-151901B6DC2A}"/>
  <tableColumns count="5">
    <tableColumn id="1" xr3:uid="{0175457C-953C-434E-9C5D-B5292333EA35}" name="PROD ID">
      <calculatedColumnFormula>_xlfn.CONCAT(AZ2:BB2)</calculatedColumnFormula>
    </tableColumn>
    <tableColumn id="2" xr3:uid="{AED1D2A3-3263-4449-A883-7A0A71BE1672}" name="PRODUCT" dataDxfId="661">
      <calculatedColumnFormula>MID(BD2,10,10)</calculatedColumnFormula>
    </tableColumn>
    <tableColumn id="3" xr3:uid="{54088FFF-9CDD-49A8-BE57-CDD8CC2DFC31}" name="COLOR">
      <calculatedColumnFormula>LEFT(BE2,2)&amp;RIGHT(BE2,2)</calculatedColumnFormula>
    </tableColumn>
    <tableColumn id="4" xr3:uid="{61CDADF8-E3CD-4784-B194-A7860DACB599}" name="UOM" dataDxfId="660">
      <calculatedColumnFormula>LEFT(BF2,2)</calculatedColumnFormula>
    </tableColumn>
    <tableColumn id="5" xr3:uid="{FFC09C1B-BD4D-4303-AA91-8D82F4184FDE}" name="PRICE" dataDxfId="659">
      <calculatedColumnFormula>IFERROR(VLOOKUP(BD2&amp;BF2,AV:AW,2,FALSE),0)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8912510-3B44-4015-B238-35893FBB9128}" name="COPY_TABLE" displayName="COPY_TABLE" ref="AN1:AS652" totalsRowShown="0" headerRowDxfId="658" dataDxfId="657">
  <autoFilter ref="AN1:AS652" xr:uid="{58912510-3B44-4015-B238-35893FBB9128}">
    <filterColumn colId="0" hiddenButton="1"/>
    <filterColumn colId="1" hiddenButton="1"/>
    <filterColumn colId="2" hiddenButton="1"/>
    <filterColumn colId="3" hiddenButton="1"/>
    <filterColumn colId="4" hiddenButton="1"/>
    <filterColumn colId="5" hiddenButton="1"/>
  </autoFilter>
  <tableColumns count="6">
    <tableColumn id="1" xr3:uid="{A5702B4D-F74D-4B3F-BE05-9D2BED2E18F4}" name="Product #" dataDxfId="656">
      <calculatedColumnFormula>PROD_ID_TABLE[[#This Row],[PROD ID]]</calculatedColumnFormula>
    </tableColumn>
    <tableColumn id="2" xr3:uid="{AD118034-C263-49A1-A5EC-EB0164D321E0}" name="Description" dataDxfId="655">
      <calculatedColumnFormula>_xlfn.CONCAT(BD2:BF2)</calculatedColumnFormula>
    </tableColumn>
    <tableColumn id="3" xr3:uid="{8504B0AF-304F-4970-A3D8-1BD461CA8A91}" name="Cost" dataDxfId="654">
      <calculatedColumnFormula>BC2</calculatedColumnFormula>
    </tableColumn>
    <tableColumn id="4" xr3:uid="{A6BC9032-59B7-41FF-96B5-58A670CC18DC}" name="Unit Size" dataDxfId="653">
      <calculatedColumnFormula>BF2</calculatedColumnFormula>
    </tableColumn>
    <tableColumn id="5" xr3:uid="{9D3CC32D-4473-4696-884A-65E9A637D16C}" name="Weight" dataDxfId="652"/>
    <tableColumn id="6" xr3:uid="{913E894C-376C-48D0-8AB1-B58C945A71C2}" name="Color" dataDxfId="651">
      <calculatedColumnFormula>BE2</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EDDE1D-9326-4D31-930C-027D0BA38A28}" name="PO_Summary3" displayName="PO_Summary3" ref="B21:J23" tableType="queryTable" insertRow="1" totalsRowCount="1" headerRowDxfId="650" dataDxfId="649" totalsRowDxfId="648" headerRowCellStyle="Currency">
  <autoFilter ref="B21:J22" xr:uid="{ACEDDE1D-9326-4D31-930C-027D0BA38A28}"/>
  <sortState xmlns:xlrd2="http://schemas.microsoft.com/office/spreadsheetml/2017/richdata2" ref="B22:J22">
    <sortCondition ref="D1:D2"/>
  </sortState>
  <tableColumns count="9">
    <tableColumn id="1" xr3:uid="{3395EE10-61BC-48C0-9584-B1D5E519967E}" uniqueName="1" name="Description" totalsRowLabel="Total" queryTableFieldId="1" dataDxfId="647" totalsRowDxfId="646"/>
    <tableColumn id="2" xr3:uid="{14A09358-8694-4402-9397-4E947B5ADDB1}" uniqueName="2" name="Color" queryTableFieldId="2" dataDxfId="645" totalsRowDxfId="644"/>
    <tableColumn id="12" xr3:uid="{ED359073-BF29-4080-B67C-0EDCDFA9B10C}" uniqueName="12" name="Qty" queryTableFieldId="14" dataDxfId="643" totalsRowDxfId="642" dataCellStyle="Currency"/>
    <tableColumn id="6" xr3:uid="{97F39D00-551F-4E69-9627-6F9F453470C3}" uniqueName="6" name="Unit Size" queryTableFieldId="6" dataDxfId="641" totalsRowDxfId="640" dataCellStyle="Currency"/>
    <tableColumn id="4" xr3:uid="{88404367-308C-436C-99AE-798D9370F962}" uniqueName="4" name="Cost" queryTableFieldId="4" dataDxfId="639" totalsRowDxfId="638" dataCellStyle="Currency"/>
    <tableColumn id="5" xr3:uid="{B670F463-279D-4439-B496-FCCECF3F7327}" uniqueName="5" name="Quoted Cost" queryTableFieldId="5" dataDxfId="637" totalsRowDxfId="636"/>
    <tableColumn id="14" xr3:uid="{CA67A255-7A1F-4A12-94C9-5538AB9F3AAA}" uniqueName="14" name="Total Amount" totalsRowFunction="sum" queryTableFieldId="18" dataDxfId="635" totalsRowDxfId="634" dataCellStyle="Currency">
      <calculatedColumnFormula>IF(PO_Summary3[[#This Row],[Quoted Cost]]="",PO_Summary3[[#This Row],[Qty]]*PO_Summary3[[#This Row],[Cost]],PO_Summary3[[#This Row],[Quoted Cost]]*PO_Summary3[[#This Row],[Qty]])</calculatedColumnFormula>
    </tableColumn>
    <tableColumn id="9" xr3:uid="{303DEB91-4F47-4DCC-8618-FD6374352B0A}" uniqueName="9" name="Qty Adjust" queryTableFieldId="9" dataDxfId="633" totalsRowDxfId="632"/>
    <tableColumn id="10" xr3:uid="{8333B213-7D9F-4D94-ACA1-F2A982143E4D}" uniqueName="10" name="Adjusted Total" queryTableFieldId="10" dataDxfId="631" totalsRowDxfId="630" dataCellStyle="Currency">
      <calculatedColumnFormula>IF(PO_Summary3[[#This Row],[Qty Adjust]]&lt;&gt;"",(PO_Summary3[[#This Row],[Qty]]+PO_Summary3[[#This Row],[Qty Adjust]])*(IF(PO_Summary3[[#This Row],[Quoted Cost]]="",PO_Summary3[[#This Row],[Cost]],PO_Summary3[[#This Row],[Quoted Cost]])),"")</calculatedColumnFormula>
    </tableColumn>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BE435CF-DBDE-4624-8D94-BE3AA452D105}" name="PO_Summary" displayName="PO_Summary" ref="A1:I3" tableType="queryTable" insertRow="1" totalsRowCount="1" headerRowDxfId="629" dataDxfId="628" totalsRowDxfId="627" headerRowCellStyle="Currency">
  <autoFilter ref="A1:I2" xr:uid="{ABE435CF-DBDE-4624-8D94-BE3AA452D1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sortState xmlns:xlrd2="http://schemas.microsoft.com/office/spreadsheetml/2017/richdata2" ref="A2:I2">
    <sortCondition ref="C1:C2"/>
  </sortState>
  <tableColumns count="9">
    <tableColumn id="1" xr3:uid="{6C2F3AE4-81FD-4618-93F3-BF8A9BD49E01}" uniqueName="1" name="Description" totalsRowLabel="Total" queryTableFieldId="1" dataDxfId="626" totalsRowDxfId="625"/>
    <tableColumn id="2" xr3:uid="{66DC838F-0B50-4B4E-93DA-8D976541ADF0}" uniqueName="2" name="Color" queryTableFieldId="2" dataDxfId="624" totalsRowDxfId="623"/>
    <tableColumn id="12" xr3:uid="{846292B1-8485-4F26-A846-C4F51458CC3E}" uniqueName="12" name="Qty" queryTableFieldId="14" dataDxfId="622" totalsRowDxfId="621" dataCellStyle="Currency"/>
    <tableColumn id="6" xr3:uid="{442F9C0F-17E6-4E6F-ADFA-78D983F34B7E}" uniqueName="6" name="Unit Size" queryTableFieldId="6" dataDxfId="620" totalsRowDxfId="619" dataCellStyle="Currency"/>
    <tableColumn id="4" xr3:uid="{BB2944B7-28A4-47B7-AD7F-A836A25FCC8A}" uniqueName="4" name="Cost" queryTableFieldId="4" dataDxfId="618" totalsRowDxfId="617" dataCellStyle="Currency"/>
    <tableColumn id="5" xr3:uid="{22EBD96D-3066-4377-9672-01292B7C91A1}" uniqueName="5" name="Quoted Cost" queryTableFieldId="5" dataDxfId="616" totalsRowDxfId="615"/>
    <tableColumn id="14" xr3:uid="{0B91B0B2-385F-44E1-AE16-C39DE42C0E10}" uniqueName="14" name="Total Amount" totalsRowFunction="sum" queryTableFieldId="18" dataDxfId="614" totalsRowDxfId="613" dataCellStyle="Currency">
      <calculatedColumnFormula>IF(PO_Summary[[#This Row],[Quoted Cost]]="",PO_Summary[[#This Row],[Qty]]*PO_Summary[[#This Row],[Cost]],PO_Summary[[#This Row],[Quoted Cost]]*PO_Summary[[#This Row],[Qty]])</calculatedColumnFormula>
    </tableColumn>
    <tableColumn id="9" xr3:uid="{FEE0D302-6FB0-46C6-BD3F-81B78771C76D}" uniqueName="9" name="Qty Adjust" queryTableFieldId="9" dataDxfId="612" totalsRowDxfId="611"/>
    <tableColumn id="10" xr3:uid="{45254DC4-B22D-4EF3-B097-754DF402DE76}" uniqueName="10" name="Adjusted Total" queryTableFieldId="10" dataDxfId="610" totalsRowDxfId="609" dataCellStyle="Currency">
      <calculatedColumnFormula>IF(PO_Summary[[#This Row],[Qty Adjust]]&lt;&gt;"",(PO_Summary[[#This Row],[Qty]]+PO_Summary[[#This Row],[Qty Adjust]])*(IF(PO_Summary[[#This Row],[Quoted Cost]]="",PO_Summary[[#This Row],[Cost]],PO_Summary[[#This Row],[Quoted Cost]])),"")</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93A72B-AA94-4890-A688-65E963B2EAEF}" name="SWPRIME" displayName="SWPRIME" ref="B5:J20" totalsRowCount="1" headerRowDxfId="608" dataDxfId="606" totalsRowDxfId="604" headerRowBorderDxfId="607" tableBorderDxfId="605" headerRowCellStyle="Normal 7 2">
  <autoFilter ref="B5:J19" xr:uid="{C993A72B-AA94-4890-A688-65E963B2EA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5D4FC38-9838-4309-A686-3FB89DE30403}" name="PROD #" totalsRowLabel="Total" dataDxfId="603" totalsRowDxfId="602" dataCellStyle="Normal 7 2">
      <calculatedColumnFormula>IFERROR(IF(C6="","",_xlfn.XLOOKUP(_xlfn.CONCAT(C6:E6),P!$Y:$Y,P!$X:$X,"UNAVAILABLE")),"UNAVAILABLE")</calculatedColumnFormula>
    </tableColumn>
    <tableColumn id="2" xr3:uid="{C29090E3-305B-44A9-A0A8-0F361F30C72B}" name="PRODUCT" totalsRowLabel="Total" dataDxfId="601" totalsRowDxfId="600" dataCellStyle="Normal 7 2"/>
    <tableColumn id="4" xr3:uid="{874B1BCD-6167-43A0-970F-201877320DB9}" name="COLOR" dataDxfId="599" totalsRowDxfId="598" dataCellStyle="Normal 7 2"/>
    <tableColumn id="5" xr3:uid="{EE1D4667-A2A1-43AE-A5E4-8DF570D1C30B}" name="UOM" dataDxfId="597" totalsRowDxfId="596" dataCellStyle="Normal 7 2"/>
    <tableColumn id="6" xr3:uid="{5259AFBF-C585-4FA9-AFA7-04A72043DD09}" name="QTY" dataDxfId="595" totalsRowDxfId="594" dataCellStyle="Currency"/>
    <tableColumn id="7" xr3:uid="{C5E4A102-03ED-4051-8BE5-94D782B011CD}" name="UNIT RATE" dataDxfId="593" totalsRowDxfId="592" dataCellStyle="Currency">
      <calculatedColumnFormula>IFERROR(VLOOKUP(SWPRIME[[#This Row],[PROD '#]],Table1[[Product '#]:[Cost]],3,FALSE),0)</calculatedColumnFormula>
    </tableColumn>
    <tableColumn id="8" xr3:uid="{964A200F-9C80-47F4-A36B-2CB8C8762A8B}" name="QUOTED RATE" dataDxfId="591" totalsRowDxfId="590" dataCellStyle="Currency"/>
    <tableColumn id="9" xr3:uid="{200AE3AE-33F6-4558-AFE0-569F74C4FF99}" name="EXTENSION" totalsRowFunction="sum" dataDxfId="589" totalsRowDxfId="588" dataCellStyle="Currency">
      <calculatedColumnFormula>IFERROR(IF(H6&lt;&gt;"",F6*H6,F6*G6),"")</calculatedColumnFormula>
    </tableColumn>
    <tableColumn id="11" xr3:uid="{1BD2B0B1-2315-4968-BF18-FE95026F1CAF}" name="WEIGHT" totalsRowFunction="count" dataDxfId="587" totalsRowDxfId="586" dataCellStyle="Normal 7 2"/>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125456-E0B0-4322-8DF7-AF6A5270B0E8}" name="SWPATCH" displayName="SWPATCH" ref="B23:J32" totalsRowCount="1" headerRowDxfId="585" dataDxfId="583" totalsRowDxfId="581" headerRowBorderDxfId="584" tableBorderDxfId="582" headerRowCellStyle="Normal 7 2">
  <autoFilter ref="B23:J31" xr:uid="{F7125456-E0B0-4322-8DF7-AF6A5270B0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C8EF4AE-859D-438A-8C3C-C000766B9CE2}" name="PROD #" totalsRowLabel="Total" dataDxfId="580" totalsRowDxfId="579" dataCellStyle="Normal 7 2">
      <calculatedColumnFormula>IFERROR(IF(C24="","",_xlfn.XLOOKUP(_xlfn.CONCAT(C24:E24),P!$Y:$Y,P!$X:$X,"UNAVAILABLE")),"UNAVAILABLE")</calculatedColumnFormula>
    </tableColumn>
    <tableColumn id="2" xr3:uid="{520D86ED-232E-48FD-BA47-8741E0DA0229}" name="PRODUCT" totalsRowLabel="Total" dataDxfId="578" totalsRowDxfId="577" dataCellStyle="Normal 7 2"/>
    <tableColumn id="3" xr3:uid="{9FE3882C-4939-47D9-BE62-30C830F8B6EA}" name="COLOR" dataDxfId="576" totalsRowDxfId="575" dataCellStyle="Normal 7 2"/>
    <tableColumn id="4" xr3:uid="{5EF42D90-834E-4034-9F73-928D6E65A071}" name="UOM" dataDxfId="574" totalsRowDxfId="573" dataCellStyle="Normal 7 2"/>
    <tableColumn id="5" xr3:uid="{878F269D-3A63-4A75-B8C1-3D367B6110B5}" name="QTY" dataDxfId="572" totalsRowDxfId="571" dataCellStyle="Currency"/>
    <tableColumn id="6" xr3:uid="{CEF07206-351B-42AF-9EAD-C49B60CFABF1}" name="UNIT RATE" dataDxfId="570" totalsRowDxfId="569" dataCellStyle="Currency">
      <calculatedColumnFormula>IFERROR(VLOOKUP(SWPATCH[[#This Row],[PROD '#]],Table1[[Product '#]:[Cost]],3,FALSE),0)</calculatedColumnFormula>
    </tableColumn>
    <tableColumn id="7" xr3:uid="{9CA899AB-B095-4C3D-95B8-920994183D4F}" name="QUOTED RATE" dataDxfId="568" totalsRowDxfId="567" dataCellStyle="Currency"/>
    <tableColumn id="8" xr3:uid="{62DD4674-3354-4594-A26B-5B64BD299285}" name="EXTENSION" totalsRowFunction="sum" dataDxfId="566" totalsRowDxfId="565" dataCellStyle="Currency"/>
    <tableColumn id="9" xr3:uid="{8B6BA7F7-CCD5-4F1C-9635-829B7BBEC89D}" name="WEIGHT" totalsRowFunction="count" dataDxfId="564" totalsRowDxfId="563" dataCellStyle="Normal 7 2"/>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32C4B2-799E-45FC-9892-51251E8C60D4}" name="SWPOLY" displayName="SWPOLY" ref="L23:T32" totalsRowCount="1" headerRowDxfId="562" dataDxfId="560" totalsRowDxfId="558" headerRowBorderDxfId="561" tableBorderDxfId="559" headerRowCellStyle="Normal 7 2">
  <autoFilter ref="L23:T31" xr:uid="{F932C4B2-799E-45FC-9892-51251E8C60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951BC0D-29BC-4933-B0DA-7ABC65C60634}" name="PROD #" totalsRowLabel="Total" dataDxfId="557" totalsRowDxfId="556" dataCellStyle="Normal 7 2">
      <calculatedColumnFormula>IFERROR(IF(M24="","",_xlfn.XLOOKUP(_xlfn.CONCAT(M24:O24),P!$Y:$Y,P!$X:$X,"UNAVAILABLE")),"UNAVAILABLE")</calculatedColumnFormula>
    </tableColumn>
    <tableColumn id="2" xr3:uid="{A7C33102-8105-486F-98F9-2FF67FC5E2C1}" name="PRODUCT" totalsRowLabel="Total" dataDxfId="555" totalsRowDxfId="554" dataCellStyle="Normal 7 2"/>
    <tableColumn id="3" xr3:uid="{E56C708E-8A21-4C88-8D88-D79CC1FAB35B}" name="COLOR" dataDxfId="553" totalsRowDxfId="552" dataCellStyle="Normal 7 2"/>
    <tableColumn id="4" xr3:uid="{4124F088-6D6A-42FD-8011-1A9947C3F8B1}" name="UOM" dataDxfId="551" totalsRowDxfId="550" dataCellStyle="Normal 7 2"/>
    <tableColumn id="5" xr3:uid="{EC1FBC70-AA4F-4A0D-A8CB-A2517049E16B}" name="QTY" dataDxfId="549" totalsRowDxfId="548" dataCellStyle="Currency"/>
    <tableColumn id="6" xr3:uid="{75048F03-598C-4815-9AF2-BE48AE9A1ADC}" name="UNIT RATE" dataDxfId="547" totalsRowDxfId="546" dataCellStyle="Currency">
      <calculatedColumnFormula>IFERROR(VLOOKUP(SWPOLY[[#This Row],[PROD '#]],Table1[[Product '#]:[Cost]],3,FALSE),0)</calculatedColumnFormula>
    </tableColumn>
    <tableColumn id="7" xr3:uid="{171E3D74-E4AB-4ACF-88EB-78CA0A43F688}" name="QUOTED RATE" dataDxfId="545" totalsRowDxfId="544" dataCellStyle="Currency"/>
    <tableColumn id="8" xr3:uid="{89073261-6BC4-47E8-B4FF-9921244D8BEE}" name="EXTENSION" totalsRowFunction="sum" dataDxfId="543" totalsRowDxfId="542" dataCellStyle="Currency">
      <calculatedColumnFormula>IFERROR(IF(R24&lt;&gt;"",P24*R24,P24*Q24),"")</calculatedColumnFormula>
    </tableColumn>
    <tableColumn id="9" xr3:uid="{BD13B242-63FE-4D83-86EB-837D6F78F766}" name="WEIGHT" totalsRowFunction="count" dataDxfId="541" totalsRowDxfId="540" dataCellStyle="Normal 7 2"/>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3BD682-B2A1-4ACB-8958-D39F5A5CBE0C}" name="SWCRETE" displayName="SWCRETE" ref="B35:J49" totalsRowCount="1" headerRowDxfId="539" dataDxfId="537" totalsRowDxfId="535" headerRowBorderDxfId="538" tableBorderDxfId="536" headerRowCellStyle="Normal 7 2">
  <autoFilter ref="B35:J48" xr:uid="{003BD682-B2A1-4ACB-8958-D39F5A5CBE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D9BD47C-775D-4CA4-9910-99BF439D1598}" name="PROD #" totalsRowLabel="Total" dataDxfId="534" totalsRowDxfId="533" dataCellStyle="Normal 7 2">
      <calculatedColumnFormula>IFERROR(IF(C36="","",_xlfn.XLOOKUP(_xlfn.CONCAT(C36:E36),P!$Y:$Y,P!$X:$X,"UNAVAILABLE")),"UNAVAILABLE")</calculatedColumnFormula>
    </tableColumn>
    <tableColumn id="2" xr3:uid="{4F39B782-C89B-45E2-A562-5177E33E9E00}" name="PRODUCT" totalsRowLabel="Total" dataDxfId="532" totalsRowDxfId="531" dataCellStyle="Normal 7 2"/>
    <tableColumn id="3" xr3:uid="{D825A662-F18F-4A67-B64B-59E02D79BB70}" name="COLOR" dataDxfId="530" totalsRowDxfId="529" dataCellStyle="Normal 7 2"/>
    <tableColumn id="4" xr3:uid="{F07D8AEA-911A-4F6D-8067-B0A83AB60495}" name="UOM" dataDxfId="528" totalsRowDxfId="527" dataCellStyle="Normal 7 2"/>
    <tableColumn id="5" xr3:uid="{9901FFD7-E1D9-482B-9B71-1BA2C6ACEA8A}" name="QTY" dataDxfId="526" totalsRowDxfId="525" dataCellStyle="Currency"/>
    <tableColumn id="6" xr3:uid="{16401CB1-1625-4CB6-AFB9-51D0DBF175DC}" name="UNIT RATE" dataDxfId="524" totalsRowDxfId="523" dataCellStyle="Currency">
      <calculatedColumnFormula>IFERROR(VLOOKUP(SWCRETE[[#This Row],[PROD '#]],Table1[[Product '#]:[Cost]],3,FALSE),0)</calculatedColumnFormula>
    </tableColumn>
    <tableColumn id="7" xr3:uid="{9B956895-ECAF-45BF-88FD-F830226BA160}" name="QUOTED RATE" dataDxfId="522" totalsRowDxfId="521" dataCellStyle="Currency"/>
    <tableColumn id="8" xr3:uid="{58E945EC-F464-4CC6-95E5-1A28DA803768}" name="EXTENSION" totalsRowFunction="sum" dataDxfId="520" totalsRowDxfId="519" dataCellStyle="Currency">
      <calculatedColumnFormula>IFERROR(IF(H36&lt;&gt;"",F36*H36,F36*G36),"")</calculatedColumnFormula>
    </tableColumn>
    <tableColumn id="9" xr3:uid="{E8B58760-C15E-4568-AD24-BE5B345E3D50}" name="WEIGHT" totalsRowFunction="count" dataDxfId="518" totalsRowDxfId="517" dataCellStyle="Normal 7 2"/>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C5E0AB-680E-42FD-BDC8-770F6461D5A3}" name="SWEPOXY" displayName="SWEPOXY" ref="L5:T20" totalsRowCount="1" headerRowDxfId="516" dataDxfId="514" totalsRowDxfId="512" headerRowBorderDxfId="515" tableBorderDxfId="513" headerRowCellStyle="Normal 7 2">
  <autoFilter ref="L5:T19" xr:uid="{30C5E0AB-680E-42FD-BDC8-770F6461D5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46DD4BE-CB2A-467F-8E5C-4120B1ADA905}" name="PROD #" totalsRowLabel="Total" dataDxfId="511" totalsRowDxfId="510" dataCellStyle="Normal 7 2">
      <calculatedColumnFormula>IFERROR(IF(M6="","",_xlfn.XLOOKUP(_xlfn.CONCAT(M6:O6),P!$Y:$Y,P!$X:$X,"UNAVAILABLE")),"UNAVAILABLE")</calculatedColumnFormula>
    </tableColumn>
    <tableColumn id="2" xr3:uid="{578472FD-D89B-4607-9B91-00A3A18F6E3C}" name="PRODUCT" totalsRowLabel="Total" dataDxfId="509" totalsRowDxfId="508" dataCellStyle="Normal 7 2"/>
    <tableColumn id="4" xr3:uid="{01F42D19-5EB7-4025-A51F-6C9C9B1E9E10}" name="COLOR" dataDxfId="507" totalsRowDxfId="506" dataCellStyle="Normal 7 2"/>
    <tableColumn id="5" xr3:uid="{96567FFF-A910-457B-8C03-696A025219C4}" name="UOM" dataDxfId="505" totalsRowDxfId="504" dataCellStyle="Normal 7 2"/>
    <tableColumn id="6" xr3:uid="{751B51D2-79F0-4861-9F73-8CE21D1310DF}" name="QTY" dataDxfId="503" totalsRowDxfId="502" dataCellStyle="Currency"/>
    <tableColumn id="7" xr3:uid="{6BAFC4C2-44FB-49FC-8F62-C33B912ED79B}" name="UNIT RATE" dataDxfId="501" totalsRowDxfId="500" dataCellStyle="Currency">
      <calculatedColumnFormula>IFERROR(VLOOKUP(SWEPOXY[[#This Row],[PROD '#]],Table1[[Product '#]:[Cost]],3,FALSE),0)</calculatedColumnFormula>
    </tableColumn>
    <tableColumn id="8" xr3:uid="{AE5F49BE-1CB5-4A65-98B8-6CBD540A0290}" name="QUOTED RATE" dataDxfId="499" totalsRowDxfId="498" dataCellStyle="Currency"/>
    <tableColumn id="9" xr3:uid="{67185628-2DAD-4FE2-99EC-7B40A4DE746B}" name="EXTENSION" totalsRowFunction="sum" dataDxfId="497" totalsRowDxfId="496" dataCellStyle="Currency">
      <calculatedColumnFormula>IFERROR(IF(R6&lt;&gt;"",P6*R6,P6*Q6),"")</calculatedColumnFormula>
    </tableColumn>
    <tableColumn id="11" xr3:uid="{6A421C80-3528-491B-BBEB-AF682E516C80}" name="WEIGHT" totalsRowFunction="count" dataDxfId="495" totalsRowDxfId="494" dataCellStyle="Normal 7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72F616-44FC-4C30-8D2F-CA74BD68AB19}" name="SWMMA" displayName="SWMMA" ref="B52:J65" totalsRowCount="1" headerRowDxfId="493" dataDxfId="491" totalsRowDxfId="489" headerRowBorderDxfId="492" tableBorderDxfId="490" headerRowCellStyle="Normal 7 2">
  <autoFilter ref="B52:J64" xr:uid="{9B72F616-44FC-4C30-8D2F-CA74BD68AB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4C99406-0EDE-4B9A-A0CA-96BBDF1E6B15}" name="PROD #" totalsRowLabel="Total" dataDxfId="488" totalsRowDxfId="487" dataCellStyle="Normal 7 2">
      <calculatedColumnFormula>IFERROR(IF(C53="","",_xlfn.XLOOKUP(_xlfn.CONCAT(C53:E53),P!$Y:$Y,P!$X:$X,"UNAVAILABLE")),"UNAVAILABLE")</calculatedColumnFormula>
    </tableColumn>
    <tableColumn id="2" xr3:uid="{A8A32E34-DEEA-40A8-93D4-40DE6C3B6A96}" name="PRODUCT" totalsRowLabel="Total" dataDxfId="486" totalsRowDxfId="485" dataCellStyle="Normal 7 2"/>
    <tableColumn id="3" xr3:uid="{2F8E95B7-93C9-454E-8F04-688040B46843}" name="COLOR" dataDxfId="484" totalsRowDxfId="483" dataCellStyle="Normal 7 2"/>
    <tableColumn id="4" xr3:uid="{B106D8E5-4010-4AC5-BDB3-082BE2234745}" name="UOM" dataDxfId="482" totalsRowDxfId="481" dataCellStyle="Normal 7 2">
      <calculatedColumnFormula>IF(C53="","","KIT")</calculatedColumnFormula>
    </tableColumn>
    <tableColumn id="5" xr3:uid="{09D41749-681A-4C78-8A90-0FFB2BC770FD}" name="QTY" dataDxfId="480" totalsRowDxfId="479" dataCellStyle="Currency"/>
    <tableColumn id="6" xr3:uid="{AEDD2138-4589-4B90-8E52-95B1931CC1E2}" name="UNIT RATE" dataDxfId="478" totalsRowDxfId="477" dataCellStyle="Currency">
      <calculatedColumnFormula>IFERROR(VLOOKUP(SWMMA[[#This Row],[PROD '#]],Table1[[Product '#]:[Cost]],3,FALSE),0)</calculatedColumnFormula>
    </tableColumn>
    <tableColumn id="7" xr3:uid="{02D0B239-C4C1-4F85-BF65-25D0EFC0092B}" name="QUOTED RATE" dataDxfId="476" totalsRowDxfId="475" dataCellStyle="Currency"/>
    <tableColumn id="8" xr3:uid="{2854EC1C-AECE-496C-87C5-B86CCB1ED1E9}" name="EXTENSION" totalsRowFunction="sum" dataDxfId="474" totalsRowDxfId="473" dataCellStyle="Currency">
      <calculatedColumnFormula>IFERROR(IF(H53&lt;&gt;"",F53*H53,F53*G53),"")</calculatedColumnFormula>
    </tableColumn>
    <tableColumn id="9" xr3:uid="{BA1F893A-ABF9-42BE-B29A-F0233E1AAD1A}" name="WEIGHT" totalsRowFunction="count" dataDxfId="472" totalsRowDxfId="471" dataCellStyle="Normal 7 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65F79D-6F0E-4DAC-AEC5-B5E329151711}" name="SWURETHANE" displayName="SWURETHANE" ref="L35:T49" totalsRowCount="1" headerRowDxfId="470" dataDxfId="468" totalsRowDxfId="466" headerRowBorderDxfId="469" tableBorderDxfId="467" headerRowCellStyle="Normal 7 2">
  <autoFilter ref="L35:T48" xr:uid="{1765F79D-6F0E-4DAC-AEC5-B5E3291517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9422637-5FF6-4B5B-91B4-58016C08ADD8}" name="PROD #" totalsRowLabel="Total" dataDxfId="465" totalsRowDxfId="464" dataCellStyle="Normal 7 2">
      <calculatedColumnFormula>IFERROR(IF(M36="","",_xlfn.XLOOKUP(_xlfn.CONCAT(M36:O36),P!$Y:$Y,P!$X:$X,"UNAVAILABLE")),"UNAVAILABLE")</calculatedColumnFormula>
    </tableColumn>
    <tableColumn id="2" xr3:uid="{A7DA9C00-B7E1-4323-8835-6450466125A5}" name="PRODUCT" totalsRowLabel="Total" dataDxfId="463" totalsRowDxfId="462" dataCellStyle="Normal 7 2"/>
    <tableColumn id="3" xr3:uid="{4B0A196A-A194-49C2-B178-57C3D167EC83}" name="COLOR" dataDxfId="461" totalsRowDxfId="460" dataCellStyle="Normal 7 2"/>
    <tableColumn id="4" xr3:uid="{217254FB-A76D-4AE2-96AD-D22DBBE4CDE1}" name="UOM" dataDxfId="459" totalsRowDxfId="458" dataCellStyle="Normal 7 2"/>
    <tableColumn id="5" xr3:uid="{5FDFE13D-36C4-4849-B740-FEC23C5F8C72}" name="QTY" dataDxfId="457" totalsRowDxfId="456" dataCellStyle="Currency"/>
    <tableColumn id="6" xr3:uid="{36585074-2E31-4BE3-90B3-A660331C8F4B}" name="UNIT RATE" dataDxfId="455" totalsRowDxfId="454" dataCellStyle="Currency">
      <calculatedColumnFormula>IFERROR(VLOOKUP(SWURETHANE[[#This Row],[PROD '#]],Table1[[Product '#]:[Cost]],3,FALSE),0)</calculatedColumnFormula>
    </tableColumn>
    <tableColumn id="7" xr3:uid="{D392E6D5-BFAB-4B54-AC83-99B6B9681386}" name="QUOTED RATE" dataDxfId="453" totalsRowDxfId="452" dataCellStyle="Currency"/>
    <tableColumn id="8" xr3:uid="{3E43233B-90DD-4EA6-90EC-FF928D2CDF7E}" name="EXTENSION" totalsRowFunction="sum" dataDxfId="451" totalsRowDxfId="450" dataCellStyle="Currency">
      <calculatedColumnFormula>IFERROR(IF(R36&lt;&gt;"",P36*R36,P36*Q36),"")</calculatedColumnFormula>
    </tableColumn>
    <tableColumn id="9" xr3:uid="{6A988681-7C33-4E13-A5EE-991E0B550162}" name="WEIGHT" totalsRowFunction="count" dataDxfId="449" totalsRowDxfId="448" dataCellStyle="Normal 7 2"/>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963EFE-8F13-4741-83F4-87DB04EA86AB}" name="SWAGG" displayName="SWAGG" ref="L52:T65" totalsRowCount="1" headerRowDxfId="447" dataDxfId="445" totalsRowDxfId="443" headerRowBorderDxfId="446" tableBorderDxfId="444" headerRowCellStyle="Normal 7 2">
  <autoFilter ref="L52:T64" xr:uid="{0B963EFE-8F13-4741-83F4-87DB04EA86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E85FB5-F859-4439-B465-14859A9AE1DD}" name="PROD #" totalsRowLabel="Total" dataDxfId="442" totalsRowDxfId="441" dataCellStyle="Normal 7 2">
      <calculatedColumnFormula>IFERROR(IF(M53="","",_xlfn.XLOOKUP(_xlfn.CONCAT(M53:O53),P!$Y:$Y,P!$X:$X,"UNAVAILABLE")),"UNAVAILABLE")</calculatedColumnFormula>
    </tableColumn>
    <tableColumn id="2" xr3:uid="{DDC8DF6E-0AF8-4D65-AA72-E4FFBED41782}" name="PRODUCT" totalsRowLabel="Total" dataDxfId="440" totalsRowDxfId="439" dataCellStyle="Normal 7 2"/>
    <tableColumn id="3" xr3:uid="{E05FF7F8-F498-4743-9C7A-1AAE84EEB6B0}" name="COLOR" dataDxfId="438" totalsRowDxfId="437" dataCellStyle="Normal 7 2"/>
    <tableColumn id="4" xr3:uid="{6CF696BD-5AEE-474F-95E6-C4FA2FFF5C63}" name="UOM" dataDxfId="436" totalsRowDxfId="435" dataCellStyle="Normal 7 2"/>
    <tableColumn id="5" xr3:uid="{9E7FB78D-837D-4E9E-9B47-F3F3C7B79C16}" name="QTY" dataDxfId="434" totalsRowDxfId="433" dataCellStyle="Currency"/>
    <tableColumn id="6" xr3:uid="{8631E89E-38CF-4A4A-8EA0-6CBD4637B61F}" name="UNIT RATE" dataDxfId="432" totalsRowDxfId="431" dataCellStyle="Currency">
      <calculatedColumnFormula>IFERROR(VLOOKUP(SWAGG[[#This Row],[PROD '#]],Table1[[Product '#]:[Cost]],3,FALSE),0)</calculatedColumnFormula>
    </tableColumn>
    <tableColumn id="7" xr3:uid="{6C731659-A17C-45C9-A082-55C3AD01E842}" name="QUOTED RATE" dataDxfId="430" totalsRowDxfId="429" dataCellStyle="Currency"/>
    <tableColumn id="8" xr3:uid="{5553EF73-C613-4B4B-9953-405991F519BF}" name="EXTENSION" totalsRowFunction="sum" dataDxfId="428" totalsRowDxfId="427" dataCellStyle="Currency">
      <calculatedColumnFormula>IFERROR(IF(R53&lt;&gt;"",P53*R53,P53*Q53),"")</calculatedColumnFormula>
    </tableColumn>
    <tableColumn id="9" xr3:uid="{B875528B-1078-49A0-9987-E7798F3B841B}" name="WEIGHT" totalsRowFunction="count" dataDxfId="426" totalsRowDxfId="425" dataCellStyle="Normal 7 2"/>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693A628-D6ED-4321-9690-5C62FF309A11}" name="SWADDS" displayName="SWADDS" ref="L68:T87" totalsRowCount="1" headerRowDxfId="424" dataDxfId="422" totalsRowDxfId="420" headerRowBorderDxfId="423" tableBorderDxfId="421">
  <autoFilter ref="L68:T86" xr:uid="{5693A628-D6ED-4321-9690-5C62FF309A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9" xr3:uid="{F77E5CEF-3F50-4B50-BCB5-6AF6783401B0}" name="PROD #" dataDxfId="17" totalsRowDxfId="16">
      <calculatedColumnFormula>IF(M69="","",_xlfn.XLOOKUP(_xlfn.CONCAT(M69:O69),P!$J:$J,P!$I:$I,"UNAVAILABLE"))</calculatedColumnFormula>
    </tableColumn>
    <tableColumn id="1" xr3:uid="{885C4614-A63D-4C01-BB64-32BEDA0668C9}" name="PRODUCT" totalsRowLabel="Total" dataDxfId="15" totalsRowDxfId="14"/>
    <tableColumn id="3" xr3:uid="{AB97CE16-A339-498C-B955-26F13FE8D98B}" name="COLOR" dataDxfId="13" totalsRowDxfId="12"/>
    <tableColumn id="2" xr3:uid="{727AE51C-08AA-4E00-BF9A-3828B9DE9CB5}" name="UOM" dataDxfId="11" totalsRowDxfId="10"/>
    <tableColumn id="4" xr3:uid="{5609F7DA-CAAC-4A9E-A63C-741CE368E798}" name="QTY" dataDxfId="9" totalsRowDxfId="8"/>
    <tableColumn id="5" xr3:uid="{6B55DCD6-0493-4205-A52F-08B423A02BCB}" name="UNIT RATE" dataDxfId="7" totalsRowDxfId="6" dataCellStyle="Currency"/>
    <tableColumn id="6" xr3:uid="{BBD7D238-4942-4379-BECE-29A8ECACCAA1}" name=" " dataDxfId="5" totalsRowDxfId="4" dataCellStyle="Normal 7"/>
    <tableColumn id="7" xr3:uid="{19B9AFAE-1677-4867-A661-04C7A90A628D}" name="EXTENSION" totalsRowFunction="custom" dataDxfId="3" totalsRowDxfId="2">
      <totalsRowFormula>SUBTOTAL(109, SWADDS[EXTENSION])</totalsRowFormula>
    </tableColumn>
    <tableColumn id="8" xr3:uid="{316FD5A0-003C-47D7-B0CE-02C1896D4E89}" name="WEIGHT" totalsRowFunction="count" dataDxfId="1" totalsRowDxfId="0"/>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5534C4C-84FC-4EAD-8D3C-E7AE52C895AE}" name="SWLABOR" displayName="SWLABOR" ref="C68:I87" totalsRowCount="1" headerRowDxfId="419" dataDxfId="417" totalsRowDxfId="415" headerRowBorderDxfId="418" tableBorderDxfId="416" totalsRowBorderDxfId="414">
  <autoFilter ref="C68:I86" xr:uid="{05534C4C-84FC-4EAD-8D3C-E7AE52C895A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C78B6C-9CBF-4998-9973-8DADB2DDBB33}" name="ACTIVITY" totalsRowLabel="Total" dataDxfId="413" totalsRowDxfId="412"/>
    <tableColumn id="2" xr3:uid="{DBF95CDC-B865-4046-ABDA-B1A7E2F3F3DE}" name=" " dataDxfId="411" totalsRowDxfId="410"/>
    <tableColumn id="3" xr3:uid="{13E16A4A-0927-4EAF-B678-CDEA17608612}" name="  " dataDxfId="409" totalsRowDxfId="408"/>
    <tableColumn id="4" xr3:uid="{0CC86847-E2B8-41C0-9F90-30D289E31484}" name="MEN" dataDxfId="407" totalsRowDxfId="406"/>
    <tableColumn id="5" xr3:uid="{29DA245E-6C3D-4F33-AFA2-964B8F225130}" name="DAYS / RATE" dataDxfId="405" totalsRowDxfId="404"/>
    <tableColumn id="6" xr3:uid="{7F2AFADC-5CF7-4BB6-8C98-8DC76CC17A7B}" name="COST / DAY" dataDxfId="403" totalsRowDxfId="402" dataCellStyle="Currency"/>
    <tableColumn id="7" xr3:uid="{19BF4AF1-12ED-4EF4-9371-2A978F885217}" name="EXTENSION" totalsRowFunction="sum" dataDxfId="401" totalsRowDxfId="400" dataCellStyle="Currency"/>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8F4DC5C-316A-42E4-9604-6D19946203BC}" name="RIOEPOXY" displayName="RIOEPOXY" ref="B5:I19" totalsRowCount="1" headerRowDxfId="399" dataDxfId="397" totalsRowDxfId="395" headerRowBorderDxfId="398" tableBorderDxfId="396" headerRowCellStyle="Normal 7 2">
  <autoFilter ref="B5:I18" xr:uid="{58F4DC5C-316A-42E4-9604-6D19946203B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8743645-4D25-4B44-95AD-12BA03EDE5E5}" name="PROD #" totalsRowLabel="Total" dataDxfId="394" totalsRowDxfId="393" dataCellStyle="Normal 7 2"/>
    <tableColumn id="2" xr3:uid="{96B6831D-D41A-497B-9F07-31863F36A0A8}" name="PRODUCT" totalsRowLabel="Total" dataDxfId="392" totalsRowDxfId="391" dataCellStyle="Normal 7 2"/>
    <tableColumn id="3" xr3:uid="{DE915481-11B5-4F05-88EC-D9EE2173A565}" name="COLOR" dataDxfId="390" totalsRowDxfId="389" dataCellStyle="Normal 7 2">
      <calculatedColumnFormula>IFERROR(IF(C6="","","N/A"),"")</calculatedColumnFormula>
    </tableColumn>
    <tableColumn id="4" xr3:uid="{7F7E1EBC-7696-48E5-BAD2-113AEF1AE9AC}" name="UOM" dataDxfId="388" totalsRowDxfId="387" dataCellStyle="Normal 7 2"/>
    <tableColumn id="5" xr3:uid="{A8A3CE7D-C0D9-402F-94CC-D8B454A3FAED}" name="QTY" dataDxfId="386" totalsRowDxfId="385" dataCellStyle="Currency"/>
    <tableColumn id="6" xr3:uid="{62F826E2-F12E-41CA-894A-CE89509D6928}" name="UNIT RATE" dataDxfId="384" totalsRowDxfId="383" dataCellStyle="Currency">
      <calculatedColumnFormula>IFERROR(VLOOKUP(B6,P!$X:$Z,3,FALSE),0)</calculatedColumnFormula>
    </tableColumn>
    <tableColumn id="7" xr3:uid="{6B3111BD-A867-43E2-92BE-7FC616ACD35C}" name="QUOTED RATE" dataDxfId="382" totalsRowDxfId="381" dataCellStyle="Currency"/>
    <tableColumn id="8" xr3:uid="{6257A566-696F-40F7-B6B7-C4E0C2447BC8}" name="EXTENSION" totalsRowFunction="sum" dataDxfId="380" totalsRowDxfId="379" dataCellStyle="Currency">
      <calculatedColumnFormula>IF(RIOEPOXY[[#This Row],[QUOTED RATE]]="",RIOEPOXY[[#This Row],[UNIT RATE]]*RIOEPOXY[[#This Row],[QTY]],RIOEPOXY[[#This Row],[QUOTED RATE]]*RIOEPOXY[[#This Row],[QTY]])</calculatedColumnFormula>
    </tableColumn>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0A914B2-C11D-4BF6-8DE8-FF050A2BDC12}" name="RIOCOLOR" displayName="RIOCOLOR" ref="B22:I34" totalsRowCount="1" headerRowDxfId="378" dataDxfId="376" totalsRowDxfId="374" headerRowBorderDxfId="377" tableBorderDxfId="375" headerRowCellStyle="Normal 7 2">
  <autoFilter ref="B22:I33" xr:uid="{E0A914B2-C11D-4BF6-8DE8-FF050A2BDC1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FFDAF6B-99F6-480C-AF4E-4A3D2606A279}" name="PROD #" totalsRowLabel="Total" dataDxfId="373" totalsRowDxfId="372" dataCellStyle="Normal 7 2">
      <calculatedColumnFormula>IF(C23="","",_xlfn.XLOOKUP(_xlfn.CONCAT(C23:E23),P!$J:$J,P!$I:$I,"UNAVAILABLE"))</calculatedColumnFormula>
    </tableColumn>
    <tableColumn id="2" xr3:uid="{E05AD6CA-ED3C-4406-A7F0-6F145767501C}" name="PRODUCT" totalsRowLabel="Total" dataDxfId="371" totalsRowDxfId="370" dataCellStyle="Normal 7 2"/>
    <tableColumn id="3" xr3:uid="{B90882BD-1A14-4FE4-9B55-EE8F8811ED81}" name="COLOR" dataDxfId="369" totalsRowDxfId="368" dataCellStyle="Normal 7 2"/>
    <tableColumn id="4" xr3:uid="{07A41E05-D815-49C5-A3E0-7620E5835A6E}" name="UOM" dataDxfId="367" totalsRowDxfId="366" dataCellStyle="Normal 7 2"/>
    <tableColumn id="5" xr3:uid="{F52A1EEE-6D70-4562-A3F4-FF3F5651102C}" name="QTY" dataDxfId="365" totalsRowDxfId="364" dataCellStyle="Currency"/>
    <tableColumn id="6" xr3:uid="{46BC37AF-18D2-4697-A951-D79E0931698C}" name="UNIT RATE" dataDxfId="363" totalsRowDxfId="362" dataCellStyle="Currency">
      <calculatedColumnFormula>IFERROR(VLOOKUP(B23,P!$X:$Z,3,FALSE),0)</calculatedColumnFormula>
    </tableColumn>
    <tableColumn id="7" xr3:uid="{53043DBC-07CF-40CB-A75D-963DEE2D2FCA}" name="QUOTED RATE" dataDxfId="361" totalsRowDxfId="360" dataCellStyle="Currency"/>
    <tableColumn id="8" xr3:uid="{CCF35845-4600-482C-B482-B23C513F8684}" name="EXTENSION" totalsRowFunction="sum" dataDxfId="359" totalsRowDxfId="358" dataCellStyle="Currency">
      <calculatedColumnFormula>IF(RIOCOLOR[[#This Row],[QUOTED RATE]]="",RIOCOLOR[[#This Row],[UNIT RATE]]*RIOCOLOR[[#This Row],[QTY]],RIOCOLOR[[#This Row],[QUOTED RATE]]*RIOCOLOR[[#This Row],[QTY]])</calculatedColumnFormula>
    </tableColumn>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067D474-D090-4A7C-BB3B-AF30B923DC81}" name="RIOPOLY" displayName="RIOPOLY" ref="B37:I51" totalsRowCount="1" headerRowDxfId="357" dataDxfId="355" totalsRowDxfId="353" headerRowBorderDxfId="356" tableBorderDxfId="354" headerRowCellStyle="Normal 7 2">
  <autoFilter ref="B37:I50" xr:uid="{3067D474-D090-4A7C-BB3B-AF30B923DC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6A4C073-E6E3-41F1-8AEF-F06BC1AEF6ED}" name="PROD #" totalsRowLabel="Total" dataDxfId="352" totalsRowDxfId="351" dataCellStyle="Normal 7 2">
      <calculatedColumnFormula>IF(C38="","",_xlfn.XLOOKUP(_xlfn.CONCAT(C38:E38),P!$J:$J,P!$I:$I,"UNAVAILABLE"))</calculatedColumnFormula>
    </tableColumn>
    <tableColumn id="2" xr3:uid="{640022FA-644E-46E0-953B-A86E37BDB8B4}" name="PRODUCT" totalsRowLabel="Total" dataDxfId="350" totalsRowDxfId="349" dataCellStyle="Normal 7 2"/>
    <tableColumn id="3" xr3:uid="{EEF20756-63A6-4242-A81C-CC40B057EB14}" name="COLOR" dataDxfId="348" totalsRowDxfId="347" dataCellStyle="Normal 7 2">
      <calculatedColumnFormula>IFERROR(IF(C38="","","N/A"),"")</calculatedColumnFormula>
    </tableColumn>
    <tableColumn id="4" xr3:uid="{37E6B332-1A49-43EC-A24F-1086445CD2B7}" name="UOM" dataDxfId="346" totalsRowDxfId="345" dataCellStyle="Normal 7 2"/>
    <tableColumn id="5" xr3:uid="{27C5BB06-19B2-4F21-8215-E77861254F09}" name="QTY" dataDxfId="344" totalsRowDxfId="343" dataCellStyle="Currency"/>
    <tableColumn id="6" xr3:uid="{F85AE444-A755-4C9F-B008-AED6E2B2517C}" name="UNIT RATE" dataDxfId="342" totalsRowDxfId="341" dataCellStyle="Currency">
      <calculatedColumnFormula>IFERROR(VLOOKUP(B38,P!$X:$Z,3,FALSE),0)</calculatedColumnFormula>
    </tableColumn>
    <tableColumn id="7" xr3:uid="{7512045F-4321-4203-98A6-D6EE2C6D19A4}" name="QUOTED RATE" dataDxfId="340" totalsRowDxfId="339" dataCellStyle="Currency"/>
    <tableColumn id="8" xr3:uid="{CDA8B56C-314A-40DA-A8E3-65D890A993BB}" name="EXTENSION" totalsRowFunction="sum" dataDxfId="338" totalsRowDxfId="337" dataCellStyle="Currency">
      <calculatedColumnFormula>IF(RIOPOLY[[#This Row],[QUOTED RATE]]="",RIOPOLY[[#This Row],[UNIT RATE]]*RIOPOLY[[#This Row],[QTY]],RIOPOLY[[#This Row],[QUOTED RATE]]*RIOPOLY[[#This Row],[QTY]])</calculatedColumnFormula>
    </tableColumn>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6AD066E-8FA1-48E7-8079-7E81C3BBC4D8}" name="RIOMMA" displayName="RIOMMA" ref="L37:S51" totalsRowCount="1" headerRowDxfId="336" dataDxfId="334" totalsRowDxfId="332" headerRowBorderDxfId="335" tableBorderDxfId="333" headerRowCellStyle="Normal 7 2">
  <autoFilter ref="L37:S50" xr:uid="{36AD066E-8FA1-48E7-8079-7E81C3BBC4D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F6378EF-68DA-4BA3-ADD9-F1A7FAEDFC14}" name="PROD #" totalsRowLabel="Total" dataDxfId="331" totalsRowDxfId="330" dataCellStyle="Normal 7 2">
      <calculatedColumnFormula>IF(M38="","",_xlfn.XLOOKUP(_xlfn.CONCAT(M38:O38),P!$J:$J,P!$I:$I,"UNAVAILABLE"))</calculatedColumnFormula>
    </tableColumn>
    <tableColumn id="2" xr3:uid="{B77E8FBC-19FD-4ABD-8C74-1BB49C1E958C}" name="PRODUCT" totalsRowLabel="Total" dataDxfId="329" totalsRowDxfId="328" dataCellStyle="Normal 7 2"/>
    <tableColumn id="3" xr3:uid="{2137D9DB-4122-4B78-A605-4D3F7808B80D}" name="COLOR" dataDxfId="327" totalsRowDxfId="326" dataCellStyle="Normal 7 2">
      <calculatedColumnFormula>IFERROR(IF(M38="","","N/A"),"")</calculatedColumnFormula>
    </tableColumn>
    <tableColumn id="4" xr3:uid="{5C7E8AA3-2218-4ADA-AEB9-85A7FAF26256}" name="UOM" dataDxfId="325" totalsRowDxfId="324" dataCellStyle="Normal 7 2"/>
    <tableColumn id="5" xr3:uid="{F5F1B80B-8526-4532-9206-923561C1EE6E}" name="QTY" dataDxfId="323" totalsRowDxfId="322" dataCellStyle="Currency"/>
    <tableColumn id="6" xr3:uid="{FCE177A0-03BA-4599-B6A7-9C5B8EE7B9BE}" name="UNIT RATE" dataDxfId="321" totalsRowDxfId="320" dataCellStyle="Currency">
      <calculatedColumnFormula>IFERROR(VLOOKUP(L38,P!$X:$Z,3,FALSE),0)</calculatedColumnFormula>
    </tableColumn>
    <tableColumn id="7" xr3:uid="{95206C81-FC79-43B0-A165-A865159A72F7}" name="QUOTED RATE" dataDxfId="319" totalsRowDxfId="318" dataCellStyle="Currency"/>
    <tableColumn id="8" xr3:uid="{6D18E339-377C-4AAD-90B2-95A04B033E16}" name="EXTENSION" totalsRowFunction="sum" dataDxfId="317" totalsRowDxfId="316" dataCellStyle="Currency">
      <calculatedColumnFormula>IF(RIOMMA[[#This Row],[QUOTED RATE]]="",RIOMMA[[#This Row],[UNIT RATE]]*RIOMMA[[#This Row],[QTY]],RIOMMA[[#This Row],[QUOTED RATE]]*RIOMMA[[#This Row],[QTY]])</calculatedColumnFormula>
    </tableColumn>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7F710EC-0E80-4F21-87E2-87CB303011A1}" name="Table21" displayName="Table21" ref="L5:S19" totalsRowCount="1" headerRowDxfId="315" dataDxfId="313" totalsRowDxfId="311" headerRowBorderDxfId="314" tableBorderDxfId="312" headerRowCellStyle="Normal 7 2">
  <autoFilter ref="L5:S18" xr:uid="{A7F710EC-0E80-4F21-87E2-87CB30301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6AB529-9C5E-4C4F-A2D5-841290A5AA3E}" name="PROD #" totalsRowLabel="Total" dataDxfId="310" totalsRowDxfId="309" dataCellStyle="Normal 7 2">
      <calculatedColumnFormula>IF(M6="","",_xlfn.XLOOKUP(_xlfn.CONCAT(M6:O6),P!$J:$J,P!$I:$I,"UNAVAILABLE"))</calculatedColumnFormula>
    </tableColumn>
    <tableColumn id="2" xr3:uid="{7F9C5409-8CA4-4E59-9FB8-6CA5298676B2}" name="PRODUCT" totalsRowLabel="Total" dataDxfId="308" totalsRowDxfId="307" dataCellStyle="Normal 7 2"/>
    <tableColumn id="3" xr3:uid="{4B495CA4-6D68-44D2-BB29-56B66551952A}" name="COLOR" dataDxfId="306" totalsRowDxfId="305" dataCellStyle="Normal 7 2">
      <calculatedColumnFormula>IFERROR(IF(M6="","","N/A"),"")</calculatedColumnFormula>
    </tableColumn>
    <tableColumn id="4" xr3:uid="{1F7771A0-0107-424B-9F6B-C56DB939FFAB}" name="UOM" dataDxfId="304" totalsRowDxfId="303" dataCellStyle="Normal 7 2"/>
    <tableColumn id="5" xr3:uid="{13AE19B3-6CD1-43EB-A719-6F498DE8A1D2}" name="QTY" dataDxfId="302" totalsRowDxfId="301" dataCellStyle="Currency"/>
    <tableColumn id="6" xr3:uid="{AE77CDF6-4D32-42CA-89F6-989DCD90DB66}" name="UNIT RATE" dataDxfId="300" totalsRowDxfId="299" dataCellStyle="Currency">
      <calculatedColumnFormula>IF($U$6&gt;1,IFERROR(VLOOKUP(L6,P!$X:$Z,3,FALSE),0)+(($U$6-SUM($U$10:$U$18))/COUNTA($U$10:$U$18)*28.05),IFERROR(VLOOKUP(L6,P!$X:$Z,3,FALSE),0))</calculatedColumnFormula>
    </tableColumn>
    <tableColumn id="7" xr3:uid="{0D07072C-9B5F-4386-96EE-D24AFB2841F2}" name="QUOTED RATE" dataDxfId="298" totalsRowDxfId="297" dataCellStyle="Currency"/>
    <tableColumn id="8" xr3:uid="{D56145DE-73E2-439F-A666-B6E2B62440DB}" name="EXTENSION" totalsRowFunction="sum" dataDxfId="296" totalsRowDxfId="295" dataCellStyle="Currency">
      <calculatedColumnFormula>IF(Table21[[#This Row],[QUOTED RATE]]="",Table21[[#This Row],[UNIT RATE]]*Table21[[#This Row],[QTY]],Table21[[#This Row],[QUOTED RATE]]*Table21[[#This Row],[QTY]])</calculatedColumnFormula>
    </tableColumn>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27DDDB5-40E0-4119-978F-422FC162A80D}" name="Table22" displayName="Table22" ref="L22:S34" totalsRowCount="1" headerRowDxfId="294" dataDxfId="292" totalsRowDxfId="290" headerRowBorderDxfId="293" tableBorderDxfId="291" headerRowCellStyle="Normal 7 2">
  <autoFilter ref="L22:S33" xr:uid="{B27DDDB5-40E0-4119-978F-422FC162A80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04FE6C1-34E1-497E-978C-BE171F437196}" name="PROD #" totalsRowLabel="Total" dataDxfId="289" totalsRowDxfId="288" dataCellStyle="Normal 7 2">
      <calculatedColumnFormula>IF(M23="","",_xlfn.XLOOKUP(_xlfn.CONCAT(M23:O23),P!$J:$J,P!$I:$I,"UNAVAILABLE"))</calculatedColumnFormula>
    </tableColumn>
    <tableColumn id="2" xr3:uid="{881FB7E9-7A14-455E-8819-EE112440F306}" name="PRODUCT" totalsRowLabel="Total" dataDxfId="287" totalsRowDxfId="286" dataCellStyle="Normal 7 2"/>
    <tableColumn id="3" xr3:uid="{DDC529AF-1214-4CA0-B340-858284422730}" name="COLOR" dataDxfId="285" totalsRowDxfId="284" dataCellStyle="Normal 7 2"/>
    <tableColumn id="4" xr3:uid="{269F8616-F3D4-4F27-9926-2651FEF8F2A7}" name="UOM" dataDxfId="283" totalsRowDxfId="282" dataCellStyle="Normal 7 2"/>
    <tableColumn id="5" xr3:uid="{B684F83E-A55D-4A95-9428-B208F92F9151}" name="QTY" dataDxfId="281" totalsRowDxfId="280" dataCellStyle="Currency"/>
    <tableColumn id="6" xr3:uid="{099AB3D2-004E-4C82-9B9C-60D5A9218134}" name="UNIT RATE" dataDxfId="279" totalsRowDxfId="278" dataCellStyle="Currency">
      <calculatedColumnFormula>IFERROR(VLOOKUP(L23,P!$X:$Z,3,FALSE),0)</calculatedColumnFormula>
    </tableColumn>
    <tableColumn id="7" xr3:uid="{76072B3A-3CFF-4F5E-B38E-719C464F5093}" name="QUOTED RATE" dataDxfId="277" totalsRowDxfId="276" dataCellStyle="Currency"/>
    <tableColumn id="8" xr3:uid="{4EF7994E-0E43-4648-85B9-0C232FFBD88E}" name="EXTENSION" totalsRowFunction="sum" dataDxfId="275" totalsRowDxfId="274" dataCellStyle="Currency">
      <calculatedColumnFormula>IF(Table22[[#This Row],[QUOTED RATE]]="",Table22[[#This Row],[UNIT RATE]]*Table22[[#This Row],[QTY]],Table22[[#This Row],[QUOTED RATE]]*Table22[[#This Row],[QTY]])</calculatedColumnFormula>
    </tableColumn>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3E84576-9B4E-46EF-9A54-78E6C54640C9}" name="RIOLABOR" displayName="RIOLABOR" ref="C54:I73" totalsRowCount="1" headerRowDxfId="273" dataDxfId="271" totalsRowDxfId="269" headerRowBorderDxfId="272" tableBorderDxfId="270" totalsRowBorderDxfId="268">
  <autoFilter ref="C54:I72" xr:uid="{A3E84576-9B4E-46EF-9A54-78E6C54640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4350E93-5A37-4D6D-AF0A-D70DA1C3A24A}" name="ACTIVITY" totalsRowLabel="Total" dataDxfId="267" totalsRowDxfId="266"/>
    <tableColumn id="2" xr3:uid="{7272C678-6796-486A-8A6E-4B13C7683257}" name=" " dataDxfId="265" totalsRowDxfId="264"/>
    <tableColumn id="3" xr3:uid="{244F777A-1C83-404F-ADD7-FFF76868D878}" name="  " dataDxfId="263" totalsRowDxfId="262"/>
    <tableColumn id="4" xr3:uid="{D3D8846A-B294-47BA-8265-391C9825D3F3}" name="MEN" dataDxfId="261" totalsRowDxfId="260"/>
    <tableColumn id="5" xr3:uid="{E9FB8A8F-811A-4BF6-96CE-06B85754BF9C}" name="DAYS / RATE" dataDxfId="259" totalsRowDxfId="258"/>
    <tableColumn id="6" xr3:uid="{68394ACD-545E-419A-A43F-F2E4190C144F}" name="COST / DAY" dataDxfId="257" totalsRowDxfId="256" dataCellStyle="Currency"/>
    <tableColumn id="7" xr3:uid="{F3AD5E18-FEB8-4268-A72D-78ED8E7A1EA9}" name="EXTENSION" totalsRowFunction="sum" dataDxfId="255" totalsRowDxfId="254" dataCellStyle="Currency">
      <calculatedColumnFormula>F55*RIOLABOR[[#This Row],[COST / DAY]]</calculatedColumnFormula>
    </tableColumn>
  </tableColumns>
  <tableStyleInfo name="Table Style 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EAC904B-C599-420E-85BF-FBDE762A2011}" name="RIOADDS" displayName="RIOADDS" ref="L54:S73" totalsRowCount="1" headerRowDxfId="253" dataDxfId="251" totalsRowDxfId="249" headerRowBorderDxfId="252" tableBorderDxfId="250">
  <autoFilter ref="L54:S72" xr:uid="{6EAC904B-C599-420E-85BF-FBDE762A201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0FFD63CB-9AE0-4D2D-89DB-E8E1BB31424C}" name="PROD #" dataDxfId="248" totalsRowDxfId="247" dataCellStyle="Normal 7"/>
    <tableColumn id="1" xr3:uid="{178A9892-88CE-433C-B2A1-8E56968011E7}" name="PRODUCT" totalsRowLabel="Total" dataDxfId="246" totalsRowDxfId="245"/>
    <tableColumn id="2" xr3:uid="{6BD76AA4-BE5E-422E-8629-6BD980380282}" name="COLOR" dataDxfId="244" totalsRowDxfId="243"/>
    <tableColumn id="3" xr3:uid="{F4BC155B-C1FB-4916-A2B6-5B6ADE5A336B}" name="UOM" dataDxfId="242" totalsRowDxfId="241"/>
    <tableColumn id="4" xr3:uid="{4B0696AC-0145-4438-9272-B2560DA8FCD9}" name="QTY" dataDxfId="240" totalsRowDxfId="239"/>
    <tableColumn id="5" xr3:uid="{04D0B583-C335-4A23-8956-3AA9456C0EA4}" name="UNIT RATE" dataDxfId="238" totalsRowDxfId="237" dataCellStyle="Currency"/>
    <tableColumn id="6" xr3:uid="{39ED5B18-2AC4-4575-BB29-FE92DBEFBDC6}" name=" " dataDxfId="236" totalsRowDxfId="235" dataCellStyle="Normal 7"/>
    <tableColumn id="7" xr3:uid="{7E68FAD8-8EAC-4571-BF0B-8D3BA0EDFCB8}" name="EXTENSION" totalsRowFunction="sum" dataDxfId="234" totalsRowDxfId="233" dataCellStyle="Currency">
      <calculatedColumnFormula>Q55*RIOADDS[[#This Row],[QTY]]</calculatedColumnFormula>
    </tableColumn>
  </tableColumns>
  <tableStyleInfo name="Table Style 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7CF56AD-AB4B-443F-979F-54DFA3F6FBE1}" name="SIKAPRIME" displayName="SIKAPRIME" ref="B5:I15" totalsRowCount="1" headerRowDxfId="232" dataDxfId="230" totalsRowDxfId="228" headerRowBorderDxfId="231" tableBorderDxfId="229" headerRowCellStyle="Currency">
  <autoFilter ref="B5:I14" xr:uid="{C7CF56AD-AB4B-443F-979F-54DFA3F6FBE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BE268FC-0D68-4BFB-8D53-532ECB1D72BE}" name="PROD #" totalsRowLabel="Total" dataDxfId="227" totalsRowDxfId="226" dataCellStyle="Normal 7 2">
      <calculatedColumnFormula>IFERROR(IF(C6="","",_xlfn.XLOOKUP(_xlfn.CONCAT(C6:E6),$AF:$AF,$AE:$AE,"UNAVAILABLE")),"UNAVAILABLE")</calculatedColumnFormula>
    </tableColumn>
    <tableColumn id="2" xr3:uid="{F3D2CAA0-7312-4659-951D-F7213D2DC8E9}" name="PRODUCT" totalsRowLabel="Total" dataDxfId="225" totalsRowDxfId="224" dataCellStyle="Normal 7 2"/>
    <tableColumn id="3" xr3:uid="{7299C439-1197-46D4-B529-4C6B21A44B82}" name="COLOR" dataDxfId="223" totalsRowDxfId="222" dataCellStyle="Normal 7 2">
      <calculatedColumnFormula>IF(SIKAPRIME[[#This Row],[PRODUCT]]="","","N/A")</calculatedColumnFormula>
    </tableColumn>
    <tableColumn id="4" xr3:uid="{58936872-06B6-4AB2-89D0-80CC59B9E05C}" name="UOM" dataDxfId="221" totalsRowDxfId="220" dataCellStyle="Normal 7 2">
      <calculatedColumnFormula>IF(C6="","",IF(C6=$Z$43,$AI$11,$AI$12))</calculatedColumnFormula>
    </tableColumn>
    <tableColumn id="5" xr3:uid="{0043BD63-9EA2-42A2-89FF-C5CA72013BDA}" name="QTY" dataDxfId="219" totalsRowDxfId="218" dataCellStyle="Currency"/>
    <tableColumn id="6" xr3:uid="{D249C24E-AE1B-4F08-A2C1-BA41DF41D4E4}" name="UNIT RATE" dataDxfId="217" totalsRowDxfId="216" dataCellStyle="Currency">
      <calculatedColumnFormula>IFERROR(VLOOKUP(B6,P!$X:$Z,3,FALSE),0)</calculatedColumnFormula>
    </tableColumn>
    <tableColumn id="7" xr3:uid="{468AB33B-16AB-4E77-93DD-C6AF7FC4465B}" name="QUOTED RATE" dataDxfId="215" totalsRowDxfId="214" dataCellStyle="Currency"/>
    <tableColumn id="8" xr3:uid="{9BDE73E9-E609-4896-BD7B-088EC80A32B9}" name="EXTENSION" totalsRowFunction="sum" dataDxfId="213" totalsRowDxfId="212" dataCellStyle="Currency">
      <calculatedColumnFormula>IF(SIKAPRIME[[#This Row],[QUOTED RATE]]="",SIKAPRIME[[#This Row],[UNIT RATE]]*SIKAPRIME[[#This Row],[QTY]],SIKAPRIME[[#This Row],[QUOTED RATE]]*SIKAPRIME[[#This Row],[QTY]])</calculatedColumnFormula>
    </tableColumn>
  </tableColumns>
  <tableStyleInfo name="Table Style 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401E49F-6F79-4653-B039-A98B7A42BF4A}" name="SIKAEPOXY" displayName="SIKAEPOXY" ref="B18:I28" totalsRowCount="1" headerRowDxfId="211" dataDxfId="209" totalsRowDxfId="207" headerRowBorderDxfId="210" tableBorderDxfId="208" headerRowCellStyle="Currency">
  <autoFilter ref="B18:I27" xr:uid="{1401E49F-6F79-4653-B039-A98B7A42BF4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59EBCAE-A322-4AC3-9F9C-06FAFEBE3FFD}" name="PROD #" totalsRowLabel="Total" dataDxfId="206" totalsRowDxfId="205" dataCellStyle="Normal 7 2"/>
    <tableColumn id="2" xr3:uid="{CE8C34AE-8D0A-45A8-B43B-735D47EEEFC0}" name="PRODUCT" totalsRowLabel="Total" dataDxfId="204" totalsRowDxfId="203" dataCellStyle="Normal 7 2"/>
    <tableColumn id="3" xr3:uid="{E09E95CC-8E0D-4827-B6F9-A95D22FCD1FA}" name="COLOR" dataDxfId="202" totalsRowDxfId="201" dataCellStyle="Normal 7 2"/>
    <tableColumn id="4" xr3:uid="{325B7033-1A36-4D8B-B4A4-025BA4548E1B}" name="UOM" dataDxfId="200" totalsRowDxfId="199" dataCellStyle="Normal 7 2"/>
    <tableColumn id="5" xr3:uid="{3201CB46-46B9-488D-AEC6-40C3451C953D}" name="QTY" dataDxfId="198" totalsRowDxfId="197" dataCellStyle="Currency"/>
    <tableColumn id="6" xr3:uid="{52B3D761-59CE-4240-BD7C-E2B2EC89C13F}" name="UNIT RATE" dataDxfId="196" totalsRowDxfId="195" dataCellStyle="Currency">
      <calculatedColumnFormula>IFERROR(VLOOKUP(B19,P!$X:$Z,3,FALSE),0)</calculatedColumnFormula>
    </tableColumn>
    <tableColumn id="7" xr3:uid="{303CF2F2-676E-4B87-9568-26159FB1773C}" name="QUOTED RATE" dataDxfId="194" totalsRowDxfId="193" dataCellStyle="Currency"/>
    <tableColumn id="8" xr3:uid="{CF95F74C-8FD8-4D80-A483-FAE4A75DE77A}" name="EXTENSION" totalsRowFunction="sum" dataDxfId="192" totalsRowDxfId="191" dataCellStyle="Currency">
      <calculatedColumnFormula>IF(SIKAEPOXY[[#This Row],[QUOTED RATE]]="",SIKAEPOXY[[#This Row],[UNIT RATE]]*SIKAEPOXY[[#This Row],[QTY]],SIKAEPOXY[[#This Row],[QUOTED RATE]]*SIKAEPOXY[[#This Row],[QTY]])</calculatedColumnFormula>
    </tableColumn>
  </tableColumns>
  <tableStyleInfo name="Table Style 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E6F991-C1DD-45B5-9C19-33C9BF248702}" name="SIKAPOLY" displayName="SIKAPOLY" ref="B31:I41" totalsRowCount="1" headerRowDxfId="190" dataDxfId="188" totalsRowDxfId="186" headerRowBorderDxfId="189" tableBorderDxfId="187" headerRowCellStyle="Normal 7 2">
  <autoFilter ref="B31:I40" xr:uid="{4EE6F991-C1DD-45B5-9C19-33C9BF24870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F18C085-648A-4C91-9B2E-BB50DA55D56C}" name="PROD #" totalsRowLabel="Total" dataDxfId="185" totalsRowDxfId="184" dataCellStyle="Normal 7 2"/>
    <tableColumn id="2" xr3:uid="{BA6B17BD-A69C-443C-A1A2-41AA2A08C88A}" name="PRODUCT" totalsRowLabel="Total" dataDxfId="183" totalsRowDxfId="182" dataCellStyle="Normal 7 2"/>
    <tableColumn id="3" xr3:uid="{EBE6367C-F4BE-4407-9EF4-8A4B3F39E71F}" name="COLOR" dataDxfId="181" totalsRowDxfId="180" dataCellStyle="Normal 7 2">
      <calculatedColumnFormula>IF(SIKAPOLY[[#This Row],[PRODUCT]]="","","N/A")</calculatedColumnFormula>
    </tableColumn>
    <tableColumn id="4" xr3:uid="{8B3469FF-297C-4486-A597-ED3CAA7C52ED}" name="UOM" dataDxfId="179" totalsRowDxfId="178" dataCellStyle="Normal 7 2"/>
    <tableColumn id="5" xr3:uid="{E59CC91E-9F49-4BB0-876E-53181F8318EE}" name="QTY" dataDxfId="177" totalsRowDxfId="176" dataCellStyle="Currency"/>
    <tableColumn id="6" xr3:uid="{E1519239-AA60-472A-B67E-8EA56948F59E}" name="UNIT RATE" dataDxfId="175" totalsRowDxfId="174" dataCellStyle="Currency">
      <calculatedColumnFormula>IFERROR(VLOOKUP(B32,P!$X:$Z,3,FALSE),0)</calculatedColumnFormula>
    </tableColumn>
    <tableColumn id="7" xr3:uid="{E4FA08C4-69CF-4BAB-9AE6-F231C3B027BF}" name="QUOTED RATE" dataDxfId="173" totalsRowDxfId="172" dataCellStyle="Currency"/>
    <tableColumn id="8" xr3:uid="{BC8C8881-17EB-4249-A40A-F16E2C0F600C}" name="EXTENSION" totalsRowFunction="sum" dataDxfId="171" totalsRowDxfId="170" dataCellStyle="Currency">
      <calculatedColumnFormula>IF(SIKAPOLY[[#This Row],[QUOTED RATE]]="",SIKAPOLY[[#This Row],[UNIT RATE]]*SIKAPOLY[[#This Row],[QTY]],SIKAPOLY[[#This Row],[QUOTED RATE]]*SIKAPOLY[[#This Row],[QTY]])</calculatedColumnFormula>
    </tableColumn>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2D5CD59-AAA7-41C5-8C67-8F9965E672C8}" name="SIKACRETE" displayName="SIKACRETE" ref="L5:S15" totalsRowCount="1" headerRowDxfId="169" dataDxfId="167" totalsRowDxfId="165" headerRowBorderDxfId="168" tableBorderDxfId="166" headerRowCellStyle="Currency">
  <autoFilter ref="L5:S14" xr:uid="{02D5CD59-AAA7-41C5-8C67-8F9965E672C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AF6BC09-C8E0-4199-B967-2013511806AF}" name="PROD #" totalsRowLabel="Total" dataDxfId="164" totalsRowDxfId="163" dataCellStyle="Normal 7 2"/>
    <tableColumn id="2" xr3:uid="{2EC3EC3A-41F6-4F3A-850C-FA0902E60910}" name="PRODUCT" totalsRowLabel="Total" dataDxfId="162" totalsRowDxfId="161" dataCellStyle="Normal 7 2"/>
    <tableColumn id="3" xr3:uid="{B0FD60B3-D796-42ED-B99E-51CF179804DE}" name="COLOR" dataDxfId="160" totalsRowDxfId="159" dataCellStyle="Normal 7 2"/>
    <tableColumn id="4" xr3:uid="{CD9BEBCF-FB17-426E-B572-0EEA07633F63}" name="UOM" dataDxfId="158" totalsRowDxfId="157" dataCellStyle="Normal 7 2">
      <calculatedColumnFormula>IF(M6="","",IF(M6=$AG$89,$AI$89,$AI$88))</calculatedColumnFormula>
    </tableColumn>
    <tableColumn id="5" xr3:uid="{BF3379E4-8C9C-47F0-8693-49FDE51AA48C}" name="QTY" dataDxfId="156" totalsRowDxfId="155" dataCellStyle="Currency"/>
    <tableColumn id="6" xr3:uid="{6610E2E0-7870-4B61-AC90-24B0629ECA04}" name="UNIT RATE" dataDxfId="154" totalsRowDxfId="153" dataCellStyle="Currency">
      <calculatedColumnFormula>IFERROR(VLOOKUP(L6,P!$X:$Z,3,FALSE),0)</calculatedColumnFormula>
    </tableColumn>
    <tableColumn id="7" xr3:uid="{662FCC1D-EE13-4227-854D-0044D08E4BD3}" name="QUOTED RATE" dataDxfId="152" totalsRowDxfId="151" dataCellStyle="Currency"/>
    <tableColumn id="8" xr3:uid="{BF3A8BF0-C014-40E4-AD11-87612A3B4DD4}" name="EXTENSION" totalsRowFunction="sum" dataDxfId="150" totalsRowDxfId="149" dataCellStyle="Currency">
      <calculatedColumnFormula>IF(SIKACRETE[[#This Row],[QUOTED RATE]]="",SIKACRETE[[#This Row],[UNIT RATE]]*SIKACRETE[[#This Row],[QTY]],SIKACRETE[[#This Row],[QUOTED RATE]]*SIKACRETE[[#This Row],[QTY]])</calculatedColumnFormula>
    </tableColumn>
  </tableColumns>
  <tableStyleInfo name="Table Style 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5086820-047D-4212-A577-85663A7CFAF9}" name="SIKACOLOR" displayName="SIKACOLOR" ref="L18:S28" totalsRowCount="1" headerRowDxfId="148" dataDxfId="146" totalsRowDxfId="144" headerRowBorderDxfId="147" tableBorderDxfId="145" headerRowCellStyle="Currency">
  <autoFilter ref="L18:S27" xr:uid="{A5086820-047D-4212-A577-85663A7CFAF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1F8A3A3-256D-40D9-B3F7-4D62A97D9E02}" name="PROD #" totalsRowLabel="Total" dataDxfId="143" totalsRowDxfId="142" dataCellStyle="Normal 7 2"/>
    <tableColumn id="2" xr3:uid="{44151D58-2C3B-4A77-BEBD-4E05329A010E}" name="PRODUCT" totalsRowLabel="Total" dataDxfId="141" totalsRowDxfId="140" dataCellStyle="Normal 7 2"/>
    <tableColumn id="3" xr3:uid="{B530CDB6-4C69-455D-842E-E6F3145D05CE}" name="COLOR" dataDxfId="139" totalsRowDxfId="138" dataCellStyle="Normal 7 2"/>
    <tableColumn id="4" xr3:uid="{E45C240A-252B-4793-ADE5-5FEFBD152BBE}" name="UOM" dataDxfId="137" totalsRowDxfId="136" dataCellStyle="Normal 7 2">
      <calculatedColumnFormula>IF(M19="","",IF(M19=$AG$22,$AI$22,$AI$23))</calculatedColumnFormula>
    </tableColumn>
    <tableColumn id="5" xr3:uid="{CA2A6417-64FF-4E03-B28B-08F1599DDB6B}" name="QTY" dataDxfId="135" totalsRowDxfId="134" dataCellStyle="Currency"/>
    <tableColumn id="6" xr3:uid="{580C5251-9093-48A3-9C7E-6317930CA160}" name="UNIT RATE" dataDxfId="133" totalsRowDxfId="132" dataCellStyle="Currency">
      <calculatedColumnFormula>IFERROR(VLOOKUP(L19,P!$X:$Z,3,FALSE),0)</calculatedColumnFormula>
    </tableColumn>
    <tableColumn id="7" xr3:uid="{41F36FF2-F838-450F-9EAD-CF540DD96801}" name="QUOTED RATE" dataDxfId="131" totalsRowDxfId="130" dataCellStyle="Currency"/>
    <tableColumn id="8" xr3:uid="{65424850-7689-4324-A9A7-C9DA09E51A82}" name="EXTENSION" totalsRowFunction="sum" dataDxfId="129" totalsRowDxfId="128" dataCellStyle="Currency">
      <calculatedColumnFormula>IF(SIKACOLOR[[#This Row],[QUOTED RATE]]="",SIKACOLOR[[#This Row],[UNIT RATE]]*SIKACOLOR[[#This Row],[QTY]],SIKACOLOR[[#This Row],[QUOTED RATE]]*SIKACOLOR[[#This Row],[QTY]])</calculatedColumnFormula>
    </tableColumn>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C17A297-5CE7-4CDF-B276-1EC18D079EE8}" name="SIKAAGG" displayName="SIKAAGG" ref="L31:S41" totalsRowCount="1" headerRowDxfId="127" dataDxfId="125" totalsRowDxfId="123" headerRowBorderDxfId="126" tableBorderDxfId="124" headerRowCellStyle="Currency">
  <autoFilter ref="L31:S40" xr:uid="{2C17A297-5CE7-4CDF-B276-1EC18D079EE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DEC8428-EDED-4817-980B-B9C234219985}" name="PROD #" totalsRowLabel="Total" dataDxfId="122" totalsRowDxfId="121" dataCellStyle="Normal 7 2"/>
    <tableColumn id="2" xr3:uid="{1AE3CAA6-FB20-46A2-9086-57B3E4FEEA41}" name="PRODUCT" totalsRowLabel="Total" dataDxfId="120" totalsRowDxfId="119" dataCellStyle="Normal 7 2"/>
    <tableColumn id="3" xr3:uid="{FFFF899B-32B9-4BDD-BE70-50228222C47F}" name="COLOR" dataDxfId="118" totalsRowDxfId="117" dataCellStyle="Normal 7 2">
      <calculatedColumnFormula>IF(SIKAAGG[[#This Row],[PRODUCT]]="","","N/A")</calculatedColumnFormula>
    </tableColumn>
    <tableColumn id="4" xr3:uid="{4DC2115A-00BC-49A3-A6B7-735045EF1DE2}" name="UOM" dataDxfId="116" totalsRowDxfId="115" dataCellStyle="Normal 7 2"/>
    <tableColumn id="5" xr3:uid="{C11716B3-3BDC-4CDD-9E90-866B4680D4FE}" name="QTY" dataDxfId="114" totalsRowDxfId="113" dataCellStyle="Currency"/>
    <tableColumn id="6" xr3:uid="{30C7C3A8-D5B4-45C8-8133-8A77065F4935}" name="UNIT RATE" dataDxfId="112" totalsRowDxfId="111" dataCellStyle="Currency">
      <calculatedColumnFormula>IFERROR(VLOOKUP(L32,P!$X:$Z,3,FALSE),0)</calculatedColumnFormula>
    </tableColumn>
    <tableColumn id="7" xr3:uid="{F3D9683A-75ED-4A29-9342-7E7AAEA5D786}" name="QUOTED RATE" dataDxfId="110" totalsRowDxfId="109" dataCellStyle="Currency"/>
    <tableColumn id="8" xr3:uid="{E3A7E0BF-4D3D-46E6-BC98-CEFC142FA9D0}" name="EXTENSION" totalsRowFunction="sum" dataDxfId="108" totalsRowDxfId="107" dataCellStyle="Currency">
      <calculatedColumnFormula>IF(SIKAAGG[[#This Row],[QUOTED RATE]]="",SIKAAGG[[#This Row],[UNIT RATE]]*SIKAAGG[[#This Row],[QTY]],SIKAAGG[[#This Row],[QUOTED RATE]]*SIKAAGG[[#This Row],[QTY]])</calculatedColumnFormula>
    </tableColumn>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0C92A7-21B0-4662-9797-648F00991552}" name="SIKAADDS" displayName="SIKAADDS" ref="M44:S64" totalsRowCount="1" headerRowDxfId="106" dataDxfId="104" totalsRowDxfId="102" headerRowBorderDxfId="105" tableBorderDxfId="103" totalsRowBorderDxfId="101">
  <autoFilter ref="M44:S63" xr:uid="{D70C92A7-21B0-4662-9797-648F009915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841E8A0-A6E0-4442-B7DD-43EC838F7CCE}" name="PRODUCT" totalsRowLabel="Total" dataDxfId="100" totalsRowDxfId="99"/>
    <tableColumn id="2" xr3:uid="{334215C0-824A-4CD0-BD3E-3C8EFD8CB657}" name="COLOR" dataDxfId="98" totalsRowDxfId="97"/>
    <tableColumn id="3" xr3:uid="{484A6355-1584-472E-8261-A22EC3E61491}" name="UOM" dataDxfId="96" totalsRowDxfId="95"/>
    <tableColumn id="4" xr3:uid="{00634B18-FFE4-4FC1-B7DB-2D991EB5D412}" name="QTY" dataDxfId="94" totalsRowDxfId="93"/>
    <tableColumn id="5" xr3:uid="{49A37F44-E4B7-4AA0-8E9F-531D5CB6AF10}" name="UNIT RATE" dataDxfId="92" totalsRowDxfId="91"/>
    <tableColumn id="6" xr3:uid="{4FDBA178-0A33-4D9A-A7D0-A72D04EAEA12}" name=" " dataDxfId="90" totalsRowDxfId="89" dataCellStyle="Currency"/>
    <tableColumn id="7" xr3:uid="{091BA900-BCE9-4601-8362-E4F809483234}" name="EXTENSION" totalsRowFunction="sum" dataDxfId="88" totalsRowDxfId="87"/>
  </tableColumns>
  <tableStyleInfo name="Table Style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DAE7C74-1271-4FAB-A35C-15CEBB2F43CF}" name="BLANK" displayName="BLANK" ref="C3:I27" totalsRowCount="1" headerRowDxfId="86" totalsRowDxfId="83" headerRowBorderDxfId="85" tableBorderDxfId="84" totalsRowBorderDxfId="82">
  <autoFilter ref="C3:I26" xr:uid="{CDAE7C74-1271-4FAB-A35C-15CEBB2F43C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913885-0BA4-4B73-B135-DE12BA97B5F7}" name="PRODUCT" totalsRowLabel="Total" dataDxfId="81" totalsRowDxfId="80"/>
    <tableColumn id="3" xr3:uid="{96C13091-F99E-4227-90BB-0A8DA9AC57D5}" name="COLOR" dataDxfId="79" totalsRowDxfId="78" dataCellStyle="Normal 7"/>
    <tableColumn id="4" xr3:uid="{591573A7-03ED-4F29-B527-E29020CA4DD9}" name="UOM" dataDxfId="77" totalsRowDxfId="76" dataCellStyle="Normal 7"/>
    <tableColumn id="5" xr3:uid="{CBCE554A-8657-43B5-8354-62FCB952F33F}" name="QTY" dataDxfId="75" totalsRowDxfId="74" dataCellStyle="Normal 7"/>
    <tableColumn id="6" xr3:uid="{54D8700E-5256-49DE-A8B8-6BDAA2DADF3A}" name="UNIT RATE" dataDxfId="73" totalsRowDxfId="72" dataCellStyle="Currency 2"/>
    <tableColumn id="2" xr3:uid="{FD55FD88-36E8-4B93-8161-3F933A1F1F22}" name=" " dataDxfId="71" totalsRowDxfId="70" dataCellStyle="Currency 2"/>
    <tableColumn id="7" xr3:uid="{6167AB5E-7AE5-4A1D-8ACD-7F9DB269D1CF}" name="EXTENSION" totalsRowFunction="sum" dataDxfId="69" totalsRowDxfId="68" dataCellStyle="Currency">
      <calculatedColumnFormula>F4*G4</calculatedColumnFormula>
    </tableColumn>
  </tableColumns>
  <tableStyleInfo name="Table Style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C9F576B-CF0C-4AD0-BD34-F92336266B2C}" name="BLANKADDS" displayName="BLANKADDS" ref="M3:S23" totalsRowCount="1" headerRowDxfId="67" dataDxfId="65" totalsRowDxfId="63" headerRowBorderDxfId="66" tableBorderDxfId="64" totalsRowBorderDxfId="62">
  <autoFilter ref="M3:S22" xr:uid="{7C9F576B-CF0C-4AD0-BD34-F92336266B2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7DD7D6-F98D-45D1-A91D-55A9BC342572}" name="PRODUCT" totalsRowLabel="Total" dataDxfId="61" totalsRowDxfId="60"/>
    <tableColumn id="2" xr3:uid="{300832F3-1CA2-40DF-83DC-E7FDB9ABDB29}" name="COLOR" dataDxfId="59" totalsRowDxfId="58"/>
    <tableColumn id="3" xr3:uid="{89032910-BA29-41E6-BAF5-3AD470D413BC}" name="UOM" dataDxfId="57" totalsRowDxfId="56"/>
    <tableColumn id="4" xr3:uid="{61852016-BA60-4D39-AEC3-B21F8A2F6281}" name="QTY" dataDxfId="55" totalsRowDxfId="54"/>
    <tableColumn id="5" xr3:uid="{FA8FC3DB-18C4-43A0-A5AF-6FF66163B3E0}" name="UNIT RATE" dataDxfId="53" totalsRowDxfId="52"/>
    <tableColumn id="6" xr3:uid="{E22A7F71-790E-4AB8-AC3B-720069203634}" name=" " dataDxfId="51" totalsRowDxfId="50" dataCellStyle="Currency"/>
    <tableColumn id="7" xr3:uid="{9C1A752C-449B-4B2B-82C8-F227622FB50D}" name="EXTENSION" totalsRowFunction="sum" dataDxfId="49" totalsRowDxfId="48"/>
  </tableColumns>
  <tableStyleInfo name="Table Style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CE106EB-858C-482C-9725-31A9BEBDBCDF}" name="Pack_List" displayName="Pack_List" ref="C8:L9" tableType="queryTable" insertRow="1" headerRowDxfId="47" dataDxfId="46">
  <autoFilter ref="C8:L9" xr:uid="{2CE106EB-858C-482C-9725-31A9BEBDBC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sortState xmlns:xlrd2="http://schemas.microsoft.com/office/spreadsheetml/2017/richdata2" ref="C9:L9">
    <sortCondition ref="C8:C9"/>
  </sortState>
  <tableColumns count="10">
    <tableColumn id="1" xr3:uid="{21DBFC3D-ED59-4D10-974E-373D8EA83C0D}" uniqueName="1" name="Description" queryTableFieldId="1" dataDxfId="45" totalsRowDxfId="44"/>
    <tableColumn id="2" xr3:uid="{93D7CF3E-74EC-45AE-A12E-67EF0B9DF433}" uniqueName="2" name="Color" queryTableFieldId="2" dataDxfId="43" totalsRowDxfId="42"/>
    <tableColumn id="3" xr3:uid="{9B8E86E6-D30F-4B6C-AED0-1BB011E73C61}" uniqueName="3" name="Total Qty" queryTableFieldId="3" dataDxfId="41" totalsRowDxfId="40"/>
    <tableColumn id="4" xr3:uid="{C197933A-AC89-4C94-A52A-7C8A93FAEBAE}" uniqueName="4" name="Unit Size" queryTableFieldId="4" dataDxfId="39" totalsRowDxfId="38"/>
    <tableColumn id="10" xr3:uid="{F8EF3CF3-85A7-4512-8532-D10AA0FF5C0E}" uniqueName="10" name=" " queryTableFieldId="10"/>
    <tableColumn id="5" xr3:uid="{D5592449-12D8-47CD-9560-EFD392926392}" uniqueName="5" name="Weight" queryTableFieldId="5" dataDxfId="37" totalsRowDxfId="36"/>
    <tableColumn id="6" xr3:uid="{B79E8899-0ADD-4484-B233-AA11C4DFCBCB}" uniqueName="6" name="Rec'd Qty" queryTableFieldId="6"/>
    <tableColumn id="7" xr3:uid="{A67E24F4-92B2-4880-BBA7-410867F1BE1B}" uniqueName="7" name="Return Qty" queryTableFieldId="7"/>
    <tableColumn id="8" xr3:uid="{EAF9CD96-8DCC-47D6-9D04-20D82EADE102}" uniqueName="8" name="Pallet #" queryTableFieldId="8" dataDxfId="35" totalsRowDxfId="34"/>
    <tableColumn id="9" xr3:uid="{30428A89-1E96-4AA9-92D2-E8E212914AB0}" uniqueName="9" name="Shop Qty" queryTableFieldId="9" dataDxfId="33" totalsRowDxfId="32"/>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 dT="2025-09-16T20:33:26.59" personId="{2CA135E7-6A6B-4BC1-9917-2425EEB0E6E9}" id="{70F4E732-5541-46C8-A184-19576185EC2B}">
    <text>Should pull from “SW Tab Total”</text>
  </threadedComment>
</ThreadedComments>
</file>

<file path=xl/threadedComments/threadedComment2.xml><?xml version="1.0" encoding="utf-8"?>
<ThreadedComments xmlns="http://schemas.microsoft.com/office/spreadsheetml/2018/threadedcomments" xmlns:x="http://schemas.openxmlformats.org/spreadsheetml/2006/main">
  <threadedComment ref="Q91" dT="2025-09-16T20:31:14.60" personId="{2CA135E7-6A6B-4BC1-9917-2425EEB0E6E9}" id="{E884DD1A-055C-4F4C-A43D-52F1F92DAB69}">
    <text xml:space="preserve">Should populate to/from PO tab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comments" Target="../comments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6" Type="http://schemas.openxmlformats.org/officeDocument/2006/relationships/table" Target="../tables/table20.xml"/><Relationship Id="rId11" Type="http://schemas.openxmlformats.org/officeDocument/2006/relationships/comments" Target="../comments3.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0.xml"/><Relationship Id="rId3" Type="http://schemas.openxmlformats.org/officeDocument/2006/relationships/table" Target="../tables/table25.xml"/><Relationship Id="rId7" Type="http://schemas.openxmlformats.org/officeDocument/2006/relationships/table" Target="../tables/table29.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6" Type="http://schemas.openxmlformats.org/officeDocument/2006/relationships/table" Target="../tables/table28.xml"/><Relationship Id="rId5" Type="http://schemas.openxmlformats.org/officeDocument/2006/relationships/table" Target="../tables/table27.xml"/><Relationship Id="rId10" Type="http://schemas.openxmlformats.org/officeDocument/2006/relationships/comments" Target="../comments4.xml"/><Relationship Id="rId4" Type="http://schemas.openxmlformats.org/officeDocument/2006/relationships/table" Target="../tables/table26.xml"/><Relationship Id="rId9" Type="http://schemas.openxmlformats.org/officeDocument/2006/relationships/table" Target="../tables/table3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D059-CDD3-430C-8D47-229166AA17EC}">
  <sheetPr codeName="Sheet3"/>
  <dimension ref="A1:BX845"/>
  <sheetViews>
    <sheetView topLeftCell="B58" zoomScale="70" zoomScaleNormal="70" workbookViewId="0">
      <selection activeCell="J102" sqref="J102"/>
    </sheetView>
  </sheetViews>
  <sheetFormatPr defaultColWidth="9.26953125" defaultRowHeight="14.5" x14ac:dyDescent="0.35"/>
  <cols>
    <col min="1" max="1" width="36.54296875" style="1" bestFit="1" customWidth="1"/>
    <col min="2" max="2" width="19" style="1" bestFit="1" customWidth="1"/>
    <col min="3" max="3" width="18.453125" style="1" bestFit="1" customWidth="1"/>
    <col min="4" max="4" width="27.54296875" style="1" bestFit="1" customWidth="1"/>
    <col min="5" max="5" width="25.7265625" style="1" bestFit="1" customWidth="1"/>
    <col min="6" max="6" width="21.26953125" style="1" bestFit="1" customWidth="1"/>
    <col min="7" max="7" width="24.54296875" style="1" bestFit="1" customWidth="1"/>
    <col min="8" max="8" width="28" style="1" bestFit="1" customWidth="1"/>
    <col min="9" max="9" width="21.54296875" style="1" bestFit="1" customWidth="1"/>
    <col min="10" max="10" width="43.08984375" style="1" customWidth="1"/>
    <col min="11" max="11" width="36.54296875" style="1" bestFit="1" customWidth="1"/>
    <col min="12" max="12" width="16.7265625" style="1" bestFit="1" customWidth="1"/>
    <col min="13" max="13" width="18.26953125" style="1" bestFit="1" customWidth="1"/>
    <col min="14" max="14" width="13.7265625" style="1" bestFit="1" customWidth="1"/>
    <col min="15" max="20" width="10.453125" style="1" customWidth="1"/>
    <col min="21" max="21" width="12.54296875" style="1" bestFit="1" customWidth="1"/>
    <col min="22" max="22" width="20.26953125" style="1" bestFit="1" customWidth="1"/>
    <col min="23" max="23" width="9.26953125" style="1"/>
    <col min="24" max="24" width="31.36328125" style="66" customWidth="1"/>
    <col min="25" max="25" width="74.26953125" style="1" bestFit="1" customWidth="1"/>
    <col min="26" max="26" width="13.453125" style="63" customWidth="1"/>
    <col min="27" max="27" width="11" style="1" customWidth="1"/>
    <col min="28" max="28" width="9.7265625" style="1" customWidth="1"/>
    <col min="29" max="29" width="14.7265625" style="1" bestFit="1" customWidth="1"/>
    <col min="30" max="31" width="6" style="1" customWidth="1"/>
    <col min="32" max="32" width="6.26953125" style="1" customWidth="1"/>
    <col min="33" max="33" width="5.453125" style="1" customWidth="1"/>
    <col min="34" max="34" width="7.453125" style="1" customWidth="1"/>
    <col min="35" max="35" width="6.54296875" style="1" customWidth="1"/>
    <col min="36" max="36" width="11.26953125" style="1" customWidth="1"/>
    <col min="37" max="38" width="9.26953125" style="1" customWidth="1"/>
    <col min="39" max="39" width="9.7265625" style="1" customWidth="1"/>
    <col min="40" max="40" width="25.7265625" style="1" customWidth="1"/>
    <col min="41" max="41" width="74.26953125" style="1" bestFit="1" customWidth="1"/>
    <col min="42" max="42" width="13.81640625" style="1" customWidth="1"/>
    <col min="43" max="43" width="10.7265625" style="1" customWidth="1"/>
    <col min="44" max="44" width="29.26953125" style="1" customWidth="1"/>
    <col min="45" max="45" width="16.54296875" style="1" bestFit="1" customWidth="1"/>
    <col min="46" max="46" width="58.453125" style="1" bestFit="1" customWidth="1"/>
    <col min="47" max="47" width="13.26953125" style="1" customWidth="1"/>
    <col min="48" max="48" width="64.54296875" style="1" bestFit="1" customWidth="1"/>
    <col min="49" max="49" width="13.26953125" style="63" customWidth="1"/>
    <col min="50" max="50" width="4.54296875" style="63" customWidth="1"/>
    <col min="51" max="51" width="20.81640625" style="63" customWidth="1"/>
    <col min="52" max="55" width="18.26953125" style="63" customWidth="1"/>
    <col min="56" max="56" width="55.7265625" style="1" bestFit="1" customWidth="1"/>
    <col min="57" max="57" width="16.54296875" style="1" bestFit="1" customWidth="1"/>
    <col min="58" max="58" width="9.26953125" style="1" bestFit="1" customWidth="1"/>
    <col min="59" max="59" width="10.54296875" style="1" bestFit="1" customWidth="1"/>
    <col min="60" max="60" width="49.54296875" style="1" bestFit="1" customWidth="1"/>
    <col min="61" max="61" width="16.453125" style="1" customWidth="1"/>
    <col min="62" max="62" width="56.453125" style="1" customWidth="1"/>
    <col min="63" max="63" width="18.7265625" style="1" customWidth="1"/>
    <col min="64" max="64" width="60" style="1" customWidth="1"/>
    <col min="65" max="65" width="10.26953125" style="1" customWidth="1"/>
    <col min="66" max="66" width="58.453125" style="1" customWidth="1"/>
    <col min="67" max="67" width="10.453125" style="1" customWidth="1"/>
    <col min="68" max="68" width="9.26953125" style="1"/>
    <col min="69" max="69" width="44.7265625" style="1" bestFit="1" customWidth="1"/>
    <col min="70" max="70" width="6.54296875" style="1" bestFit="1" customWidth="1"/>
    <col min="71" max="71" width="11.26953125" style="1" bestFit="1" customWidth="1"/>
    <col min="72" max="72" width="7.26953125" style="1" bestFit="1" customWidth="1"/>
    <col min="73" max="73" width="14.26953125" style="1" bestFit="1" customWidth="1"/>
    <col min="74" max="74" width="11.26953125" style="1" bestFit="1" customWidth="1"/>
    <col min="75" max="75" width="15.453125" style="1" bestFit="1" customWidth="1"/>
    <col min="76" max="76" width="7.7265625" style="1" bestFit="1" customWidth="1"/>
    <col min="77" max="77" width="7" style="1" bestFit="1" customWidth="1"/>
    <col min="78" max="78" width="9.26953125" style="1" bestFit="1" customWidth="1"/>
    <col min="79" max="79" width="4.54296875" style="1" bestFit="1" customWidth="1"/>
    <col min="80" max="80" width="10.26953125" style="1" bestFit="1" customWidth="1"/>
    <col min="81" max="81" width="13.54296875" style="1" bestFit="1" customWidth="1"/>
    <col min="82" max="82" width="11" style="1" bestFit="1" customWidth="1"/>
    <col min="83" max="83" width="8.26953125" style="1" bestFit="1" customWidth="1"/>
    <col min="84" max="16384" width="9.26953125" style="1"/>
  </cols>
  <sheetData>
    <row r="1" spans="1:76" s="4" customFormat="1" ht="15" thickBot="1" x14ac:dyDescent="0.4">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981</v>
      </c>
      <c r="R1" s="2" t="s">
        <v>15</v>
      </c>
      <c r="S1" s="2" t="s">
        <v>894</v>
      </c>
      <c r="T1" s="2" t="s">
        <v>195</v>
      </c>
      <c r="U1" s="2" t="s">
        <v>16</v>
      </c>
      <c r="V1" s="2" t="s">
        <v>178</v>
      </c>
      <c r="X1" s="65" t="s">
        <v>22</v>
      </c>
      <c r="Y1" s="2" t="s">
        <v>23</v>
      </c>
      <c r="Z1" s="199" t="s">
        <v>24</v>
      </c>
      <c r="AA1" s="2" t="s">
        <v>25</v>
      </c>
      <c r="AB1" s="2" t="s">
        <v>26</v>
      </c>
      <c r="AC1" s="2" t="s">
        <v>27</v>
      </c>
      <c r="AD1" s="2" t="s">
        <v>28</v>
      </c>
      <c r="AE1" s="2" t="s">
        <v>29</v>
      </c>
      <c r="AF1" s="2" t="s">
        <v>30</v>
      </c>
      <c r="AG1" s="2" t="s">
        <v>31</v>
      </c>
      <c r="AH1" s="2" t="s">
        <v>32</v>
      </c>
      <c r="AI1" s="2" t="s">
        <v>33</v>
      </c>
      <c r="AJ1" s="2" t="s">
        <v>34</v>
      </c>
      <c r="AK1" s="4" t="s">
        <v>152</v>
      </c>
      <c r="AL1" s="4" t="s">
        <v>152</v>
      </c>
      <c r="AM1" s="4">
        <v>1</v>
      </c>
      <c r="AN1" s="34" t="s">
        <v>22</v>
      </c>
      <c r="AO1" s="34" t="s">
        <v>23</v>
      </c>
      <c r="AP1" s="34" t="s">
        <v>24</v>
      </c>
      <c r="AQ1" s="34" t="s">
        <v>25</v>
      </c>
      <c r="AR1" s="34" t="s">
        <v>26</v>
      </c>
      <c r="AS1" s="34" t="s">
        <v>27</v>
      </c>
      <c r="AT1" s="34" t="s">
        <v>181</v>
      </c>
      <c r="AU1" s="34" t="s">
        <v>182</v>
      </c>
      <c r="AV1" s="34" t="s">
        <v>462</v>
      </c>
      <c r="AW1" s="34" t="s">
        <v>442</v>
      </c>
      <c r="AX1" s="34"/>
      <c r="AY1" s="64" t="s">
        <v>461</v>
      </c>
      <c r="AZ1" s="64" t="s">
        <v>181</v>
      </c>
      <c r="BA1" s="64" t="s">
        <v>334</v>
      </c>
      <c r="BB1" s="64" t="s">
        <v>182</v>
      </c>
      <c r="BC1" s="64" t="s">
        <v>442</v>
      </c>
      <c r="BD1" s="48" t="s">
        <v>181</v>
      </c>
      <c r="BE1" s="47" t="s">
        <v>334</v>
      </c>
      <c r="BF1" s="47" t="s">
        <v>182</v>
      </c>
      <c r="BG1" s="47" t="s">
        <v>363</v>
      </c>
      <c r="BH1" s="53" t="s">
        <v>365</v>
      </c>
      <c r="BI1" s="51" t="s">
        <v>409</v>
      </c>
      <c r="BJ1" s="1" t="s">
        <v>335</v>
      </c>
      <c r="BK1" s="4" t="s">
        <v>363</v>
      </c>
      <c r="BL1" s="1" t="s">
        <v>335</v>
      </c>
      <c r="BM1" s="4" t="s">
        <v>363</v>
      </c>
      <c r="BN1" s="1" t="s">
        <v>335</v>
      </c>
      <c r="BO1" s="4" t="s">
        <v>363</v>
      </c>
      <c r="BQ1"/>
      <c r="BR1"/>
      <c r="BS1"/>
      <c r="BT1"/>
      <c r="BU1"/>
      <c r="BV1"/>
      <c r="BW1"/>
      <c r="BX1"/>
    </row>
    <row r="2" spans="1:76" x14ac:dyDescent="0.35">
      <c r="A2" s="1" t="s">
        <v>17</v>
      </c>
      <c r="B2" s="63">
        <f ca="1">IFERROR(VLOOKUP(B$1,SGC!$C:$D,2,FALSE),0)</f>
        <v>0</v>
      </c>
      <c r="C2" s="63">
        <f ca="1">IFERROR(VLOOKUP(C$1,SGC!$C:$D,2,FALSE),0)</f>
        <v>0</v>
      </c>
      <c r="D2" s="63">
        <f ca="1">IFERROR(VLOOKUP(D$1,SGC!$C:$D,2,FALSE),0)</f>
        <v>0</v>
      </c>
      <c r="E2" s="63">
        <f ca="1">IFERROR(VLOOKUP(E$1,SGC!$C:$D,2,FALSE),0)</f>
        <v>0</v>
      </c>
      <c r="F2" s="63">
        <f ca="1">IFERROR(VLOOKUP(F$1,SGC!$C:$D,2,FALSE),0)</f>
        <v>0</v>
      </c>
      <c r="G2" s="63">
        <f ca="1">IFERROR(VLOOKUP(G$1,SGC!$C:$D,2,FALSE),0)</f>
        <v>0</v>
      </c>
      <c r="H2" s="63">
        <f ca="1">IFERROR(VLOOKUP(H$1,SGC!$C:$D,2,FALSE),0)</f>
        <v>0</v>
      </c>
      <c r="I2" s="63">
        <f ca="1">IFERROR(VLOOKUP(I$1,SGC!$C:$D,2,FALSE),0)</f>
        <v>0</v>
      </c>
      <c r="J2" s="63">
        <f ca="1">IFERROR(VLOOKUP(J$1,SGC!$F:$H,3,FALSE),0)</f>
        <v>0</v>
      </c>
      <c r="K2" s="63">
        <f ca="1">IFERROR(VLOOKUP(K$1,SGC!$F:$H,3,FALSE),0)</f>
        <v>0</v>
      </c>
      <c r="L2" s="63">
        <f ca="1">IFERROR(VLOOKUP(L$1,SGC!$F:$H,3,FALSE),0)</f>
        <v>0</v>
      </c>
      <c r="M2" s="63">
        <f>IFERROR(VLOOKUP(M$1,SGC!$F:$H,3,FALSE),0)</f>
        <v>0</v>
      </c>
      <c r="N2" s="63">
        <f>IFERROR(VLOOKUP(N$1,SGC!$F:$H,3,FALSE),0)</f>
        <v>0</v>
      </c>
      <c r="O2" s="63">
        <f>IFERROR(VLOOKUP(O$1,SGC!$F:$H,3,FALSE),0)</f>
        <v>0</v>
      </c>
      <c r="P2" s="63">
        <f>IFERROR(VLOOKUP(P$1,SGC!$F:$H,3,FALSE),0)</f>
        <v>0</v>
      </c>
      <c r="Q2" s="63">
        <f>IFERROR(VLOOKUP(Q$1,SGC!$C:$D,2,FALSE),0)</f>
        <v>0</v>
      </c>
      <c r="R2" s="63">
        <f>IFERROR(VLOOKUP(R$1,SGC!$F:$H,3,FALSE),0)</f>
        <v>0</v>
      </c>
      <c r="S2" s="63">
        <f>IFERROR(VLOOKUP(S$1,SGC!$F:$H,3,FALSE),0)</f>
        <v>0</v>
      </c>
      <c r="T2" s="63">
        <f ca="1">SUM(SGC!N78:O80)</f>
        <v>0</v>
      </c>
      <c r="U2" s="63">
        <f ca="1">VLOOKUP("CUSTOMER BID AMOUNT*",SGC!$M:$Q,5,FALSE)</f>
        <v>0</v>
      </c>
      <c r="V2" s="63">
        <f ca="1">IFERROR(VLOOKUP(V$1,SGC!$P:$R,3,FALSE),0)</f>
        <v>0</v>
      </c>
      <c r="W2" s="1" t="s">
        <v>191</v>
      </c>
      <c r="X2" s="66" t="s">
        <v>280</v>
      </c>
      <c r="Y2" s="1" t="s">
        <v>278</v>
      </c>
      <c r="Z2" s="63">
        <f>Table1[[#This Row],[D:D]]</f>
        <v>33.178200000000004</v>
      </c>
      <c r="AA2" s="1" t="s">
        <v>279</v>
      </c>
      <c r="AD2" s="1" t="s">
        <v>17</v>
      </c>
      <c r="AE2" s="1">
        <v>30.162000000000003</v>
      </c>
      <c r="AF2" s="1">
        <f>Table1[[#This Row],[C:C]]*1.1</f>
        <v>33.178200000000004</v>
      </c>
      <c r="AI2" s="1">
        <f>IFERROR(VLOOKUP(X2,#REF!,8,FALSE),0)</f>
        <v>0</v>
      </c>
      <c r="AK2" s="1" t="s">
        <v>293</v>
      </c>
      <c r="AL2" s="1" t="e" vm="1">
        <v>#VALUE!</v>
      </c>
      <c r="AM2" s="3" cm="1">
        <f t="array" aca="1" ref="AM2" ca="1">_FV(AL2,"Price")</f>
        <v>1.3733</v>
      </c>
      <c r="AN2" s="1" t="str">
        <f>PROD_ID_TABLE[[#This Row],[PROD ID]]</f>
        <v>3500 EPOXYN//A1/2</v>
      </c>
      <c r="AO2" s="1" t="str">
        <f>_xlfn.CONCAT(BD2:BF2)</f>
        <v>RESUFLOR 3500 EPOXY QUICK PATCH (FAST)N/A1/2 GAL</v>
      </c>
      <c r="AP2" s="3">
        <f>BC2</f>
        <v>97.69</v>
      </c>
      <c r="AQ2" s="1" t="str">
        <f>BF2</f>
        <v>1/2 GAL</v>
      </c>
      <c r="AS2" s="1" t="str">
        <f>BE2</f>
        <v>N/A</v>
      </c>
      <c r="AT2" s="1" t="s">
        <v>343</v>
      </c>
      <c r="AU2" s="1" t="s">
        <v>409</v>
      </c>
      <c r="AV2" s="1" t="str">
        <f>AT2&amp;AU2</f>
        <v>RESUFLOR 3500 EPOXY QUICK PATCH (FAST)1/2 GAL</v>
      </c>
      <c r="AW2" s="134">
        <v>97.69</v>
      </c>
      <c r="AY2" t="str">
        <f>_xlfn.CONCAT(AZ2:BB2)</f>
        <v>3500 EPOXYN//A1/2</v>
      </c>
      <c r="AZ2" s="1" t="str">
        <f>MID(BD2,10,10)</f>
        <v>3500 EPOXY</v>
      </c>
      <c r="BA2" t="str">
        <f>LEFT(BE2,2)&amp;RIGHT(BE2,2)</f>
        <v>N//A</v>
      </c>
      <c r="BB2" s="1" t="str">
        <f t="shared" ref="BB2:BB65" si="0">LEFT(BF2,3)</f>
        <v>1/2</v>
      </c>
      <c r="BC2" s="1">
        <f t="shared" ref="BC2:BC65" si="1">IFERROR(VLOOKUP(BD2&amp;BF2,AV:AW,2,FALSE),0)</f>
        <v>97.69</v>
      </c>
      <c r="BD2" s="50" t="s">
        <v>343</v>
      </c>
      <c r="BE2" s="49" t="s">
        <v>398</v>
      </c>
      <c r="BF2" s="49" t="s">
        <v>409</v>
      </c>
      <c r="BG2" s="49" t="s">
        <v>365</v>
      </c>
      <c r="BH2" s="39" t="s">
        <v>317</v>
      </c>
      <c r="BI2" s="39" t="s">
        <v>406</v>
      </c>
      <c r="BJ2" s="34" t="s">
        <v>353</v>
      </c>
      <c r="BK2" s="41" t="s">
        <v>367</v>
      </c>
      <c r="BL2" s="34" t="s">
        <v>336</v>
      </c>
      <c r="BM2" s="41" t="s">
        <v>364</v>
      </c>
      <c r="BN2" s="34" t="s">
        <v>348</v>
      </c>
      <c r="BO2" s="41" t="s">
        <v>366</v>
      </c>
      <c r="BQ2"/>
      <c r="BR2"/>
      <c r="BS2"/>
      <c r="BT2"/>
      <c r="BU2"/>
      <c r="BV2"/>
      <c r="BW2"/>
      <c r="BX2"/>
    </row>
    <row r="3" spans="1:76" x14ac:dyDescent="0.35">
      <c r="A3" s="1" t="s">
        <v>18</v>
      </c>
      <c r="B3" s="63">
        <f ca="1">IFERROR(VLOOKUP(B$1,SIKA!$C:$D,2,FALSE),0)</f>
        <v>0</v>
      </c>
      <c r="C3" s="63">
        <f>IFERROR(VLOOKUP(C$1,SIKA!$C:$D,2,FALSE),0)</f>
        <v>0</v>
      </c>
      <c r="D3" s="63">
        <f>IFERROR(VLOOKUP(D$1,SIKA!$C:$D,2,FALSE),0)</f>
        <v>0</v>
      </c>
      <c r="E3" s="63">
        <f>IFERROR(VLOOKUP(E$1,SIKA!$C:$D,2,FALSE),0)</f>
        <v>0</v>
      </c>
      <c r="F3" s="63">
        <f>IFERROR(VLOOKUP(F$1,SIKA!$C:$D,2,FALSE),0)</f>
        <v>0</v>
      </c>
      <c r="G3" s="63">
        <f>IFERROR(VLOOKUP(G$1,SIKA!$C:$D,2,FALSE),0)</f>
        <v>0</v>
      </c>
      <c r="H3" s="63">
        <f>IFERROR(VLOOKUP(H$1,SIKA!$C:$D,2,FALSE),0)</f>
        <v>0</v>
      </c>
      <c r="I3" s="63">
        <f>IFERROR(VLOOKUP(I$1,SIKA!$C:$D,2,FALSE),0)</f>
        <v>0</v>
      </c>
      <c r="J3" s="63">
        <f>IFERROR(VLOOKUP(J$1,SIKA!$F:$H,3,FALSE),0)</f>
        <v>0</v>
      </c>
      <c r="K3" s="63">
        <f>IFERROR(VLOOKUP(K$1,SIKA!$F:$H,3,FALSE),0)</f>
        <v>0</v>
      </c>
      <c r="L3" s="63">
        <f>IFERROR(VLOOKUP(L$1,SIKA!$F:$H,3,FALSE),0)</f>
        <v>0</v>
      </c>
      <c r="M3" s="63">
        <f>IFERROR(VLOOKUP(M$1,SIKA!$F:$H,3,FALSE),0)</f>
        <v>0</v>
      </c>
      <c r="N3" s="63">
        <f>IFERROR(VLOOKUP(N$1,SIKA!$F:$H,3,FALSE),0)</f>
        <v>0</v>
      </c>
      <c r="O3" s="63">
        <f>IFERROR(VLOOKUP(O$1,SIKA!$F:$H,3,FALSE),0)</f>
        <v>0</v>
      </c>
      <c r="P3" s="63">
        <f>IFERROR(VLOOKUP(P$1,SIKA!$F:$H,3,FALSE),0)</f>
        <v>0</v>
      </c>
      <c r="Q3" s="63">
        <f>IFERROR(VLOOKUP(Q$1,SIKA!$C:$D,2,FALSE),0)</f>
        <v>0</v>
      </c>
      <c r="R3" s="63">
        <f>IFERROR(VLOOKUP(R$1,SIKA!$F:$H,3,FALSE),0)</f>
        <v>0</v>
      </c>
      <c r="S3" s="63">
        <f>IFERROR(VLOOKUP(S$1,SIKA!$F:$H,3,FALSE),0)</f>
        <v>0</v>
      </c>
      <c r="T3" s="63">
        <f ca="1">SUM(SIKA!N69:O71)</f>
        <v>0</v>
      </c>
      <c r="U3" s="63">
        <f ca="1">VLOOKUP("CUSTOMER BID AMOUNT*",SIKA!$M:$Q,5,FALSE)</f>
        <v>0</v>
      </c>
      <c r="V3" s="63">
        <f ca="1">IFERROR(VLOOKUP(V$1,SIKA!$P:$R,3,FALSE),0)</f>
        <v>0</v>
      </c>
      <c r="W3" s="1" t="s">
        <v>281</v>
      </c>
      <c r="X3" s="66" t="s">
        <v>109</v>
      </c>
      <c r="Y3" s="1" t="s">
        <v>111</v>
      </c>
      <c r="Z3" s="63">
        <f>Table1[[#This Row],[D:D]]</f>
        <v>22</v>
      </c>
      <c r="AA3" s="1" t="s">
        <v>115</v>
      </c>
      <c r="AD3" s="1" t="s">
        <v>17</v>
      </c>
      <c r="AE3" s="1">
        <v>20</v>
      </c>
      <c r="AF3" s="1">
        <f>Table1[[#This Row],[C:C]]*1.1</f>
        <v>22</v>
      </c>
      <c r="AI3" s="1">
        <f>IFERROR(VLOOKUP(X3,#REF!,8,FALSE),0)</f>
        <v>0</v>
      </c>
      <c r="AK3" s="1" t="s">
        <v>292</v>
      </c>
      <c r="AL3" s="1" t="e" vm="2">
        <v>#VALUE!</v>
      </c>
      <c r="AM3" s="3" cm="1">
        <f t="array" aca="1" ref="AM3" ca="1">_FV(AL3,"Price")</f>
        <v>17.724699999999999</v>
      </c>
      <c r="AN3" s="1" t="str">
        <f>PROD_ID_TABLE[[#This Row],[PROD ID]]</f>
        <v xml:space="preserve">M.  URETHAN//A44 </v>
      </c>
      <c r="AO3" s="1" t="str">
        <f t="shared" ref="AO3:AO66" si="2">_xlfn.CONCAT(BD3:BF3)</f>
        <v>CEMLACK UM.  URETHANE CEMENT PATCH 1:1:1N/A44 LBS</v>
      </c>
      <c r="AP3" s="3">
        <f t="shared" ref="AP3:AP66" si="3">BC3</f>
        <v>47.67</v>
      </c>
      <c r="AQ3" s="1" t="str">
        <f t="shared" ref="AQ3:AQ66" si="4">BF3</f>
        <v>44 LBS</v>
      </c>
      <c r="AS3" s="1" t="str">
        <f t="shared" ref="AS3:AS66" si="5">BE3</f>
        <v>N/A</v>
      </c>
      <c r="AT3" s="1" t="s">
        <v>441</v>
      </c>
      <c r="AU3" s="1" t="s">
        <v>406</v>
      </c>
      <c r="AV3" s="1" t="str">
        <f t="shared" ref="AV3:AV66" si="6">AT3&amp;AU3</f>
        <v>RESUFLOR 3513 SCRATCH COAT MASTIC (THICK/SLOW)2 GAL</v>
      </c>
      <c r="AW3" s="134">
        <v>104.75</v>
      </c>
      <c r="AY3" t="str">
        <f t="shared" ref="AY3:AY66" si="7">_xlfn.CONCAT(AZ3:BB3)</f>
        <v xml:space="preserve">M.  URETHAN//A44 </v>
      </c>
      <c r="AZ3" s="1" t="str">
        <f t="shared" ref="AZ3:AZ66" si="8">MID(BD3,10,10)</f>
        <v>M.  URETHA</v>
      </c>
      <c r="BA3" t="str">
        <f t="shared" ref="BA3:BA66" si="9">LEFT(BE3,2)&amp;RIGHT(BE3,2)</f>
        <v>N//A</v>
      </c>
      <c r="BB3" s="1" t="str">
        <f t="shared" si="0"/>
        <v xml:space="preserve">44 </v>
      </c>
      <c r="BC3" s="1">
        <f t="shared" si="1"/>
        <v>47.67</v>
      </c>
      <c r="BD3" s="1" t="s">
        <v>449</v>
      </c>
      <c r="BE3" s="14" t="s">
        <v>398</v>
      </c>
      <c r="BF3" s="14" t="s">
        <v>453</v>
      </c>
      <c r="BG3" s="14" t="s">
        <v>365</v>
      </c>
      <c r="BH3" s="39" t="s">
        <v>322</v>
      </c>
      <c r="BI3" s="39"/>
      <c r="BJ3" s="1" t="s">
        <v>382</v>
      </c>
      <c r="BK3" s="41" t="s">
        <v>367</v>
      </c>
      <c r="BL3" s="34" t="s">
        <v>337</v>
      </c>
      <c r="BM3" s="41" t="s">
        <v>364</v>
      </c>
      <c r="BN3" s="34" t="s">
        <v>349</v>
      </c>
      <c r="BO3" s="41" t="s">
        <v>366</v>
      </c>
      <c r="BQ3"/>
      <c r="BR3"/>
      <c r="BS3"/>
      <c r="BT3"/>
      <c r="BU3"/>
      <c r="BV3"/>
      <c r="BW3"/>
      <c r="BX3"/>
    </row>
    <row r="4" spans="1:76" ht="15" thickBot="1" x14ac:dyDescent="0.4">
      <c r="A4" s="1" t="s">
        <v>19</v>
      </c>
      <c r="B4" s="63">
        <f ca="1">IFERROR(VLOOKUP(B$1,SW!$C:$D,2,FALSE),0)</f>
        <v>0</v>
      </c>
      <c r="C4" s="63">
        <f>IFERROR(VLOOKUP(C$1,SW!$C:$D,2,FALSE),0)</f>
        <v>0</v>
      </c>
      <c r="D4" s="63">
        <f>IFERROR(VLOOKUP(D$1,SW!$C:$D,2,FALSE),0)</f>
        <v>0</v>
      </c>
      <c r="E4" s="63">
        <f>IFERROR(VLOOKUP(E$1,SW!$C:$D,2,FALSE),0)</f>
        <v>0</v>
      </c>
      <c r="F4" s="63">
        <f>IFERROR(VLOOKUP(F$1,SW!$C:$D,2,FALSE),0)</f>
        <v>0</v>
      </c>
      <c r="G4" s="63">
        <f>IFERROR(VLOOKUP(G$1,SW!$C:$D,2,FALSE),0)</f>
        <v>0</v>
      </c>
      <c r="H4" s="63">
        <f>IFERROR(VLOOKUP(H$1,SW!$C:$D,2,FALSE),0)</f>
        <v>0</v>
      </c>
      <c r="I4" s="63">
        <f>IFERROR(VLOOKUP(I$1,SW!$C:$D,2,FALSE),0)</f>
        <v>0</v>
      </c>
      <c r="J4" s="63">
        <f>IFERROR(VLOOKUP(J$1,SW!$F:$H,3,FALSE),0)</f>
        <v>0</v>
      </c>
      <c r="K4" s="63">
        <f>IFERROR(VLOOKUP(K$1,SW!$F:$H,3,FALSE),0)</f>
        <v>0</v>
      </c>
      <c r="L4" s="63">
        <f>IFERROR(VLOOKUP(L$1,SW!$F:$H,3,FALSE),0)</f>
        <v>0</v>
      </c>
      <c r="M4" s="63">
        <f>IFERROR(VLOOKUP(M$1,SW!$F:$H,3,FALSE),0)</f>
        <v>0</v>
      </c>
      <c r="N4" s="63">
        <f>IFERROR(VLOOKUP(N$1,SW!$F:$H,3,FALSE),0)</f>
        <v>0</v>
      </c>
      <c r="O4" s="63">
        <f>IFERROR(VLOOKUP(O$1,SW!$F:$H,3,FALSE),0)</f>
        <v>0</v>
      </c>
      <c r="P4" s="63">
        <f>IFERROR(VLOOKUP(P$1,SW!$F:$H,3,FALSE),0)</f>
        <v>0</v>
      </c>
      <c r="Q4" s="63">
        <f>IFERROR(VLOOKUP(Q$1,SW!$C:$D,2,FALSE),0)</f>
        <v>0</v>
      </c>
      <c r="R4" s="63">
        <f>IFERROR(VLOOKUP(R$1,SW!$F:$H,3,FALSE),0)</f>
        <v>0</v>
      </c>
      <c r="S4" s="63">
        <f>IFERROR(VLOOKUP(S$1,SW!$F:$H,3,FALSE),0)</f>
        <v>0</v>
      </c>
      <c r="T4" s="63">
        <f ca="1">SUM(SW!N92:O94)</f>
        <v>0</v>
      </c>
      <c r="U4" s="63">
        <f ca="1">VLOOKUP("CUSTOMER BID AMOUNT*",SW!$M:$Q,5,FALSE)</f>
        <v>0</v>
      </c>
      <c r="V4" s="63">
        <f ca="1">IFERROR(VLOOKUP(V$1,SW!$P:$R,3,FALSE),0)</f>
        <v>0</v>
      </c>
      <c r="W4" s="1" t="s">
        <v>282</v>
      </c>
      <c r="X4" s="66" t="s">
        <v>108</v>
      </c>
      <c r="Y4" s="1" t="s">
        <v>110</v>
      </c>
      <c r="Z4" s="63">
        <f>Table1[[#This Row],[D:D]]</f>
        <v>125.4</v>
      </c>
      <c r="AA4" s="1" t="s">
        <v>116</v>
      </c>
      <c r="AD4" s="1" t="s">
        <v>17</v>
      </c>
      <c r="AE4" s="1">
        <v>114</v>
      </c>
      <c r="AF4" s="1">
        <f>Table1[[#This Row],[C:C]]*1.1</f>
        <v>125.4</v>
      </c>
      <c r="AI4" s="1">
        <f>IFERROR(VLOOKUP(X4,#REF!,8,FALSE),0)</f>
        <v>0</v>
      </c>
      <c r="AN4" s="1" t="str">
        <f>PROD_ID_TABLE[[#This Row],[PROD ID]]</f>
        <v>3513 SCRATGRAY2 G</v>
      </c>
      <c r="AO4" s="1" t="str">
        <f t="shared" si="2"/>
        <v>RESUFLOR 3513 SCRATCH COAT MASTIC (THICK/SLOW)GRAY2 GAL</v>
      </c>
      <c r="AP4" s="3">
        <f t="shared" si="3"/>
        <v>104.75</v>
      </c>
      <c r="AQ4" s="1" t="str">
        <f t="shared" si="4"/>
        <v>2 GAL</v>
      </c>
      <c r="AS4" s="1" t="str">
        <f t="shared" si="5"/>
        <v>GRAY</v>
      </c>
      <c r="AT4" s="1" t="s">
        <v>336</v>
      </c>
      <c r="AU4" s="1" t="s">
        <v>407</v>
      </c>
      <c r="AV4" s="1" t="str">
        <f t="shared" si="6"/>
        <v>RESUPRIME 3477 EPOXY WATER PRIMER/SEALER3 GAL</v>
      </c>
      <c r="AW4" s="134">
        <v>217.16</v>
      </c>
      <c r="AY4" t="str">
        <f t="shared" si="7"/>
        <v>3513 SCRATGRAY2 G</v>
      </c>
      <c r="AZ4" s="1" t="str">
        <f t="shared" si="8"/>
        <v>3513 SCRAT</v>
      </c>
      <c r="BA4" t="str">
        <f t="shared" si="9"/>
        <v>GRAY</v>
      </c>
      <c r="BB4" s="1" t="str">
        <f t="shared" si="0"/>
        <v>2 G</v>
      </c>
      <c r="BC4" s="1">
        <f t="shared" si="1"/>
        <v>104.75</v>
      </c>
      <c r="BD4" s="62" t="s">
        <v>441</v>
      </c>
      <c r="BE4" s="55" t="s">
        <v>317</v>
      </c>
      <c r="BF4" s="55" t="s">
        <v>406</v>
      </c>
      <c r="BG4" s="55" t="s">
        <v>365</v>
      </c>
      <c r="BH4" s="39" t="s">
        <v>398</v>
      </c>
      <c r="BI4" s="40"/>
      <c r="BJ4" s="1" t="s">
        <v>445</v>
      </c>
      <c r="BL4" s="34" t="s">
        <v>338</v>
      </c>
      <c r="BM4" s="41" t="s">
        <v>364</v>
      </c>
      <c r="BN4" s="34" t="s">
        <v>350</v>
      </c>
      <c r="BO4" s="41" t="s">
        <v>366</v>
      </c>
      <c r="BQ4"/>
      <c r="BR4"/>
      <c r="BS4"/>
      <c r="BT4"/>
      <c r="BU4"/>
      <c r="BV4"/>
      <c r="BW4"/>
      <c r="BX4"/>
    </row>
    <row r="5" spans="1:76" ht="15" thickBot="1" x14ac:dyDescent="0.4">
      <c r="B5" s="63"/>
      <c r="C5" s="63"/>
      <c r="D5" s="63"/>
      <c r="E5" s="63"/>
      <c r="F5" s="63"/>
      <c r="G5" s="63"/>
      <c r="H5" s="63"/>
      <c r="I5" s="63"/>
      <c r="J5" s="63"/>
      <c r="K5" s="63"/>
      <c r="L5" s="63"/>
      <c r="M5" s="63"/>
      <c r="N5" s="63"/>
      <c r="O5" s="63"/>
      <c r="P5" s="63"/>
      <c r="Q5" s="63"/>
      <c r="R5" s="63"/>
      <c r="S5" s="63"/>
      <c r="T5" s="63"/>
      <c r="U5" s="63"/>
      <c r="V5" s="63"/>
      <c r="X5" s="66" t="s">
        <v>283</v>
      </c>
      <c r="Y5" s="1" t="s">
        <v>289</v>
      </c>
      <c r="Z5" s="63">
        <f>Table1[[#This Row],[D:D]]</f>
        <v>125.4</v>
      </c>
      <c r="AA5" s="1" t="s">
        <v>116</v>
      </c>
      <c r="AD5" s="1" t="s">
        <v>17</v>
      </c>
      <c r="AE5" s="1">
        <v>114</v>
      </c>
      <c r="AF5" s="1">
        <f>Table1[[#This Row],[C:C]]*1.1</f>
        <v>125.4</v>
      </c>
      <c r="AI5" s="1">
        <f>IFERROR(VLOOKUP(X5,#REF!,8,FALSE),0)</f>
        <v>0</v>
      </c>
      <c r="AN5" s="1" t="str">
        <f>PROD_ID_TABLE[[#This Row],[PROD ID]]</f>
        <v>3513 SCRATWHTE2 G</v>
      </c>
      <c r="AO5" s="1" t="str">
        <f t="shared" si="2"/>
        <v>RESUFLOR 3513 SCRATCH COAT MASTIC (THICK/SLOW)WHITE2 GAL</v>
      </c>
      <c r="AP5" s="3">
        <f t="shared" si="3"/>
        <v>104.75</v>
      </c>
      <c r="AQ5" s="1" t="str">
        <f t="shared" si="4"/>
        <v>2 GAL</v>
      </c>
      <c r="AS5" s="1" t="str">
        <f t="shared" si="5"/>
        <v>WHITE</v>
      </c>
      <c r="AT5" s="1" t="s">
        <v>336</v>
      </c>
      <c r="AU5" s="1" t="s">
        <v>408</v>
      </c>
      <c r="AV5" s="1" t="str">
        <f t="shared" si="6"/>
        <v>RESUPRIME 3477 EPOXY WATER PRIMER/SEALER15 GAL</v>
      </c>
      <c r="AW5" s="134">
        <v>1034.58</v>
      </c>
      <c r="AY5" t="str">
        <f t="shared" si="7"/>
        <v>3513 SCRATWHTE2 G</v>
      </c>
      <c r="AZ5" s="1" t="str">
        <f t="shared" si="8"/>
        <v>3513 SCRAT</v>
      </c>
      <c r="BA5" t="str">
        <f t="shared" si="9"/>
        <v>WHTE</v>
      </c>
      <c r="BB5" s="1" t="str">
        <f t="shared" si="0"/>
        <v>2 G</v>
      </c>
      <c r="BC5" s="1">
        <f t="shared" si="1"/>
        <v>104.75</v>
      </c>
      <c r="BD5" s="57" t="s">
        <v>441</v>
      </c>
      <c r="BE5" s="56" t="s">
        <v>322</v>
      </c>
      <c r="BF5" s="56" t="s">
        <v>406</v>
      </c>
      <c r="BG5" s="56" t="s">
        <v>365</v>
      </c>
      <c r="BH5" s="53" t="s">
        <v>364</v>
      </c>
      <c r="BJ5" s="1" t="s">
        <v>446</v>
      </c>
      <c r="BL5" s="34" t="s">
        <v>344</v>
      </c>
      <c r="BM5" s="41" t="s">
        <v>364</v>
      </c>
      <c r="BN5" s="34" t="s">
        <v>351</v>
      </c>
      <c r="BO5" s="41" t="s">
        <v>366</v>
      </c>
    </row>
    <row r="6" spans="1:76" x14ac:dyDescent="0.35">
      <c r="A6" s="1" t="s">
        <v>20</v>
      </c>
      <c r="B6" s="63">
        <f ca="1">IFERROR(VLOOKUP(B$1,BLANK!$M:$N,2,FALSE),0)</f>
        <v>0</v>
      </c>
      <c r="C6" s="63">
        <f>IFERROR(VLOOKUP(C$1,BLANK!$M:$N,2,FALSE),0)</f>
        <v>0</v>
      </c>
      <c r="D6" s="63">
        <f>IFERROR(VLOOKUP(D$1,BLANK!$M:$N,2,FALSE),0)</f>
        <v>0</v>
      </c>
      <c r="E6" s="63">
        <f>IFERROR(VLOOKUP(E$1,BLANK!$M:$N,2,FALSE),0)</f>
        <v>0</v>
      </c>
      <c r="F6" s="63">
        <f>IFERROR(VLOOKUP(F$1,BLANK!$M:$N,2,FALSE),0)</f>
        <v>0</v>
      </c>
      <c r="G6" s="63">
        <f>IFERROR(VLOOKUP(G$1,BLANK!$M:$N,2,FALSE),0)</f>
        <v>0</v>
      </c>
      <c r="H6" s="63">
        <f>IFERROR(VLOOKUP(H$1,BLANK!$M:$N,2,FALSE),0)</f>
        <v>0</v>
      </c>
      <c r="I6" s="63">
        <f>IFERROR(VLOOKUP(I$1,BLANK!$M:$N,2,FALSE),0)</f>
        <v>0</v>
      </c>
      <c r="J6" s="63">
        <f>IFERROR(VLOOKUP(J$1,BLANK!$P:$R,3,FALSE),0)</f>
        <v>0</v>
      </c>
      <c r="K6" s="63">
        <f>IFERROR(VLOOKUP(K$1,BLANK!$P:$R,3,FALSE),0)</f>
        <v>0</v>
      </c>
      <c r="L6" s="63">
        <f>IFERROR(VLOOKUP(L$1,BLANK!$P:$R,3,FALSE),0)</f>
        <v>0</v>
      </c>
      <c r="M6" s="63">
        <f>IFERROR(VLOOKUP(M$1,BLANK!$P:$R,3,FALSE),0)</f>
        <v>0</v>
      </c>
      <c r="N6" s="63">
        <f>IFERROR(VLOOKUP(N$1,BLANK!$P:$R,3,FALSE),0)</f>
        <v>0</v>
      </c>
      <c r="O6" s="63">
        <f>IFERROR(VLOOKUP(O$1,BLANK!$P:$R,3,FALSE),0)</f>
        <v>0</v>
      </c>
      <c r="P6" s="63">
        <f>IFERROR(VLOOKUP(P$1,BLANK!$P:$R,3,FALSE),0)</f>
        <v>0</v>
      </c>
      <c r="Q6" s="63">
        <f ca="1">IFERROR(VLOOKUP(Q$1,BLANK!$M:$N,2,FALSE),0)</f>
        <v>0</v>
      </c>
      <c r="R6" s="63">
        <f>IFERROR(VLOOKUP(R$1,BLANK!$P:$R,3,FALSE),0)</f>
        <v>0</v>
      </c>
      <c r="S6" s="63">
        <f>IFERROR(VLOOKUP(S$1,BLANK!$P:$R,3,FALSE),0)</f>
        <v>0</v>
      </c>
      <c r="T6" s="63">
        <f>VLOOKUP("TAX*",BLANK!$M:$Q,5,FALSE)</f>
        <v>0</v>
      </c>
      <c r="U6" s="63">
        <f ca="1">VLOOKUP("CUSTOMER BID AMOUNT*",BLANK!$M:$Q,5,FALSE)</f>
        <v>0</v>
      </c>
      <c r="V6" s="63">
        <f ca="1">IFERROR(VLOOKUP(V$1,BLANK!$P:$R,3,FALSE),0)</f>
        <v>0</v>
      </c>
      <c r="X6" s="66" t="s">
        <v>194</v>
      </c>
      <c r="Y6" s="1" t="s">
        <v>288</v>
      </c>
      <c r="Z6" s="63">
        <f>Table1[[#This Row],[D:D]]</f>
        <v>125.4</v>
      </c>
      <c r="AA6" s="1" t="s">
        <v>116</v>
      </c>
      <c r="AD6" s="1" t="s">
        <v>17</v>
      </c>
      <c r="AE6" s="1">
        <v>114</v>
      </c>
      <c r="AF6" s="1">
        <f>Table1[[#This Row],[C:C]]*1.1</f>
        <v>125.4</v>
      </c>
      <c r="AI6" s="1">
        <f>IFERROR(VLOOKUP(X6,#REF!,8,FALSE),0)</f>
        <v>0</v>
      </c>
      <c r="AN6" s="1" t="str">
        <f>PROD_ID_TABLE[[#This Row],[PROD ID]]</f>
        <v xml:space="preserve"> 3477 EPOXN//A3 G</v>
      </c>
      <c r="AO6" s="1" t="str">
        <f t="shared" si="2"/>
        <v>RESUPRIME 3477 EPOXY WATER PRIMER/SEALERN/A3 GAL</v>
      </c>
      <c r="AP6" s="3">
        <f t="shared" si="3"/>
        <v>217.16</v>
      </c>
      <c r="AQ6" s="1" t="str">
        <f t="shared" si="4"/>
        <v>3 GAL</v>
      </c>
      <c r="AS6" s="1" t="str">
        <f t="shared" si="5"/>
        <v>N/A</v>
      </c>
      <c r="AT6" s="1" t="s">
        <v>337</v>
      </c>
      <c r="AU6" s="1" t="s">
        <v>406</v>
      </c>
      <c r="AV6" s="1" t="str">
        <f t="shared" si="6"/>
        <v>RESUPRIME 3504 HIGH SOLID CLEAR PRIMER/SEALER2 GAL</v>
      </c>
      <c r="AW6" s="134">
        <v>168.31</v>
      </c>
      <c r="AY6" t="str">
        <f t="shared" si="7"/>
        <v xml:space="preserve"> 3477 EPOXN//A3 G</v>
      </c>
      <c r="AZ6" s="1" t="str">
        <f t="shared" si="8"/>
        <v xml:space="preserve"> 3477 EPOX</v>
      </c>
      <c r="BA6" t="str">
        <f t="shared" si="9"/>
        <v>N//A</v>
      </c>
      <c r="BB6" s="1" t="str">
        <f t="shared" si="0"/>
        <v>3 G</v>
      </c>
      <c r="BC6" s="1">
        <f t="shared" si="1"/>
        <v>217.16</v>
      </c>
      <c r="BD6" s="50" t="s">
        <v>336</v>
      </c>
      <c r="BE6" s="49" t="s">
        <v>398</v>
      </c>
      <c r="BF6" s="49" t="s">
        <v>407</v>
      </c>
      <c r="BG6" s="49" t="s">
        <v>364</v>
      </c>
      <c r="BH6" s="39" t="s">
        <v>398</v>
      </c>
      <c r="BJ6" s="1" t="s">
        <v>447</v>
      </c>
      <c r="BL6" s="34" t="s">
        <v>340</v>
      </c>
      <c r="BM6" s="41" t="s">
        <v>364</v>
      </c>
      <c r="BN6" s="34" t="s">
        <v>352</v>
      </c>
      <c r="BO6" s="41" t="s">
        <v>366</v>
      </c>
    </row>
    <row r="7" spans="1:76" x14ac:dyDescent="0.35">
      <c r="A7" s="1" t="s">
        <v>21</v>
      </c>
      <c r="B7" s="63"/>
      <c r="C7" s="63"/>
      <c r="D7" s="63"/>
      <c r="E7" s="63"/>
      <c r="F7" s="63"/>
      <c r="G7" s="63"/>
      <c r="H7" s="63"/>
      <c r="I7" s="63"/>
      <c r="J7" s="63"/>
      <c r="K7" s="63"/>
      <c r="L7" s="63"/>
      <c r="M7" s="63"/>
      <c r="N7" s="63"/>
      <c r="O7" s="63"/>
      <c r="P7" s="63"/>
      <c r="Q7" s="63"/>
      <c r="R7" s="63"/>
      <c r="S7" s="63"/>
      <c r="T7" s="63"/>
      <c r="U7" s="63"/>
      <c r="V7" s="63"/>
      <c r="X7" s="66" t="s">
        <v>895</v>
      </c>
      <c r="Y7" s="1" t="s">
        <v>129</v>
      </c>
      <c r="Z7" s="63">
        <f>Table1[[#This Row],[D:D]]</f>
        <v>440.00000000000006</v>
      </c>
      <c r="AA7" s="1" t="s">
        <v>118</v>
      </c>
      <c r="AD7" s="1" t="s">
        <v>17</v>
      </c>
      <c r="AE7" s="1">
        <v>400</v>
      </c>
      <c r="AF7" s="1">
        <f>Table1[[#This Row],[C:C]]*1.1</f>
        <v>440.00000000000006</v>
      </c>
      <c r="AI7" s="1">
        <f>IFERROR(VLOOKUP(X7,#REF!,8,FALSE),0)</f>
        <v>0</v>
      </c>
      <c r="AN7" s="1" t="str">
        <f>PROD_ID_TABLE[[#This Row],[PROD ID]]</f>
        <v xml:space="preserve"> 3477 EPOXN//A15 </v>
      </c>
      <c r="AO7" s="1" t="str">
        <f t="shared" si="2"/>
        <v>RESUPRIME 3477 EPOXY WATER PRIMER/SEALERN/A15 GAL</v>
      </c>
      <c r="AP7" s="3">
        <f t="shared" si="3"/>
        <v>1034.58</v>
      </c>
      <c r="AQ7" s="1" t="str">
        <f t="shared" si="4"/>
        <v>15 GAL</v>
      </c>
      <c r="AS7" s="1" t="str">
        <f t="shared" si="5"/>
        <v>N/A</v>
      </c>
      <c r="AT7" s="1" t="s">
        <v>337</v>
      </c>
      <c r="AU7" s="1" t="s">
        <v>410</v>
      </c>
      <c r="AV7" s="1" t="str">
        <f t="shared" si="6"/>
        <v>RESUPRIME 3504 HIGH SOLID CLEAR PRIMER/SEALER10 GAL</v>
      </c>
      <c r="AW7" s="134">
        <v>800.36</v>
      </c>
      <c r="AY7" t="str">
        <f t="shared" si="7"/>
        <v xml:space="preserve"> 3477 EPOXN//A15 </v>
      </c>
      <c r="AZ7" s="1" t="str">
        <f t="shared" si="8"/>
        <v xml:space="preserve"> 3477 EPOX</v>
      </c>
      <c r="BA7" t="str">
        <f t="shared" si="9"/>
        <v>N//A</v>
      </c>
      <c r="BB7" s="1" t="str">
        <f t="shared" si="0"/>
        <v xml:space="preserve">15 </v>
      </c>
      <c r="BC7" s="1">
        <f t="shared" si="1"/>
        <v>1034.58</v>
      </c>
      <c r="BD7" s="1" t="s">
        <v>336</v>
      </c>
      <c r="BE7" s="14" t="s">
        <v>398</v>
      </c>
      <c r="BF7" s="14" t="s">
        <v>408</v>
      </c>
      <c r="BG7" s="14" t="s">
        <v>364</v>
      </c>
      <c r="BH7" s="39" t="s">
        <v>315</v>
      </c>
      <c r="BJ7" s="1" t="s">
        <v>448</v>
      </c>
      <c r="BL7" s="1" t="s">
        <v>339</v>
      </c>
      <c r="BM7" s="41" t="s">
        <v>364</v>
      </c>
    </row>
    <row r="8" spans="1:76" x14ac:dyDescent="0.35">
      <c r="B8" s="63"/>
      <c r="C8" s="63"/>
      <c r="D8" s="63"/>
      <c r="E8" s="63"/>
      <c r="F8" s="63"/>
      <c r="G8" s="63"/>
      <c r="H8" s="63"/>
      <c r="I8" s="63"/>
      <c r="J8" s="63"/>
      <c r="K8" s="63"/>
      <c r="L8" s="63"/>
      <c r="M8" s="63"/>
      <c r="N8" s="63"/>
      <c r="O8" s="63"/>
      <c r="P8" s="63"/>
      <c r="Q8" s="63"/>
      <c r="R8" s="63"/>
      <c r="S8" s="63"/>
      <c r="T8" s="63"/>
      <c r="U8" s="63"/>
      <c r="V8" s="63"/>
      <c r="X8" s="66" t="s">
        <v>190</v>
      </c>
      <c r="Y8" s="1" t="s">
        <v>287</v>
      </c>
      <c r="Z8" s="63">
        <f>Table1[[#This Row],[D:D]]</f>
        <v>125.4</v>
      </c>
      <c r="AA8" s="1" t="s">
        <v>116</v>
      </c>
      <c r="AD8" s="1" t="s">
        <v>17</v>
      </c>
      <c r="AE8" s="1">
        <v>114</v>
      </c>
      <c r="AF8" s="1">
        <f>Table1[[#This Row],[C:C]]*1.1</f>
        <v>125.4</v>
      </c>
      <c r="AI8" s="1">
        <f>IFERROR(VLOOKUP(X8,#REF!,8,FALSE),0)</f>
        <v>0</v>
      </c>
      <c r="AN8" s="1" t="str">
        <f>PROD_ID_TABLE[[#This Row],[PROD ID]]</f>
        <v xml:space="preserve"> 3504 HIGHCLAR2 G</v>
      </c>
      <c r="AO8" s="1" t="str">
        <f t="shared" si="2"/>
        <v>RESUPRIME 3504 HIGH SOLID CLEAR PRIMER/SEALERCLEAR2 GAL</v>
      </c>
      <c r="AP8" s="3">
        <f t="shared" si="3"/>
        <v>168.31</v>
      </c>
      <c r="AQ8" s="1" t="str">
        <f t="shared" si="4"/>
        <v>2 GAL</v>
      </c>
      <c r="AS8" s="1" t="str">
        <f t="shared" si="5"/>
        <v>CLEAR</v>
      </c>
      <c r="AT8" s="1" t="s">
        <v>338</v>
      </c>
      <c r="AU8" s="1" t="s">
        <v>407</v>
      </c>
      <c r="AV8" s="1" t="str">
        <f t="shared" si="6"/>
        <v>RESUPRIME 3579 HIGH SOLID EPOXY PRIMER/BINDER3 GAL</v>
      </c>
      <c r="AW8" s="134">
        <v>187.14</v>
      </c>
      <c r="AY8" t="str">
        <f t="shared" si="7"/>
        <v xml:space="preserve"> 3504 HIGHCLAR2 G</v>
      </c>
      <c r="AZ8" s="1" t="str">
        <f t="shared" si="8"/>
        <v xml:space="preserve"> 3504 HIGH</v>
      </c>
      <c r="BA8" t="str">
        <f t="shared" si="9"/>
        <v>CLAR</v>
      </c>
      <c r="BB8" s="1" t="str">
        <f t="shared" si="0"/>
        <v>2 G</v>
      </c>
      <c r="BC8" s="1">
        <f t="shared" si="1"/>
        <v>168.31</v>
      </c>
      <c r="BD8" s="62" t="s">
        <v>337</v>
      </c>
      <c r="BE8" s="55" t="s">
        <v>315</v>
      </c>
      <c r="BF8" s="55" t="s">
        <v>406</v>
      </c>
      <c r="BG8" s="55" t="s">
        <v>364</v>
      </c>
      <c r="BH8" s="39" t="s">
        <v>317</v>
      </c>
      <c r="BM8" s="41" t="s">
        <v>364</v>
      </c>
    </row>
    <row r="9" spans="1:76" x14ac:dyDescent="0.35">
      <c r="B9" s="63">
        <f t="shared" ref="B9:T9" ca="1" si="10">SUM(B2:B8)</f>
        <v>0</v>
      </c>
      <c r="C9" s="63">
        <f t="shared" ca="1" si="10"/>
        <v>0</v>
      </c>
      <c r="D9" s="63">
        <f t="shared" ca="1" si="10"/>
        <v>0</v>
      </c>
      <c r="E9" s="63">
        <f t="shared" ca="1" si="10"/>
        <v>0</v>
      </c>
      <c r="F9" s="63">
        <f t="shared" ca="1" si="10"/>
        <v>0</v>
      </c>
      <c r="G9" s="63">
        <f t="shared" ca="1" si="10"/>
        <v>0</v>
      </c>
      <c r="H9" s="63">
        <f t="shared" ca="1" si="10"/>
        <v>0</v>
      </c>
      <c r="I9" s="63">
        <f t="shared" ca="1" si="10"/>
        <v>0</v>
      </c>
      <c r="J9" s="63">
        <f t="shared" ca="1" si="10"/>
        <v>0</v>
      </c>
      <c r="K9" s="63">
        <f t="shared" ca="1" si="10"/>
        <v>0</v>
      </c>
      <c r="L9" s="63">
        <f t="shared" ca="1" si="10"/>
        <v>0</v>
      </c>
      <c r="M9" s="63">
        <f t="shared" si="10"/>
        <v>0</v>
      </c>
      <c r="N9" s="63">
        <f t="shared" si="10"/>
        <v>0</v>
      </c>
      <c r="O9" s="63">
        <f t="shared" si="10"/>
        <v>0</v>
      </c>
      <c r="P9" s="63">
        <f t="shared" si="10"/>
        <v>0</v>
      </c>
      <c r="Q9" s="63">
        <f t="shared" ca="1" si="10"/>
        <v>0</v>
      </c>
      <c r="R9" s="63">
        <f t="shared" si="10"/>
        <v>0</v>
      </c>
      <c r="S9" s="63">
        <f t="shared" si="10"/>
        <v>0</v>
      </c>
      <c r="T9" s="63">
        <f t="shared" ca="1" si="10"/>
        <v>0</v>
      </c>
      <c r="U9" s="63">
        <f ca="1">SUM(U2:U8)</f>
        <v>0</v>
      </c>
      <c r="V9" s="63">
        <f ca="1">SUM(V2:V8)</f>
        <v>0</v>
      </c>
      <c r="X9" s="66" t="s">
        <v>883</v>
      </c>
      <c r="Y9" s="1" t="s">
        <v>885</v>
      </c>
      <c r="Z9" s="63">
        <f>Table1[[#This Row],[D:D]]</f>
        <v>973.50000000000011</v>
      </c>
      <c r="AA9" s="1" t="s">
        <v>87</v>
      </c>
      <c r="AD9" s="1" t="s">
        <v>17</v>
      </c>
      <c r="AE9" s="1">
        <v>885</v>
      </c>
      <c r="AF9" s="1">
        <f>Table1[[#This Row],[C:C]]*1.1</f>
        <v>973.50000000000011</v>
      </c>
      <c r="AI9" s="1">
        <f>IFERROR(VLOOKUP(X9,#REF!,8,FALSE),0)</f>
        <v>0</v>
      </c>
      <c r="AN9" s="1" t="str">
        <f>PROD_ID_TABLE[[#This Row],[PROD ID]]</f>
        <v xml:space="preserve"> 3504 HIGHGRAY2 G</v>
      </c>
      <c r="AO9" s="1" t="str">
        <f t="shared" si="2"/>
        <v>RESUPRIME 3504 HIGH SOLID CLEAR PRIMER/SEALERGRAY2 GAL</v>
      </c>
      <c r="AP9" s="3">
        <f t="shared" si="3"/>
        <v>168.31</v>
      </c>
      <c r="AQ9" s="1" t="str">
        <f t="shared" si="4"/>
        <v>2 GAL</v>
      </c>
      <c r="AS9" s="1" t="str">
        <f t="shared" si="5"/>
        <v>GRAY</v>
      </c>
      <c r="AT9" s="1" t="s">
        <v>338</v>
      </c>
      <c r="AU9" s="1" t="s">
        <v>408</v>
      </c>
      <c r="AV9" s="1" t="str">
        <f t="shared" si="6"/>
        <v>RESUPRIME 3579 HIGH SOLID EPOXY PRIMER/BINDER15 GAL</v>
      </c>
      <c r="AW9" s="134">
        <v>873.92</v>
      </c>
      <c r="AY9" t="str">
        <f t="shared" si="7"/>
        <v xml:space="preserve"> 3504 HIGHGRAY2 G</v>
      </c>
      <c r="AZ9" s="1" t="str">
        <f t="shared" si="8"/>
        <v xml:space="preserve"> 3504 HIGH</v>
      </c>
      <c r="BA9" t="str">
        <f t="shared" si="9"/>
        <v>GRAY</v>
      </c>
      <c r="BB9" s="1" t="str">
        <f t="shared" si="0"/>
        <v>2 G</v>
      </c>
      <c r="BC9" s="1">
        <f t="shared" si="1"/>
        <v>168.31</v>
      </c>
      <c r="BD9" s="62" t="s">
        <v>337</v>
      </c>
      <c r="BE9" s="55" t="s">
        <v>317</v>
      </c>
      <c r="BF9" s="55" t="s">
        <v>406</v>
      </c>
      <c r="BG9" s="55" t="s">
        <v>364</v>
      </c>
      <c r="BH9" s="39" t="s">
        <v>322</v>
      </c>
    </row>
    <row r="10" spans="1:76" x14ac:dyDescent="0.35">
      <c r="N10" s="1" t="s">
        <v>13</v>
      </c>
      <c r="X10" s="66" t="s">
        <v>884</v>
      </c>
      <c r="Y10" s="1" t="s">
        <v>885</v>
      </c>
      <c r="Z10" s="63">
        <f>Table1[[#This Row],[D:D]]</f>
        <v>194.70000000000002</v>
      </c>
      <c r="AA10" s="1" t="s">
        <v>86</v>
      </c>
      <c r="AD10" s="1" t="s">
        <v>17</v>
      </c>
      <c r="AE10" s="1">
        <v>177</v>
      </c>
      <c r="AF10" s="1">
        <f>Table1[[#This Row],[C:C]]*1.1</f>
        <v>194.70000000000002</v>
      </c>
      <c r="AI10" s="1">
        <f>IFERROR(VLOOKUP(X10,#REF!,8,FALSE),0)</f>
        <v>0</v>
      </c>
      <c r="AN10" s="1" t="str">
        <f>PROD_ID_TABLE[[#This Row],[PROD ID]]</f>
        <v xml:space="preserve"> 3504 HIGHWHTE2 G</v>
      </c>
      <c r="AO10" s="1" t="str">
        <f t="shared" si="2"/>
        <v>RESUPRIME 3504 HIGH SOLID CLEAR PRIMER/SEALERWHITE2 GAL</v>
      </c>
      <c r="AP10" s="3">
        <f t="shared" si="3"/>
        <v>168.31</v>
      </c>
      <c r="AQ10" s="1" t="str">
        <f t="shared" si="4"/>
        <v>2 GAL</v>
      </c>
      <c r="AS10" s="1" t="str">
        <f t="shared" si="5"/>
        <v>WHITE</v>
      </c>
      <c r="AT10" s="1" t="s">
        <v>344</v>
      </c>
      <c r="AU10" s="1" t="s">
        <v>406</v>
      </c>
      <c r="AV10" s="1" t="str">
        <f t="shared" si="6"/>
        <v>RESUPRIME 3831 MVB MOISTURE EPOXY PRIMER2 GAL</v>
      </c>
      <c r="AW10" s="134">
        <v>135.36000000000001</v>
      </c>
      <c r="AY10" t="str">
        <f t="shared" si="7"/>
        <v xml:space="preserve"> 3504 HIGHWHTE2 G</v>
      </c>
      <c r="AZ10" s="1" t="str">
        <f t="shared" si="8"/>
        <v xml:space="preserve"> 3504 HIGH</v>
      </c>
      <c r="BA10" t="str">
        <f t="shared" si="9"/>
        <v>WHTE</v>
      </c>
      <c r="BB10" s="1" t="str">
        <f t="shared" si="0"/>
        <v>2 G</v>
      </c>
      <c r="BC10" s="1">
        <f t="shared" si="1"/>
        <v>168.31</v>
      </c>
      <c r="BD10" s="62" t="s">
        <v>337</v>
      </c>
      <c r="BE10" s="55" t="s">
        <v>322</v>
      </c>
      <c r="BF10" s="55" t="s">
        <v>406</v>
      </c>
      <c r="BG10" s="55" t="s">
        <v>364</v>
      </c>
      <c r="BH10" s="39" t="s">
        <v>323</v>
      </c>
    </row>
    <row r="11" spans="1:76" x14ac:dyDescent="0.35">
      <c r="X11" s="66" t="s">
        <v>66</v>
      </c>
      <c r="Y11" s="1" t="s">
        <v>67</v>
      </c>
      <c r="Z11" s="63">
        <f>Table1[[#This Row],[D:D]]</f>
        <v>9.1740000000000013</v>
      </c>
      <c r="AA11" s="1" t="s">
        <v>69</v>
      </c>
      <c r="AC11" s="1" t="s">
        <v>68</v>
      </c>
      <c r="AD11" s="1" t="s">
        <v>17</v>
      </c>
      <c r="AE11" s="1">
        <v>8.34</v>
      </c>
      <c r="AF11" s="1">
        <f>Table1[[#This Row],[C:C]]*1.1</f>
        <v>9.1740000000000013</v>
      </c>
      <c r="AI11" s="1">
        <f>IFERROR(VLOOKUP(X11,#REF!,8,FALSE),0)</f>
        <v>0</v>
      </c>
      <c r="AN11" s="1" t="str">
        <f>PROD_ID_TABLE[[#This Row],[PROD ID]]</f>
        <v xml:space="preserve"> 3504 HIGHCLAR10 </v>
      </c>
      <c r="AO11" s="1" t="str">
        <f t="shared" si="2"/>
        <v>RESUPRIME 3504 HIGH SOLID CLEAR PRIMER/SEALERCLEAR10 GAL</v>
      </c>
      <c r="AP11" s="3">
        <f t="shared" si="3"/>
        <v>800.36</v>
      </c>
      <c r="AQ11" s="1" t="str">
        <f t="shared" si="4"/>
        <v>10 GAL</v>
      </c>
      <c r="AS11" s="1" t="str">
        <f t="shared" si="5"/>
        <v>CLEAR</v>
      </c>
      <c r="AT11" s="1" t="s">
        <v>344</v>
      </c>
      <c r="AU11" s="1" t="s">
        <v>410</v>
      </c>
      <c r="AV11" s="1" t="str">
        <f t="shared" si="6"/>
        <v>RESUPRIME 3831 MVB MOISTURE EPOXY PRIMER10 GAL</v>
      </c>
      <c r="AW11" s="134">
        <v>641.47</v>
      </c>
      <c r="AY11" t="str">
        <f t="shared" si="7"/>
        <v xml:space="preserve"> 3504 HIGHCLAR10 </v>
      </c>
      <c r="AZ11" s="1" t="str">
        <f t="shared" si="8"/>
        <v xml:space="preserve"> 3504 HIGH</v>
      </c>
      <c r="BA11" t="str">
        <f t="shared" si="9"/>
        <v>CLAR</v>
      </c>
      <c r="BB11" s="1" t="str">
        <f t="shared" si="0"/>
        <v xml:space="preserve">10 </v>
      </c>
      <c r="BC11" s="1">
        <f t="shared" si="1"/>
        <v>800.36</v>
      </c>
      <c r="BD11" s="62" t="s">
        <v>337</v>
      </c>
      <c r="BE11" s="55" t="s">
        <v>315</v>
      </c>
      <c r="BF11" s="55" t="s">
        <v>410</v>
      </c>
      <c r="BG11" s="55" t="s">
        <v>364</v>
      </c>
      <c r="BH11" s="39" t="s">
        <v>387</v>
      </c>
    </row>
    <row r="12" spans="1:76" x14ac:dyDescent="0.35">
      <c r="C12" s="4"/>
      <c r="F12" s="4"/>
      <c r="I12" s="4"/>
      <c r="L12" s="4"/>
      <c r="O12" s="4"/>
      <c r="R12" s="4"/>
      <c r="U12" s="4"/>
      <c r="X12" s="66" t="s">
        <v>58</v>
      </c>
      <c r="Y12" s="1" t="s">
        <v>61</v>
      </c>
      <c r="Z12" s="63">
        <f>Table1[[#This Row],[D:D]]</f>
        <v>198.00000000000003</v>
      </c>
      <c r="AA12" s="1" t="s">
        <v>70</v>
      </c>
      <c r="AD12" s="1" t="s">
        <v>17</v>
      </c>
      <c r="AE12" s="1">
        <v>180</v>
      </c>
      <c r="AF12" s="1">
        <f>Table1[[#This Row],[C:C]]*1.1</f>
        <v>198.00000000000003</v>
      </c>
      <c r="AI12" s="1">
        <f>IFERROR(VLOOKUP(X12,#REF!,8,FALSE),0)</f>
        <v>0</v>
      </c>
      <c r="AN12" s="1" t="str">
        <f>PROD_ID_TABLE[[#This Row],[PROD ID]]</f>
        <v xml:space="preserve"> 3504 HIGHGRAY10 </v>
      </c>
      <c r="AO12" s="1" t="str">
        <f t="shared" si="2"/>
        <v>RESUPRIME 3504 HIGH SOLID CLEAR PRIMER/SEALERGRAY10 GAL</v>
      </c>
      <c r="AP12" s="3">
        <f t="shared" si="3"/>
        <v>800.36</v>
      </c>
      <c r="AQ12" s="1" t="str">
        <f t="shared" si="4"/>
        <v>10 GAL</v>
      </c>
      <c r="AS12" s="1" t="str">
        <f t="shared" si="5"/>
        <v>GRAY</v>
      </c>
      <c r="AT12" s="1" t="s">
        <v>339</v>
      </c>
      <c r="AU12" s="1" t="s">
        <v>407</v>
      </c>
      <c r="AV12" s="1" t="str">
        <f t="shared" si="6"/>
        <v>RESUPRIME MVP EPOXY PRIMER3 GAL</v>
      </c>
      <c r="AW12" s="134">
        <v>421.2</v>
      </c>
      <c r="AY12" t="str">
        <f t="shared" si="7"/>
        <v xml:space="preserve"> 3504 HIGHGRAY10 </v>
      </c>
      <c r="AZ12" s="1" t="str">
        <f t="shared" si="8"/>
        <v xml:space="preserve"> 3504 HIGH</v>
      </c>
      <c r="BA12" t="str">
        <f t="shared" si="9"/>
        <v>GRAY</v>
      </c>
      <c r="BB12" s="1" t="str">
        <f t="shared" si="0"/>
        <v xml:space="preserve">10 </v>
      </c>
      <c r="BC12" s="1">
        <f t="shared" si="1"/>
        <v>800.36</v>
      </c>
      <c r="BD12" s="62" t="s">
        <v>337</v>
      </c>
      <c r="BE12" s="55" t="s">
        <v>317</v>
      </c>
      <c r="BF12" s="55" t="s">
        <v>410</v>
      </c>
      <c r="BG12" s="55" t="s">
        <v>364</v>
      </c>
      <c r="BH12" s="39" t="s">
        <v>393</v>
      </c>
    </row>
    <row r="13" spans="1:76" ht="15" thickBot="1" x14ac:dyDescent="0.4">
      <c r="A13" s="1" t="s">
        <v>511</v>
      </c>
      <c r="B13" s="1" t="s">
        <v>512</v>
      </c>
      <c r="C13" s="41" t="s">
        <v>513</v>
      </c>
      <c r="D13" s="1" t="s">
        <v>514</v>
      </c>
      <c r="E13" s="41" t="s">
        <v>515</v>
      </c>
      <c r="F13" s="1" t="s">
        <v>516</v>
      </c>
      <c r="G13" s="41" t="s">
        <v>517</v>
      </c>
      <c r="I13" s="1" t="s">
        <v>461</v>
      </c>
      <c r="J13" s="1" t="s">
        <v>519</v>
      </c>
      <c r="K13" s="1" t="s">
        <v>335</v>
      </c>
      <c r="L13" s="1" t="s">
        <v>334</v>
      </c>
      <c r="M13" s="1" t="s">
        <v>182</v>
      </c>
      <c r="X13" s="66" t="s">
        <v>112</v>
      </c>
      <c r="Y13" s="1" t="s">
        <v>113</v>
      </c>
      <c r="Z13" s="63">
        <f>Table1[[#This Row],[D:D]]</f>
        <v>28.05</v>
      </c>
      <c r="AA13" s="1" t="s">
        <v>114</v>
      </c>
      <c r="AD13" s="1" t="s">
        <v>17</v>
      </c>
      <c r="AE13" s="1">
        <v>25.5</v>
      </c>
      <c r="AF13" s="1">
        <f>Table1[[#This Row],[C:C]]*1.1</f>
        <v>28.05</v>
      </c>
      <c r="AI13" s="1">
        <f>IFERROR(VLOOKUP(X13,#REF!,8,FALSE),0)</f>
        <v>0</v>
      </c>
      <c r="AN13" s="1" t="str">
        <f>PROD_ID_TABLE[[#This Row],[PROD ID]]</f>
        <v xml:space="preserve"> 3504 HIGHWHTE10 </v>
      </c>
      <c r="AO13" s="1" t="str">
        <f t="shared" si="2"/>
        <v>RESUPRIME 3504 HIGH SOLID CLEAR PRIMER/SEALERWHITE10 GAL</v>
      </c>
      <c r="AP13" s="3">
        <f t="shared" si="3"/>
        <v>800.36</v>
      </c>
      <c r="AQ13" s="1" t="str">
        <f t="shared" si="4"/>
        <v>10 GAL</v>
      </c>
      <c r="AS13" s="1" t="str">
        <f t="shared" si="5"/>
        <v>WHITE</v>
      </c>
      <c r="AT13" s="1" t="s">
        <v>339</v>
      </c>
      <c r="AU13" s="1" t="s">
        <v>408</v>
      </c>
      <c r="AV13" s="1" t="str">
        <f t="shared" si="6"/>
        <v>RESUPRIME MVP EPOXY PRIMER15 GAL</v>
      </c>
      <c r="AW13" s="134">
        <v>1787.3999999999999</v>
      </c>
      <c r="AY13" t="str">
        <f t="shared" si="7"/>
        <v xml:space="preserve"> 3504 HIGHWHTE10 </v>
      </c>
      <c r="AZ13" s="1" t="str">
        <f t="shared" si="8"/>
        <v xml:space="preserve"> 3504 HIGH</v>
      </c>
      <c r="BA13" t="str">
        <f t="shared" si="9"/>
        <v>WHTE</v>
      </c>
      <c r="BB13" s="1" t="str">
        <f t="shared" si="0"/>
        <v xml:space="preserve">10 </v>
      </c>
      <c r="BC13" s="1">
        <f t="shared" si="1"/>
        <v>800.36</v>
      </c>
      <c r="BD13" s="62" t="s">
        <v>337</v>
      </c>
      <c r="BE13" s="55" t="s">
        <v>322</v>
      </c>
      <c r="BF13" s="55" t="s">
        <v>410</v>
      </c>
      <c r="BG13" s="55" t="s">
        <v>364</v>
      </c>
      <c r="BH13" s="40"/>
    </row>
    <row r="14" spans="1:76" x14ac:dyDescent="0.35">
      <c r="A14" s="1" t="s">
        <v>490</v>
      </c>
      <c r="B14" s="1" t="s">
        <v>740</v>
      </c>
      <c r="C14" s="41" t="s">
        <v>486</v>
      </c>
      <c r="D14" s="1" t="s">
        <v>481</v>
      </c>
      <c r="E14" s="41" t="s">
        <v>719</v>
      </c>
      <c r="F14" s="1" t="s">
        <v>474</v>
      </c>
      <c r="G14" s="41" t="s">
        <v>472</v>
      </c>
      <c r="I14" s="1" t="s">
        <v>88</v>
      </c>
      <c r="J14" s="1" t="str">
        <f t="shared" ref="J14:J69" si="11">_xlfn.CONCAT(K14:M14)</f>
        <v>SGC DECK BASE COAT 308N/A5 GAL</v>
      </c>
      <c r="K14" s="1" t="s">
        <v>490</v>
      </c>
      <c r="L14" s="1" t="s">
        <v>398</v>
      </c>
      <c r="M14" s="1" t="s">
        <v>412</v>
      </c>
      <c r="X14" s="66" t="s">
        <v>117</v>
      </c>
      <c r="Y14" s="1" t="s">
        <v>113</v>
      </c>
      <c r="Z14" s="63">
        <f>Table1[[#This Row],[D:D]]</f>
        <v>514.25000000000011</v>
      </c>
      <c r="AA14" s="1" t="s">
        <v>118</v>
      </c>
      <c r="AD14" s="1" t="s">
        <v>17</v>
      </c>
      <c r="AE14" s="1">
        <v>467.50000000000006</v>
      </c>
      <c r="AF14" s="1">
        <f>Table1[[#This Row],[C:C]]*1.1</f>
        <v>514.25000000000011</v>
      </c>
      <c r="AI14" s="1">
        <f>IFERROR(VLOOKUP(X14,#REF!,8,FALSE),0)</f>
        <v>0</v>
      </c>
      <c r="AN14" s="1" t="str">
        <f>PROD_ID_TABLE[[#This Row],[PROD ID]]</f>
        <v xml:space="preserve"> 3579 HIGHCOAY3 G</v>
      </c>
      <c r="AO14" s="1" t="str">
        <f t="shared" si="2"/>
        <v>RESUPRIME 3579 HIGH SOLID EPOXY PRIMER/BINDERCONCRETE GRAY3 GAL</v>
      </c>
      <c r="AP14" s="3">
        <f t="shared" si="3"/>
        <v>187.14</v>
      </c>
      <c r="AQ14" s="1" t="str">
        <f t="shared" si="4"/>
        <v>3 GAL</v>
      </c>
      <c r="AS14" s="1" t="str">
        <f t="shared" si="5"/>
        <v>CONCRETE GRAY</v>
      </c>
      <c r="AT14" s="1" t="s">
        <v>340</v>
      </c>
      <c r="AU14" s="1" t="s">
        <v>411</v>
      </c>
      <c r="AV14" s="1" t="str">
        <f t="shared" si="6"/>
        <v>RESUPRIME 5531 OIL STOP PRIMER1 QT</v>
      </c>
      <c r="AW14" s="134">
        <v>48.26</v>
      </c>
      <c r="AY14" t="str">
        <f t="shared" si="7"/>
        <v xml:space="preserve"> 3579 HIGHCOAY3 G</v>
      </c>
      <c r="AZ14" s="1" t="str">
        <f t="shared" si="8"/>
        <v xml:space="preserve"> 3579 HIGH</v>
      </c>
      <c r="BA14" t="str">
        <f t="shared" si="9"/>
        <v>COAY</v>
      </c>
      <c r="BB14" s="1" t="str">
        <f t="shared" si="0"/>
        <v>3 G</v>
      </c>
      <c r="BC14" s="1">
        <f t="shared" si="1"/>
        <v>187.14</v>
      </c>
      <c r="BD14" s="1" t="s">
        <v>338</v>
      </c>
      <c r="BE14" s="14" t="s">
        <v>393</v>
      </c>
      <c r="BF14" s="14" t="s">
        <v>407</v>
      </c>
      <c r="BG14" s="14" t="s">
        <v>364</v>
      </c>
      <c r="BH14" s="39" t="s">
        <v>406</v>
      </c>
    </row>
    <row r="15" spans="1:76" x14ac:dyDescent="0.35">
      <c r="A15" s="1" t="s">
        <v>491</v>
      </c>
      <c r="C15" s="41" t="s">
        <v>487</v>
      </c>
      <c r="D15" s="1" t="s">
        <v>482</v>
      </c>
      <c r="E15" s="41" t="s">
        <v>1047</v>
      </c>
      <c r="F15" s="1" t="s">
        <v>475</v>
      </c>
      <c r="G15" s="41" t="s">
        <v>473</v>
      </c>
      <c r="I15" s="1" t="s">
        <v>276</v>
      </c>
      <c r="J15" s="1" t="str">
        <f t="shared" si="11"/>
        <v>SGC SHIELD FLEXN/A3 GAL</v>
      </c>
      <c r="K15" s="1" t="s">
        <v>491</v>
      </c>
      <c r="L15" s="1" t="s">
        <v>398</v>
      </c>
      <c r="M15" s="1" t="s">
        <v>407</v>
      </c>
      <c r="X15" s="66" t="s">
        <v>119</v>
      </c>
      <c r="Y15" s="1" t="s">
        <v>120</v>
      </c>
      <c r="Z15" s="63">
        <f>Table1[[#This Row],[D:D]]</f>
        <v>30.855000000000004</v>
      </c>
      <c r="AA15" s="1" t="s">
        <v>114</v>
      </c>
      <c r="AD15" s="1" t="s">
        <v>17</v>
      </c>
      <c r="AE15" s="1">
        <v>28.05</v>
      </c>
      <c r="AF15" s="1">
        <f>Table1[[#This Row],[C:C]]*1.1</f>
        <v>30.855000000000004</v>
      </c>
      <c r="AI15" s="1">
        <f>IFERROR(VLOOKUP(X15,#REF!,8,FALSE),0)</f>
        <v>0</v>
      </c>
      <c r="AN15" s="1" t="str">
        <f>PROD_ID_TABLE[[#This Row],[PROD ID]]</f>
        <v xml:space="preserve"> 3579 HIGHWHTE3 G</v>
      </c>
      <c r="AO15" s="1" t="str">
        <f t="shared" si="2"/>
        <v>RESUPRIME 3579 HIGH SOLID EPOXY PRIMER/BINDERWHITE3 GAL</v>
      </c>
      <c r="AP15" s="3">
        <f t="shared" si="3"/>
        <v>187.14</v>
      </c>
      <c r="AQ15" s="1" t="str">
        <f t="shared" si="4"/>
        <v>3 GAL</v>
      </c>
      <c r="AS15" s="1" t="str">
        <f t="shared" si="5"/>
        <v>WHITE</v>
      </c>
      <c r="AT15" s="587" t="s">
        <v>340</v>
      </c>
      <c r="AU15" s="587" t="s">
        <v>412</v>
      </c>
      <c r="AV15" s="587" t="str">
        <f t="shared" si="6"/>
        <v>RESUPRIME 5531 OIL STOP PRIMER5 GAL</v>
      </c>
      <c r="AW15" s="134">
        <v>123</v>
      </c>
      <c r="AY15" t="str">
        <f t="shared" si="7"/>
        <v xml:space="preserve"> 3579 HIGHWHTE3 G</v>
      </c>
      <c r="AZ15" s="1" t="str">
        <f t="shared" si="8"/>
        <v xml:space="preserve"> 3579 HIGH</v>
      </c>
      <c r="BA15" t="str">
        <f t="shared" si="9"/>
        <v>WHTE</v>
      </c>
      <c r="BB15" s="1" t="str">
        <f t="shared" si="0"/>
        <v>3 G</v>
      </c>
      <c r="BC15" s="1">
        <f t="shared" si="1"/>
        <v>187.14</v>
      </c>
      <c r="BD15" s="1" t="s">
        <v>338</v>
      </c>
      <c r="BE15" s="14" t="s">
        <v>322</v>
      </c>
      <c r="BF15" s="14" t="s">
        <v>407</v>
      </c>
      <c r="BG15" s="14" t="s">
        <v>364</v>
      </c>
      <c r="BH15" s="39" t="s">
        <v>410</v>
      </c>
    </row>
    <row r="16" spans="1:76" x14ac:dyDescent="0.35">
      <c r="A16" s="1" t="s">
        <v>492</v>
      </c>
      <c r="C16" s="41" t="s">
        <v>488</v>
      </c>
      <c r="D16" s="1" t="s">
        <v>500</v>
      </c>
      <c r="E16" s="41" t="s">
        <v>720</v>
      </c>
      <c r="F16" s="1" t="s">
        <v>476</v>
      </c>
      <c r="G16" s="41" t="s">
        <v>518</v>
      </c>
      <c r="I16" s="1" t="s">
        <v>280</v>
      </c>
      <c r="J16" s="1" t="str">
        <f t="shared" si="11"/>
        <v>FIBERGLASS TAPEN/AROLL</v>
      </c>
      <c r="K16" s="1" t="s">
        <v>492</v>
      </c>
      <c r="L16" s="1" t="s">
        <v>398</v>
      </c>
      <c r="M16" s="1" t="s">
        <v>495</v>
      </c>
      <c r="X16" s="66" t="s">
        <v>50</v>
      </c>
      <c r="Y16" s="1" t="s">
        <v>41</v>
      </c>
      <c r="Z16" s="63">
        <f>Table1[[#This Row],[D:D]]</f>
        <v>18.359000000000002</v>
      </c>
      <c r="AA16" s="1" t="s">
        <v>77</v>
      </c>
      <c r="AC16" s="1" t="s">
        <v>982</v>
      </c>
      <c r="AD16" s="1" t="s">
        <v>17</v>
      </c>
      <c r="AE16" s="1">
        <v>16.690000000000001</v>
      </c>
      <c r="AF16" s="1">
        <f>Table1[[#This Row],[C:C]]*1.1</f>
        <v>18.359000000000002</v>
      </c>
      <c r="AI16" s="1">
        <f>IFERROR(VLOOKUP(X16,#REF!,8,FALSE),0)</f>
        <v>0</v>
      </c>
      <c r="AN16" s="1" t="str">
        <f>PROD_ID_TABLE[[#This Row],[PROD ID]]</f>
        <v xml:space="preserve"> 3579 HIGHBLCK3 G</v>
      </c>
      <c r="AO16" s="1" t="str">
        <f t="shared" si="2"/>
        <v>RESUPRIME 3579 HIGH SOLID EPOXY PRIMER/BINDERBLACK3 GAL</v>
      </c>
      <c r="AP16" s="3">
        <f t="shared" si="3"/>
        <v>187.14</v>
      </c>
      <c r="AQ16" s="1" t="str">
        <f t="shared" si="4"/>
        <v>3 GAL</v>
      </c>
      <c r="AS16" s="1" t="str">
        <f t="shared" si="5"/>
        <v>BLACK</v>
      </c>
      <c r="AT16" s="1" t="s">
        <v>358</v>
      </c>
      <c r="AU16" s="1" t="s">
        <v>397</v>
      </c>
      <c r="AV16" s="1" t="str">
        <f t="shared" si="6"/>
        <v>POLY-CRETE TF PLUS PRIMER/TOPCOATKIT</v>
      </c>
      <c r="AW16" s="134">
        <v>53.55</v>
      </c>
      <c r="AY16" t="str">
        <f t="shared" si="7"/>
        <v xml:space="preserve"> 3579 HIGHBLCK3 G</v>
      </c>
      <c r="AZ16" s="1" t="str">
        <f t="shared" si="8"/>
        <v xml:space="preserve"> 3579 HIGH</v>
      </c>
      <c r="BA16" t="str">
        <f t="shared" si="9"/>
        <v>BLCK</v>
      </c>
      <c r="BB16" s="1" t="str">
        <f t="shared" si="0"/>
        <v>3 G</v>
      </c>
      <c r="BC16" s="1">
        <f t="shared" si="1"/>
        <v>187.14</v>
      </c>
      <c r="BD16" s="1" t="s">
        <v>338</v>
      </c>
      <c r="BE16" s="14" t="s">
        <v>323</v>
      </c>
      <c r="BF16" s="14" t="s">
        <v>407</v>
      </c>
      <c r="BG16" s="14" t="s">
        <v>364</v>
      </c>
      <c r="BH16" s="39" t="s">
        <v>407</v>
      </c>
    </row>
    <row r="17" spans="1:67" x14ac:dyDescent="0.35">
      <c r="A17" s="1" t="s">
        <v>493</v>
      </c>
      <c r="C17" s="41" t="s">
        <v>489</v>
      </c>
      <c r="D17" s="1" t="s">
        <v>483</v>
      </c>
      <c r="E17" s="41" t="s">
        <v>891</v>
      </c>
      <c r="F17" s="1" t="s">
        <v>477</v>
      </c>
      <c r="G17" s="41"/>
      <c r="I17" s="1" t="s">
        <v>80</v>
      </c>
      <c r="J17" s="1" t="str">
        <f t="shared" si="11"/>
        <v>RIO COAT EPTN/A3 GAL</v>
      </c>
      <c r="K17" s="1" t="s">
        <v>493</v>
      </c>
      <c r="L17" s="1" t="s">
        <v>398</v>
      </c>
      <c r="M17" s="1" t="s">
        <v>407</v>
      </c>
      <c r="X17" s="66" t="s">
        <v>121</v>
      </c>
      <c r="Y17" s="1" t="s">
        <v>131</v>
      </c>
      <c r="Z17" s="63">
        <f>Table1[[#This Row],[D:D]]</f>
        <v>28.05</v>
      </c>
      <c r="AA17" s="1" t="s">
        <v>114</v>
      </c>
      <c r="AD17" s="1" t="s">
        <v>17</v>
      </c>
      <c r="AE17" s="1">
        <v>25.5</v>
      </c>
      <c r="AF17" s="1">
        <f>Table1[[#This Row],[C:C]]*1.1</f>
        <v>28.05</v>
      </c>
      <c r="AI17" s="1">
        <f>IFERROR(VLOOKUP(X17,#REF!,8,FALSE),0)</f>
        <v>0</v>
      </c>
      <c r="AN17" s="1" t="str">
        <f>PROD_ID_TABLE[[#This Row],[PROD ID]]</f>
        <v xml:space="preserve"> 3579 HIGHTIED3 G</v>
      </c>
      <c r="AO17" s="1" t="str">
        <f t="shared" si="2"/>
        <v>RESUPRIME 3579 HIGH SOLID EPOXY PRIMER/BINDERTILE RED3 GAL</v>
      </c>
      <c r="AP17" s="3">
        <f t="shared" si="3"/>
        <v>187.14</v>
      </c>
      <c r="AQ17" s="1" t="str">
        <f t="shared" si="4"/>
        <v>3 GAL</v>
      </c>
      <c r="AS17" s="1" t="str">
        <f t="shared" si="5"/>
        <v>TILE RED</v>
      </c>
      <c r="AT17" s="1" t="s">
        <v>358</v>
      </c>
      <c r="AU17" s="1" t="s">
        <v>397</v>
      </c>
      <c r="AV17" s="1" t="str">
        <f t="shared" si="6"/>
        <v>POLY-CRETE TF PLUS PRIMER/TOPCOATKIT</v>
      </c>
      <c r="AW17" s="134">
        <v>190.67</v>
      </c>
      <c r="AY17" t="str">
        <f t="shared" si="7"/>
        <v xml:space="preserve"> 3579 HIGHTIED3 G</v>
      </c>
      <c r="AZ17" s="1" t="str">
        <f t="shared" si="8"/>
        <v xml:space="preserve"> 3579 HIGH</v>
      </c>
      <c r="BA17" t="str">
        <f t="shared" si="9"/>
        <v>TIED</v>
      </c>
      <c r="BB17" s="1" t="str">
        <f t="shared" si="0"/>
        <v>3 G</v>
      </c>
      <c r="BC17" s="1">
        <f t="shared" si="1"/>
        <v>187.14</v>
      </c>
      <c r="BD17" s="1" t="s">
        <v>338</v>
      </c>
      <c r="BE17" s="14" t="s">
        <v>387</v>
      </c>
      <c r="BF17" s="14" t="s">
        <v>407</v>
      </c>
      <c r="BG17" s="14" t="s">
        <v>364</v>
      </c>
      <c r="BH17" s="39" t="s">
        <v>408</v>
      </c>
      <c r="BJ17" s="34" t="s">
        <v>343</v>
      </c>
      <c r="BK17" s="41" t="s">
        <v>365</v>
      </c>
      <c r="BL17" s="34" t="s">
        <v>369</v>
      </c>
      <c r="BM17" s="41" t="s">
        <v>309</v>
      </c>
      <c r="BN17" s="1" t="s">
        <v>381</v>
      </c>
      <c r="BO17" s="41" t="s">
        <v>311</v>
      </c>
    </row>
    <row r="18" spans="1:67" x14ac:dyDescent="0.35">
      <c r="A18" s="1" t="s">
        <v>494</v>
      </c>
      <c r="C18" s="41" t="s">
        <v>888</v>
      </c>
      <c r="D18" s="1" t="s">
        <v>484</v>
      </c>
      <c r="E18" s="41"/>
      <c r="F18" s="1" t="s">
        <v>478</v>
      </c>
      <c r="G18" s="41"/>
      <c r="I18" s="1" t="s">
        <v>82</v>
      </c>
      <c r="J18" s="1" t="str">
        <f t="shared" si="11"/>
        <v>RIO COAT EPTN/A15 GAL</v>
      </c>
      <c r="K18" s="1" t="s">
        <v>493</v>
      </c>
      <c r="L18" s="1" t="s">
        <v>398</v>
      </c>
      <c r="M18" s="1" t="s">
        <v>408</v>
      </c>
      <c r="X18" s="66" t="s">
        <v>122</v>
      </c>
      <c r="Y18" s="1" t="s">
        <v>131</v>
      </c>
      <c r="Z18" s="63">
        <f>Table1[[#This Row],[D:D]]</f>
        <v>440.00000000000006</v>
      </c>
      <c r="AA18" s="1" t="s">
        <v>118</v>
      </c>
      <c r="AD18" s="1" t="s">
        <v>17</v>
      </c>
      <c r="AE18" s="1">
        <v>400</v>
      </c>
      <c r="AF18" s="1">
        <f>Table1[[#This Row],[C:C]]*1.1</f>
        <v>440.00000000000006</v>
      </c>
      <c r="AI18" s="1">
        <f>IFERROR(VLOOKUP(X18,#REF!,8,FALSE),0)</f>
        <v>0</v>
      </c>
      <c r="AN18" s="1" t="str">
        <f>PROD_ID_TABLE[[#This Row],[PROD ID]]</f>
        <v xml:space="preserve"> 3579 HIGHCOAY15 </v>
      </c>
      <c r="AO18" s="1" t="str">
        <f t="shared" si="2"/>
        <v>RESUPRIME 3579 HIGH SOLID EPOXY PRIMER/BINDERCONCRETE GRAY15 GAL</v>
      </c>
      <c r="AP18" s="3">
        <f t="shared" si="3"/>
        <v>873.92</v>
      </c>
      <c r="AQ18" s="1" t="str">
        <f t="shared" si="4"/>
        <v>15 GAL</v>
      </c>
      <c r="AS18" s="1" t="str">
        <f t="shared" si="5"/>
        <v>CONCRETE GRAY</v>
      </c>
      <c r="AT18" s="1" t="s">
        <v>355</v>
      </c>
      <c r="AU18" s="1" t="s">
        <v>397</v>
      </c>
      <c r="AV18" s="1" t="str">
        <f t="shared" si="6"/>
        <v>POLY-CRETE SL HS SELF LEVELING URETHANEKIT</v>
      </c>
      <c r="AW18" s="134">
        <v>102.4</v>
      </c>
      <c r="AY18" t="str">
        <f t="shared" si="7"/>
        <v xml:space="preserve"> 3579 HIGHCOAY15 </v>
      </c>
      <c r="AZ18" s="1" t="str">
        <f t="shared" si="8"/>
        <v xml:space="preserve"> 3579 HIGH</v>
      </c>
      <c r="BA18" t="str">
        <f t="shared" si="9"/>
        <v>COAY</v>
      </c>
      <c r="BB18" s="1" t="str">
        <f>LEFT(BF18,3)</f>
        <v xml:space="preserve">15 </v>
      </c>
      <c r="BC18" s="1">
        <f t="shared" si="1"/>
        <v>873.92</v>
      </c>
      <c r="BD18" s="1" t="s">
        <v>338</v>
      </c>
      <c r="BE18" s="14" t="s">
        <v>393</v>
      </c>
      <c r="BF18" s="14" t="s">
        <v>408</v>
      </c>
      <c r="BG18" s="14" t="s">
        <v>364</v>
      </c>
      <c r="BH18" s="39" t="s">
        <v>411</v>
      </c>
      <c r="BJ18" s="34" t="s">
        <v>441</v>
      </c>
      <c r="BK18" s="41" t="s">
        <v>365</v>
      </c>
      <c r="BL18" s="34" t="s">
        <v>370</v>
      </c>
      <c r="BM18" s="41" t="s">
        <v>309</v>
      </c>
      <c r="BN18" s="34" t="s">
        <v>347</v>
      </c>
      <c r="BO18" s="41" t="s">
        <v>311</v>
      </c>
    </row>
    <row r="19" spans="1:67" x14ac:dyDescent="0.35">
      <c r="A19" s="1" t="s">
        <v>890</v>
      </c>
      <c r="C19" s="41"/>
      <c r="D19" s="1" t="s">
        <v>485</v>
      </c>
      <c r="E19" s="41"/>
      <c r="F19" s="1" t="s">
        <v>479</v>
      </c>
      <c r="G19" s="41"/>
      <c r="I19" s="1" t="s">
        <v>84</v>
      </c>
      <c r="J19" s="1" t="str">
        <f t="shared" si="11"/>
        <v>ROADWARE 10 MIN CONCRETE MENDERN/A600ML</v>
      </c>
      <c r="K19" s="1" t="s">
        <v>494</v>
      </c>
      <c r="L19" s="1" t="s">
        <v>398</v>
      </c>
      <c r="M19" s="1" t="s">
        <v>496</v>
      </c>
      <c r="X19" s="66" t="s">
        <v>123</v>
      </c>
      <c r="Y19" s="1" t="s">
        <v>130</v>
      </c>
      <c r="Z19" s="63">
        <f>Table1[[#This Row],[D:D]]</f>
        <v>33</v>
      </c>
      <c r="AA19" s="1" t="s">
        <v>114</v>
      </c>
      <c r="AD19" s="1" t="s">
        <v>17</v>
      </c>
      <c r="AE19" s="1">
        <v>30</v>
      </c>
      <c r="AF19" s="1">
        <f>Table1[[#This Row],[C:C]]*1.1</f>
        <v>33</v>
      </c>
      <c r="AI19" s="1">
        <f>IFERROR(VLOOKUP(X19,#REF!,8,FALSE),0)</f>
        <v>0</v>
      </c>
      <c r="AN19" s="1" t="str">
        <f>PROD_ID_TABLE[[#This Row],[PROD ID]]</f>
        <v xml:space="preserve"> 3579 HIGHWHTE15 </v>
      </c>
      <c r="AO19" s="1" t="str">
        <f t="shared" si="2"/>
        <v>RESUPRIME 3579 HIGH SOLID EPOXY PRIMER/BINDERWHITE15 GAL</v>
      </c>
      <c r="AP19" s="3">
        <f t="shared" si="3"/>
        <v>873.92</v>
      </c>
      <c r="AQ19" s="1" t="str">
        <f t="shared" si="4"/>
        <v>15 GAL</v>
      </c>
      <c r="AS19" s="1" t="str">
        <f t="shared" si="5"/>
        <v>WHITE</v>
      </c>
      <c r="AT19" s="1" t="s">
        <v>356</v>
      </c>
      <c r="AU19" s="1" t="s">
        <v>397</v>
      </c>
      <c r="AV19" s="1" t="str">
        <f t="shared" si="6"/>
        <v>POLY-CRETE MD HS URETHANE CONCRETE COATINGKIT</v>
      </c>
      <c r="AW19" s="134">
        <v>116.52</v>
      </c>
      <c r="AY19" t="str">
        <f t="shared" si="7"/>
        <v xml:space="preserve"> 3579 HIGHWHTE15 </v>
      </c>
      <c r="AZ19" s="1" t="str">
        <f t="shared" si="8"/>
        <v xml:space="preserve"> 3579 HIGH</v>
      </c>
      <c r="BA19" t="str">
        <f t="shared" si="9"/>
        <v>WHTE</v>
      </c>
      <c r="BB19" s="1" t="str">
        <f t="shared" si="0"/>
        <v xml:space="preserve">15 </v>
      </c>
      <c r="BC19" s="1">
        <f t="shared" si="1"/>
        <v>873.92</v>
      </c>
      <c r="BD19" s="1" t="s">
        <v>338</v>
      </c>
      <c r="BE19" s="14" t="s">
        <v>322</v>
      </c>
      <c r="BF19" s="14" t="s">
        <v>408</v>
      </c>
      <c r="BG19" s="14" t="s">
        <v>364</v>
      </c>
      <c r="BH19" s="39" t="s">
        <v>412</v>
      </c>
      <c r="BJ19" s="1" t="s">
        <v>449</v>
      </c>
      <c r="BK19" s="41" t="s">
        <v>365</v>
      </c>
      <c r="BL19" s="34" t="s">
        <v>371</v>
      </c>
      <c r="BM19" s="41" t="s">
        <v>309</v>
      </c>
      <c r="BN19" s="34" t="s">
        <v>346</v>
      </c>
      <c r="BO19" s="41" t="s">
        <v>311</v>
      </c>
    </row>
    <row r="20" spans="1:67" x14ac:dyDescent="0.35">
      <c r="C20" s="41"/>
      <c r="E20" s="41"/>
      <c r="F20" s="1" t="s">
        <v>480</v>
      </c>
      <c r="G20" s="41"/>
      <c r="I20" s="1" t="s">
        <v>90</v>
      </c>
      <c r="J20" s="1" t="str">
        <f t="shared" si="11"/>
        <v>SGC POLYASPARTIC (100% Solid)N/A2.5 GAL</v>
      </c>
      <c r="K20" s="1" t="s">
        <v>740</v>
      </c>
      <c r="L20" s="1" t="s">
        <v>398</v>
      </c>
      <c r="M20" s="1" t="s">
        <v>497</v>
      </c>
      <c r="X20" s="66" t="s">
        <v>124</v>
      </c>
      <c r="Y20" s="1" t="s">
        <v>129</v>
      </c>
      <c r="Z20" s="63">
        <f>Table1[[#This Row],[D:D]]</f>
        <v>28.05</v>
      </c>
      <c r="AA20" s="1" t="s">
        <v>114</v>
      </c>
      <c r="AD20" s="1" t="s">
        <v>17</v>
      </c>
      <c r="AE20" s="1">
        <v>25.5</v>
      </c>
      <c r="AF20" s="1">
        <f>Table1[[#This Row],[C:C]]*1.1</f>
        <v>28.05</v>
      </c>
      <c r="AI20" s="1">
        <f>IFERROR(VLOOKUP(X20,#REF!,8,FALSE),0)</f>
        <v>0</v>
      </c>
      <c r="AN20" s="1" t="str">
        <f>PROD_ID_TABLE[[#This Row],[PROD ID]]</f>
        <v xml:space="preserve"> 3579 HIGHBLCK15 </v>
      </c>
      <c r="AO20" s="1" t="str">
        <f t="shared" si="2"/>
        <v>RESUPRIME 3579 HIGH SOLID EPOXY PRIMER/BINDERBLACK15 GAL</v>
      </c>
      <c r="AP20" s="3">
        <f t="shared" si="3"/>
        <v>873.92</v>
      </c>
      <c r="AQ20" s="1" t="str">
        <f t="shared" si="4"/>
        <v>15 GAL</v>
      </c>
      <c r="AS20" s="1" t="str">
        <f t="shared" si="5"/>
        <v>BLACK</v>
      </c>
      <c r="AT20" s="587" t="s">
        <v>359</v>
      </c>
      <c r="AU20" s="587" t="s">
        <v>397</v>
      </c>
      <c r="AV20" s="587" t="str">
        <f t="shared" si="6"/>
        <v>POLY-CRETE TF PLUS COVE VERTICAL APPLICATIONSKIT</v>
      </c>
      <c r="AW20" s="134">
        <v>31.799999999999997</v>
      </c>
      <c r="AY20" t="str">
        <f t="shared" si="7"/>
        <v xml:space="preserve"> 3579 HIGHBLCK15 </v>
      </c>
      <c r="AZ20" s="1" t="str">
        <f t="shared" si="8"/>
        <v xml:space="preserve"> 3579 HIGH</v>
      </c>
      <c r="BA20" t="str">
        <f t="shared" si="9"/>
        <v>BLCK</v>
      </c>
      <c r="BB20" s="1" t="str">
        <f t="shared" si="0"/>
        <v xml:space="preserve">15 </v>
      </c>
      <c r="BC20" s="1">
        <f t="shared" si="1"/>
        <v>873.92</v>
      </c>
      <c r="BD20" s="1" t="s">
        <v>338</v>
      </c>
      <c r="BE20" s="14" t="s">
        <v>323</v>
      </c>
      <c r="BF20" s="14" t="s">
        <v>408</v>
      </c>
      <c r="BG20" s="14" t="s">
        <v>364</v>
      </c>
      <c r="BJ20" s="1" t="s">
        <v>1057</v>
      </c>
      <c r="BK20" s="41" t="s">
        <v>365</v>
      </c>
      <c r="BL20" s="34" t="s">
        <v>372</v>
      </c>
      <c r="BM20" s="41" t="s">
        <v>309</v>
      </c>
      <c r="BN20" s="34" t="s">
        <v>345</v>
      </c>
      <c r="BO20" s="41" t="s">
        <v>311</v>
      </c>
    </row>
    <row r="21" spans="1:67" x14ac:dyDescent="0.35">
      <c r="C21" s="41"/>
      <c r="E21" s="41"/>
      <c r="G21" s="41"/>
      <c r="I21" s="1" t="s">
        <v>91</v>
      </c>
      <c r="J21" s="1" t="str">
        <f t="shared" si="11"/>
        <v>SGC POLYASPARTIC (100% Solid)N/A25 GAL</v>
      </c>
      <c r="K21" s="1" t="s">
        <v>740</v>
      </c>
      <c r="L21" s="1" t="s">
        <v>398</v>
      </c>
      <c r="M21" s="1" t="s">
        <v>422</v>
      </c>
      <c r="X21" s="66" t="s">
        <v>49</v>
      </c>
      <c r="Y21" s="1" t="s">
        <v>40</v>
      </c>
      <c r="Z21" s="63">
        <f>Table1[[#This Row],[D:D]]</f>
        <v>11.825000000000001</v>
      </c>
      <c r="AA21" s="1" t="s">
        <v>76</v>
      </c>
      <c r="AD21" s="1" t="s">
        <v>17</v>
      </c>
      <c r="AE21" s="1">
        <v>10.75</v>
      </c>
      <c r="AF21" s="1">
        <f>Table1[[#This Row],[C:C]]*1.1</f>
        <v>11.825000000000001</v>
      </c>
      <c r="AI21" s="1">
        <f>IFERROR(VLOOKUP(X21,#REF!,8,FALSE),0)</f>
        <v>0</v>
      </c>
      <c r="AN21" s="1" t="str">
        <f>PROD_ID_TABLE[[#This Row],[PROD ID]]</f>
        <v xml:space="preserve"> 3831 MVB N//A2 G</v>
      </c>
      <c r="AO21" s="1" t="str">
        <f t="shared" si="2"/>
        <v>RESUPRIME 3831 MVB MOISTURE EPOXY PRIMERN/A2 GAL</v>
      </c>
      <c r="AP21" s="3">
        <f t="shared" si="3"/>
        <v>135.36000000000001</v>
      </c>
      <c r="AQ21" s="1" t="str">
        <f t="shared" si="4"/>
        <v>2 GAL</v>
      </c>
      <c r="AS21" s="1" t="str">
        <f t="shared" si="5"/>
        <v>N/A</v>
      </c>
      <c r="AT21" s="1" t="s">
        <v>357</v>
      </c>
      <c r="AU21" s="1" t="s">
        <v>397</v>
      </c>
      <c r="AV21" s="1" t="str">
        <f t="shared" si="6"/>
        <v>POLY-CRETE HF HS URETHANE CONCRETE COATINGKIT</v>
      </c>
      <c r="AW21" s="134">
        <v>79.45</v>
      </c>
      <c r="AY21" t="str">
        <f t="shared" si="7"/>
        <v xml:space="preserve"> 3831 MVB N//A2 G</v>
      </c>
      <c r="AZ21" s="1" t="str">
        <f t="shared" si="8"/>
        <v xml:space="preserve"> 3831 MVB </v>
      </c>
      <c r="BA21" t="str">
        <f t="shared" si="9"/>
        <v>N//A</v>
      </c>
      <c r="BB21" s="1" t="str">
        <f t="shared" si="0"/>
        <v>2 G</v>
      </c>
      <c r="BC21" s="1">
        <f t="shared" si="1"/>
        <v>135.36000000000001</v>
      </c>
      <c r="BD21" s="62" t="s">
        <v>344</v>
      </c>
      <c r="BE21" s="55" t="s">
        <v>398</v>
      </c>
      <c r="BF21" s="55" t="s">
        <v>406</v>
      </c>
      <c r="BG21" s="55" t="s">
        <v>364</v>
      </c>
      <c r="BL21" s="34" t="s">
        <v>373</v>
      </c>
      <c r="BM21" s="41" t="s">
        <v>309</v>
      </c>
      <c r="BN21" s="1" t="s">
        <v>341</v>
      </c>
      <c r="BO21" s="41" t="s">
        <v>311</v>
      </c>
    </row>
    <row r="22" spans="1:67" x14ac:dyDescent="0.35">
      <c r="C22" s="41"/>
      <c r="E22" s="41"/>
      <c r="G22" s="41"/>
      <c r="I22" s="1" t="s">
        <v>53</v>
      </c>
      <c r="J22" s="1" t="str">
        <f t="shared" si="11"/>
        <v>FLAKEASH40LB</v>
      </c>
      <c r="K22" s="1" t="s">
        <v>486</v>
      </c>
      <c r="L22" s="1" t="s">
        <v>417</v>
      </c>
      <c r="M22" s="1" t="s">
        <v>498</v>
      </c>
      <c r="X22" s="66" t="s">
        <v>48</v>
      </c>
      <c r="Y22" s="1" t="s">
        <v>39</v>
      </c>
      <c r="Z22" s="63">
        <f>Table1[[#This Row],[D:D]]</f>
        <v>8.338000000000001</v>
      </c>
      <c r="AA22" s="1" t="s">
        <v>75</v>
      </c>
      <c r="AD22" s="1" t="s">
        <v>17</v>
      </c>
      <c r="AE22" s="1">
        <v>7.58</v>
      </c>
      <c r="AF22" s="1">
        <f>Table1[[#This Row],[C:C]]*1.1</f>
        <v>8.338000000000001</v>
      </c>
      <c r="AI22" s="1">
        <f>IFERROR(VLOOKUP(X22,#REF!,8,FALSE),0)</f>
        <v>0</v>
      </c>
      <c r="AN22" s="1" t="str">
        <f>PROD_ID_TABLE[[#This Row],[PROD ID]]</f>
        <v xml:space="preserve"> 3831 MVB N//A10 </v>
      </c>
      <c r="AO22" s="1" t="str">
        <f t="shared" si="2"/>
        <v>RESUPRIME 3831 MVB MOISTURE EPOXY PRIMERN/A10 GAL</v>
      </c>
      <c r="AP22" s="3">
        <f t="shared" si="3"/>
        <v>641.47</v>
      </c>
      <c r="AQ22" s="1" t="str">
        <f t="shared" si="4"/>
        <v>10 GAL</v>
      </c>
      <c r="AS22" s="1" t="str">
        <f t="shared" si="5"/>
        <v>N/A</v>
      </c>
      <c r="AT22" s="1" t="s">
        <v>360</v>
      </c>
      <c r="AU22" s="1" t="s">
        <v>397</v>
      </c>
      <c r="AV22" s="1" t="str">
        <f t="shared" si="6"/>
        <v>POLY-CRETE COLOR-FASTKIT</v>
      </c>
      <c r="AW22" s="134">
        <v>154.78</v>
      </c>
      <c r="AY22" t="str">
        <f t="shared" si="7"/>
        <v xml:space="preserve"> 3831 MVB N//A10 </v>
      </c>
      <c r="AZ22" s="1" t="str">
        <f t="shared" si="8"/>
        <v xml:space="preserve"> 3831 MVB </v>
      </c>
      <c r="BA22" t="str">
        <f t="shared" si="9"/>
        <v>N//A</v>
      </c>
      <c r="BB22" s="1" t="str">
        <f t="shared" si="0"/>
        <v xml:space="preserve">10 </v>
      </c>
      <c r="BC22" s="1">
        <f t="shared" si="1"/>
        <v>641.47</v>
      </c>
      <c r="BD22" s="62" t="s">
        <v>344</v>
      </c>
      <c r="BE22" s="55" t="s">
        <v>398</v>
      </c>
      <c r="BF22" s="55" t="s">
        <v>410</v>
      </c>
      <c r="BG22" s="55" t="s">
        <v>364</v>
      </c>
      <c r="BL22" s="34" t="s">
        <v>374</v>
      </c>
      <c r="BM22" s="41" t="s">
        <v>309</v>
      </c>
      <c r="BN22" s="1" t="s">
        <v>342</v>
      </c>
      <c r="BO22" s="41" t="s">
        <v>311</v>
      </c>
    </row>
    <row r="23" spans="1:67" x14ac:dyDescent="0.35">
      <c r="C23" s="41"/>
      <c r="E23" s="41"/>
      <c r="G23" s="41"/>
      <c r="I23" s="1" t="s">
        <v>54</v>
      </c>
      <c r="J23" s="1" t="str">
        <f t="shared" si="11"/>
        <v>QUARTZMALT50LB</v>
      </c>
      <c r="K23" s="1" t="s">
        <v>487</v>
      </c>
      <c r="L23" s="1" t="s">
        <v>520</v>
      </c>
      <c r="M23" s="1" t="s">
        <v>499</v>
      </c>
      <c r="X23" s="66" t="s">
        <v>51</v>
      </c>
      <c r="Y23" s="1" t="s">
        <v>42</v>
      </c>
      <c r="Z23" s="63">
        <f>Table1[[#This Row],[D:D]]</f>
        <v>11.22</v>
      </c>
      <c r="AA23" s="1" t="s">
        <v>78</v>
      </c>
      <c r="AC23" s="1" t="s">
        <v>982</v>
      </c>
      <c r="AD23" s="1" t="s">
        <v>17</v>
      </c>
      <c r="AE23" s="1">
        <v>10.199999999999999</v>
      </c>
      <c r="AF23" s="1">
        <f>Table1[[#This Row],[C:C]]*1.1</f>
        <v>11.22</v>
      </c>
      <c r="AI23" s="1">
        <f>IFERROR(VLOOKUP(X23,#REF!,8,FALSE),0)</f>
        <v>0</v>
      </c>
      <c r="AN23" s="1" t="str">
        <f>PROD_ID_TABLE[[#This Row],[PROD ID]]</f>
        <v xml:space="preserve"> MVP EPOXYN//A3 G</v>
      </c>
      <c r="AO23" s="1" t="str">
        <f t="shared" si="2"/>
        <v>RESUPRIME MVP EPOXY PRIMERN/A3 GAL</v>
      </c>
      <c r="AP23" s="3">
        <f t="shared" si="3"/>
        <v>421.2</v>
      </c>
      <c r="AQ23" s="1" t="str">
        <f t="shared" si="4"/>
        <v>3 GAL</v>
      </c>
      <c r="AS23" s="1" t="str">
        <f t="shared" si="5"/>
        <v>N/A</v>
      </c>
      <c r="AT23" s="1" t="s">
        <v>360</v>
      </c>
      <c r="AU23" s="1" t="s">
        <v>397</v>
      </c>
      <c r="AV23" s="1" t="str">
        <f t="shared" si="6"/>
        <v>POLY-CRETE COLOR-FASTKIT</v>
      </c>
      <c r="AW23" s="134">
        <v>264.24</v>
      </c>
      <c r="AY23" t="str">
        <f t="shared" si="7"/>
        <v xml:space="preserve"> MVP EPOXYN//A3 G</v>
      </c>
      <c r="AZ23" s="1" t="str">
        <f t="shared" si="8"/>
        <v xml:space="preserve"> MVP EPOXY</v>
      </c>
      <c r="BA23" t="str">
        <f t="shared" si="9"/>
        <v>N//A</v>
      </c>
      <c r="BB23" s="1" t="str">
        <f t="shared" si="0"/>
        <v>3 G</v>
      </c>
      <c r="BC23" s="1">
        <f t="shared" si="1"/>
        <v>421.2</v>
      </c>
      <c r="BD23" s="1" t="s">
        <v>339</v>
      </c>
      <c r="BE23" s="14" t="s">
        <v>398</v>
      </c>
      <c r="BF23" s="14" t="s">
        <v>407</v>
      </c>
      <c r="BG23" s="14" t="s">
        <v>364</v>
      </c>
      <c r="BI23" s="1" t="str" cm="1">
        <f t="array" aca="1" ref="BI23" ca="1">IF(B3="","",IF(B3=P!BL3,P!BE$8:BE$10,IF(B3=P!BL$4,P!BE$14:BE$17,P!BE$6)))</f>
        <v>N/A</v>
      </c>
      <c r="BJ23" s="59"/>
      <c r="BL23" s="34" t="s">
        <v>375</v>
      </c>
      <c r="BM23" s="41" t="s">
        <v>309</v>
      </c>
      <c r="BN23" s="1" t="s">
        <v>348</v>
      </c>
    </row>
    <row r="24" spans="1:67" x14ac:dyDescent="0.35">
      <c r="C24" s="41"/>
      <c r="E24" s="41"/>
      <c r="G24" s="41"/>
      <c r="I24" s="1" t="s">
        <v>55</v>
      </c>
      <c r="J24" s="1" t="str">
        <f t="shared" si="11"/>
        <v>QUARTZGRAY50LB</v>
      </c>
      <c r="K24" s="1" t="s">
        <v>487</v>
      </c>
      <c r="L24" s="1" t="s">
        <v>317</v>
      </c>
      <c r="M24" s="1" t="s">
        <v>499</v>
      </c>
      <c r="X24" s="66" t="s">
        <v>125</v>
      </c>
      <c r="Y24" s="1" t="s">
        <v>128</v>
      </c>
      <c r="Z24" s="63">
        <f>Table1[[#This Row],[D:D]]</f>
        <v>28.05</v>
      </c>
      <c r="AA24" s="1" t="s">
        <v>114</v>
      </c>
      <c r="AD24" s="1" t="s">
        <v>17</v>
      </c>
      <c r="AE24" s="1">
        <v>25.5</v>
      </c>
      <c r="AF24" s="1">
        <f>Table1[[#This Row],[C:C]]*1.1</f>
        <v>28.05</v>
      </c>
      <c r="AI24" s="1">
        <f>IFERROR(VLOOKUP(X24,#REF!,8,FALSE),0)</f>
        <v>0</v>
      </c>
      <c r="AN24" s="1" t="str">
        <f>PROD_ID_TABLE[[#This Row],[PROD ID]]</f>
        <v xml:space="preserve"> MVP EPOXYN//A15 </v>
      </c>
      <c r="AO24" s="1" t="str">
        <f t="shared" si="2"/>
        <v>RESUPRIME MVP EPOXY PRIMERN/A15 GAL</v>
      </c>
      <c r="AP24" s="3">
        <f t="shared" si="3"/>
        <v>1787.3999999999999</v>
      </c>
      <c r="AQ24" s="1" t="str">
        <f t="shared" si="4"/>
        <v>15 GAL</v>
      </c>
      <c r="AS24" s="1" t="str">
        <f t="shared" si="5"/>
        <v>N/A</v>
      </c>
      <c r="AT24" s="1" t="s">
        <v>361</v>
      </c>
      <c r="AU24" s="1" t="s">
        <v>397</v>
      </c>
      <c r="AV24" s="1" t="str">
        <f t="shared" si="6"/>
        <v>POLY-CRETE WR COVE BASE, SLOPE/PATCHINGKIT</v>
      </c>
      <c r="AW24" s="134">
        <v>57.67</v>
      </c>
      <c r="AY24" t="str">
        <f t="shared" si="7"/>
        <v xml:space="preserve"> MVP EPOXYN//A15 </v>
      </c>
      <c r="AZ24" s="1" t="str">
        <f t="shared" si="8"/>
        <v xml:space="preserve"> MVP EPOXY</v>
      </c>
      <c r="BA24" t="str">
        <f t="shared" si="9"/>
        <v>N//A</v>
      </c>
      <c r="BB24" s="1" t="str">
        <f t="shared" si="0"/>
        <v xml:space="preserve">15 </v>
      </c>
      <c r="BC24" s="1">
        <f t="shared" si="1"/>
        <v>1787.3999999999999</v>
      </c>
      <c r="BD24" s="1" t="s">
        <v>339</v>
      </c>
      <c r="BE24" s="14" t="s">
        <v>398</v>
      </c>
      <c r="BF24" s="14" t="s">
        <v>408</v>
      </c>
      <c r="BG24" s="14" t="s">
        <v>364</v>
      </c>
      <c r="BI24" s="1" t="str" cm="1">
        <f t="array" aca="1" ref="BI24" ca="1">IF(B3="","",IF(B3=$BL$3,$BE$8:$BE$10,IF(B3=$BL$4,$BE$14:$BE$17,$BE$6)))</f>
        <v>N/A</v>
      </c>
      <c r="BL24" s="1" t="s">
        <v>376</v>
      </c>
      <c r="BM24" s="41" t="s">
        <v>309</v>
      </c>
      <c r="BN24" s="1" t="s">
        <v>450</v>
      </c>
    </row>
    <row r="25" spans="1:67" ht="15" thickBot="1" x14ac:dyDescent="0.4">
      <c r="C25" s="41"/>
      <c r="E25" s="41"/>
      <c r="G25" s="41"/>
      <c r="I25" s="1" t="s">
        <v>56</v>
      </c>
      <c r="J25" s="1" t="str">
        <f t="shared" si="11"/>
        <v>QUARTZASH50LB</v>
      </c>
      <c r="K25" s="1" t="s">
        <v>487</v>
      </c>
      <c r="L25" s="1" t="s">
        <v>417</v>
      </c>
      <c r="M25" s="1" t="s">
        <v>499</v>
      </c>
      <c r="X25" s="66" t="s">
        <v>126</v>
      </c>
      <c r="Y25" s="1" t="s">
        <v>127</v>
      </c>
      <c r="Z25" s="63">
        <f>Table1[[#This Row],[D:D]]</f>
        <v>28.05</v>
      </c>
      <c r="AA25" s="1" t="s">
        <v>114</v>
      </c>
      <c r="AD25" s="1" t="s">
        <v>17</v>
      </c>
      <c r="AE25" s="1">
        <v>25.5</v>
      </c>
      <c r="AF25" s="1">
        <f>Table1[[#This Row],[C:C]]*1.1</f>
        <v>28.05</v>
      </c>
      <c r="AI25" s="1">
        <f>IFERROR(VLOOKUP(X25,#REF!,8,FALSE),0)</f>
        <v>0</v>
      </c>
      <c r="AN25" s="1" t="str">
        <f>PROD_ID_TABLE[[#This Row],[PROD ID]]</f>
        <v xml:space="preserve"> 5531 OIL N//A1 Q</v>
      </c>
      <c r="AO25" s="1" t="str">
        <f t="shared" si="2"/>
        <v>RESUPRIME 5531 OIL STOP PRIMERN/A1 QT</v>
      </c>
      <c r="AP25" s="3">
        <f t="shared" si="3"/>
        <v>48.26</v>
      </c>
      <c r="AQ25" s="1" t="str">
        <f t="shared" si="4"/>
        <v>1 QT</v>
      </c>
      <c r="AS25" s="1" t="str">
        <f t="shared" si="5"/>
        <v>N/A</v>
      </c>
      <c r="AT25" s="1" t="s">
        <v>362</v>
      </c>
      <c r="AU25" s="1" t="s">
        <v>787</v>
      </c>
      <c r="AV25" s="1" t="str">
        <f t="shared" si="6"/>
        <v>POLY-CRETE HF ACCELERATOR LOW TEMPERATURE AID1 Qt</v>
      </c>
      <c r="AW25" s="134">
        <v>43.8</v>
      </c>
      <c r="AY25" t="str">
        <f t="shared" si="7"/>
        <v xml:space="preserve"> 5531 OIL N//A1 Q</v>
      </c>
      <c r="AZ25" s="1" t="str">
        <f t="shared" si="8"/>
        <v xml:space="preserve"> 5531 OIL </v>
      </c>
      <c r="BA25" t="str">
        <f t="shared" si="9"/>
        <v>N//A</v>
      </c>
      <c r="BB25" s="1" t="str">
        <f t="shared" si="0"/>
        <v>1 Q</v>
      </c>
      <c r="BC25" s="1">
        <f t="shared" si="1"/>
        <v>48.26</v>
      </c>
      <c r="BD25" s="62" t="s">
        <v>340</v>
      </c>
      <c r="BE25" s="55" t="s">
        <v>398</v>
      </c>
      <c r="BF25" s="55" t="s">
        <v>411</v>
      </c>
      <c r="BG25" s="55" t="s">
        <v>364</v>
      </c>
      <c r="BI25" s="1" t="str" cm="1">
        <f t="array" ref="BI25">IF(B22="","",IF(B22=P!$BD$2,P!$BE$2,P!$BE$4:$BE$5))</f>
        <v/>
      </c>
      <c r="BL25" s="34" t="s">
        <v>380</v>
      </c>
      <c r="BM25" s="41" t="s">
        <v>309</v>
      </c>
      <c r="BN25" s="1" t="s">
        <v>1046</v>
      </c>
    </row>
    <row r="26" spans="1:67" ht="15" thickBot="1" x14ac:dyDescent="0.4">
      <c r="C26" s="41"/>
      <c r="E26" s="41"/>
      <c r="G26" s="41"/>
      <c r="I26" s="1" t="s">
        <v>150</v>
      </c>
      <c r="J26" s="1" t="str">
        <f t="shared" si="11"/>
        <v>TROWEL QUARTZGRAY50LB</v>
      </c>
      <c r="K26" s="1" t="s">
        <v>488</v>
      </c>
      <c r="L26" s="1" t="s">
        <v>317</v>
      </c>
      <c r="M26" s="1" t="s">
        <v>499</v>
      </c>
      <c r="X26" s="66" t="s">
        <v>82</v>
      </c>
      <c r="Y26" s="1" t="s">
        <v>83</v>
      </c>
      <c r="Z26" s="63">
        <f>Table1[[#This Row],[D:D]]</f>
        <v>825.00000000000011</v>
      </c>
      <c r="AA26" s="1" t="s">
        <v>87</v>
      </c>
      <c r="AD26" s="1" t="s">
        <v>17</v>
      </c>
      <c r="AE26" s="1">
        <v>750</v>
      </c>
      <c r="AF26" s="1">
        <f>Table1[[#This Row],[C:C]]*1.1</f>
        <v>825.00000000000011</v>
      </c>
      <c r="AI26" s="1">
        <f>IFERROR(VLOOKUP(X26,#REF!,8,FALSE),0)</f>
        <v>0</v>
      </c>
      <c r="AN26" s="1" t="str">
        <f>PROD_ID_TABLE[[#This Row],[PROD ID]]</f>
        <v xml:space="preserve"> 5531 OIL N//A5 G</v>
      </c>
      <c r="AO26" s="1" t="str">
        <f t="shared" si="2"/>
        <v>RESUPRIME 5531 OIL STOP PRIMERN/A5 GAL</v>
      </c>
      <c r="AP26" s="3">
        <f t="shared" si="3"/>
        <v>123</v>
      </c>
      <c r="AQ26" s="1" t="str">
        <f t="shared" si="4"/>
        <v>5 GAL</v>
      </c>
      <c r="AS26" s="1" t="str">
        <f t="shared" si="5"/>
        <v>N/A</v>
      </c>
      <c r="AT26" s="1" t="s">
        <v>376</v>
      </c>
      <c r="AU26" s="1" t="s">
        <v>397</v>
      </c>
      <c r="AV26" s="1" t="str">
        <f t="shared" si="6"/>
        <v>CRYLAFLOR BOND ENHANCER TO P-101KIT</v>
      </c>
      <c r="AW26" s="134">
        <v>30</v>
      </c>
      <c r="AY26" t="str">
        <f t="shared" si="7"/>
        <v xml:space="preserve"> 5531 OIL N//A5 G</v>
      </c>
      <c r="AZ26" s="1" t="str">
        <f t="shared" si="8"/>
        <v xml:space="preserve"> 5531 OIL </v>
      </c>
      <c r="BA26" t="str">
        <f t="shared" si="9"/>
        <v>N//A</v>
      </c>
      <c r="BB26" s="1" t="str">
        <f t="shared" si="0"/>
        <v>5 G</v>
      </c>
      <c r="BC26" s="1">
        <f t="shared" si="1"/>
        <v>123</v>
      </c>
      <c r="BD26" s="57" t="s">
        <v>340</v>
      </c>
      <c r="BE26" s="56" t="s">
        <v>398</v>
      </c>
      <c r="BF26" s="56" t="s">
        <v>412</v>
      </c>
      <c r="BG26" s="56" t="s">
        <v>364</v>
      </c>
      <c r="BH26" s="38" t="s">
        <v>368</v>
      </c>
      <c r="BL26" s="1" t="s">
        <v>377</v>
      </c>
      <c r="BM26" s="41" t="s">
        <v>309</v>
      </c>
      <c r="BN26" s="34" t="s">
        <v>1077</v>
      </c>
    </row>
    <row r="27" spans="1:67" x14ac:dyDescent="0.35">
      <c r="C27" s="41"/>
      <c r="E27" s="41"/>
      <c r="G27" s="41"/>
      <c r="I27" s="1" t="s">
        <v>186</v>
      </c>
      <c r="J27" s="1" t="str">
        <f t="shared" si="11"/>
        <v>TROWEL QUARTZASH50LB</v>
      </c>
      <c r="K27" s="1" t="s">
        <v>488</v>
      </c>
      <c r="L27" s="1" t="s">
        <v>417</v>
      </c>
      <c r="M27" s="1" t="s">
        <v>499</v>
      </c>
      <c r="X27" s="66" t="s">
        <v>80</v>
      </c>
      <c r="Y27" s="1" t="s">
        <v>81</v>
      </c>
      <c r="Z27" s="63">
        <f>Table1[[#This Row],[D:D]]</f>
        <v>198.00000000000003</v>
      </c>
      <c r="AA27" s="1" t="s">
        <v>86</v>
      </c>
      <c r="AD27" s="1" t="s">
        <v>17</v>
      </c>
      <c r="AE27" s="1">
        <v>180</v>
      </c>
      <c r="AF27" s="1">
        <f>Table1[[#This Row],[C:C]]*1.1</f>
        <v>198.00000000000003</v>
      </c>
      <c r="AI27" s="1">
        <f>IFERROR(VLOOKUP(X27,#REF!,8,FALSE),0)</f>
        <v>0</v>
      </c>
      <c r="AN27" s="1" t="s">
        <v>768</v>
      </c>
      <c r="AO27" s="1" t="str">
        <f t="shared" si="2"/>
        <v>POLY-CRETE TF PLUS PRIMER/TOPCOATBLUEKIT</v>
      </c>
      <c r="AP27" s="3">
        <f t="shared" si="3"/>
        <v>53.55</v>
      </c>
      <c r="AQ27" s="1" t="str">
        <f t="shared" si="4"/>
        <v>KIT</v>
      </c>
      <c r="AS27" s="1" t="str">
        <f t="shared" si="5"/>
        <v>BLUE</v>
      </c>
      <c r="AT27" s="1" t="s">
        <v>369</v>
      </c>
      <c r="AU27" s="1" t="s">
        <v>1072</v>
      </c>
      <c r="AV27" s="1" t="str">
        <f t="shared" si="6"/>
        <v>CRYLAFLOR P-101 PRIMER5 GAL KIT</v>
      </c>
      <c r="AW27" s="134">
        <v>323</v>
      </c>
      <c r="AY27" s="588" t="str">
        <f t="shared" si="7"/>
        <v>E TF PLUS BLUEKIT</v>
      </c>
      <c r="AZ27" s="1" t="str">
        <f t="shared" si="8"/>
        <v xml:space="preserve">E TF PLUS </v>
      </c>
      <c r="BA27" t="str">
        <f t="shared" si="9"/>
        <v>BLUE</v>
      </c>
      <c r="BB27" s="1" t="str">
        <f t="shared" si="0"/>
        <v>KIT</v>
      </c>
      <c r="BC27" s="1">
        <f t="shared" si="1"/>
        <v>53.55</v>
      </c>
      <c r="BD27" s="50" t="s">
        <v>358</v>
      </c>
      <c r="BE27" s="49" t="s">
        <v>391</v>
      </c>
      <c r="BF27" s="49" t="s">
        <v>397</v>
      </c>
      <c r="BG27" s="49" t="s">
        <v>368</v>
      </c>
      <c r="BH27" s="36" t="s">
        <v>391</v>
      </c>
      <c r="BL27" s="34" t="s">
        <v>379</v>
      </c>
      <c r="BM27" s="41" t="s">
        <v>309</v>
      </c>
    </row>
    <row r="28" spans="1:67" x14ac:dyDescent="0.35">
      <c r="C28" s="1" t="str" cm="1">
        <f t="array" ref="C28">_xlfn.SWITCH(SGC!M23,P!$C$17,P!$C$12,P!$C$14,P!$L$22,P!$C$15,P!$L$23:$L$25,P!$C$16,P!$L$26:$L$27)</f>
        <v>ASH</v>
      </c>
      <c r="D28" s="1" t="str" cm="1">
        <f t="array" ref="D28:D29">_xlfn.SWITCH(SGC!M38,P!$D$14,P!$M$44:$M$45,P!$D$15,P!$M$46:$M$47,P!$D$16,P!$M$33,P!$D$17,P!$M$34,P!$D$18,P!$M$35,P!$D$19,P!$M$36)</f>
        <v>5 GAL</v>
      </c>
      <c r="E28" s="1" t="e" cm="1">
        <f t="array" ref="E28">_xlfn.SWITCH(SGC!M58,P!$E$14,P!$L$37,P!$E$15,P!$L$38:$L$40,P!$E$16,P!$L$41:$L$43)</f>
        <v>#N/A</v>
      </c>
      <c r="F28" s="1" t="e" cm="1">
        <f t="array" ref="F28">_xlfn.SWITCH(K3,P!$F$14,P!$M$44:$M$45,P!$F$15,P!$M$46:$M$47,P!$F$16,P!$M$48,P!$F$17,P!$M$49,P!$F$18,P!$M$50,P!$F$19,P!$M$51,P!$F$20,P!$M$52)</f>
        <v>#N/A</v>
      </c>
      <c r="G28" s="1" t="e" cm="1">
        <f t="array" ref="G28">_xlfn.SWITCH(B21,P!$G$14,P!$L$53:$L$54,P!$G$15,P!$L$55:$L$63,P!$G$16,P!$L$64:$L$68)</f>
        <v>#N/A</v>
      </c>
      <c r="I28" s="1" t="s">
        <v>58</v>
      </c>
      <c r="J28" s="1" t="str">
        <f t="shared" si="11"/>
        <v>ALUMINUM OXIDE60#50LB</v>
      </c>
      <c r="K28" s="1" t="s">
        <v>489</v>
      </c>
      <c r="L28" s="1" t="s">
        <v>913</v>
      </c>
      <c r="M28" s="1" t="s">
        <v>499</v>
      </c>
      <c r="X28" s="66" t="s">
        <v>132</v>
      </c>
      <c r="Y28" s="1" t="s">
        <v>133</v>
      </c>
      <c r="Z28" s="63">
        <f>Table1[[#This Row],[D:D]]</f>
        <v>19.8</v>
      </c>
      <c r="AA28" s="1" t="s">
        <v>72</v>
      </c>
      <c r="AD28" s="1" t="s">
        <v>17</v>
      </c>
      <c r="AE28" s="1">
        <v>18</v>
      </c>
      <c r="AF28" s="1">
        <f>Table1[[#This Row],[C:C]]*1.1</f>
        <v>19.8</v>
      </c>
      <c r="AI28" s="1">
        <f>IFERROR(VLOOKUP(X28,#REF!,8,FALSE),0)</f>
        <v>0</v>
      </c>
      <c r="AN28" s="1" t="s">
        <v>769</v>
      </c>
      <c r="AO28" s="1" t="str">
        <f t="shared" si="2"/>
        <v>POLY-CRETE TF PLUS PRIMER/TOPCOATCHARCOALKIT</v>
      </c>
      <c r="AP28" s="3">
        <f t="shared" si="3"/>
        <v>53.55</v>
      </c>
      <c r="AQ28" s="1" t="str">
        <f t="shared" si="4"/>
        <v>KIT</v>
      </c>
      <c r="AS28" s="1" t="str">
        <f t="shared" si="5"/>
        <v>CHARCOAL</v>
      </c>
      <c r="AT28" s="1" t="s">
        <v>370</v>
      </c>
      <c r="AU28" s="1" t="s">
        <v>1072</v>
      </c>
      <c r="AV28" s="1" t="str">
        <f t="shared" si="6"/>
        <v>CRYLAFLOR G-201 BINDER5 GAL KIT</v>
      </c>
      <c r="AW28" s="134">
        <v>341.92</v>
      </c>
      <c r="AY28" t="str">
        <f t="shared" si="7"/>
        <v>E TF PLUS CHALKIT</v>
      </c>
      <c r="AZ28" s="1" t="str">
        <f t="shared" si="8"/>
        <v xml:space="preserve">E TF PLUS </v>
      </c>
      <c r="BA28" t="str">
        <f t="shared" si="9"/>
        <v>CHAL</v>
      </c>
      <c r="BB28" s="1" t="str">
        <f t="shared" si="0"/>
        <v>KIT</v>
      </c>
      <c r="BC28" s="1">
        <f t="shared" si="1"/>
        <v>53.55</v>
      </c>
      <c r="BD28" s="1" t="s">
        <v>358</v>
      </c>
      <c r="BE28" s="14" t="s">
        <v>318</v>
      </c>
      <c r="BF28" s="14" t="s">
        <v>397</v>
      </c>
      <c r="BG28" s="14" t="s">
        <v>368</v>
      </c>
      <c r="BH28" s="36" t="s">
        <v>318</v>
      </c>
      <c r="BL28" s="34" t="s">
        <v>378</v>
      </c>
      <c r="BM28" s="41" t="s">
        <v>309</v>
      </c>
      <c r="BN28" s="34"/>
    </row>
    <row r="29" spans="1:67" x14ac:dyDescent="0.35">
      <c r="A29" s="1" t="str" cm="1">
        <f t="array" ref="A29">_xlfn.SWITCH(SGC!C6,P!$A$14,P!$M$14,P!$A$15,P!$M$15,P!$A$16,P!$M$16,P!$A$17,P!$M$17:$M$18,P!$A$18,P!$M$19)</f>
        <v>5 GAL</v>
      </c>
      <c r="B29" s="1" t="str" cm="1">
        <f t="array" ref="B29:B30">_xlfn.IFS(SGC!C38=P!$B$14,P!$M$20:$M$21)</f>
        <v>2.5 GAL</v>
      </c>
      <c r="C29" s="1" t="str">
        <f>IF(SGC!M23=P!$C$14,P!$M$22,P!$M$23)</f>
        <v>40LB</v>
      </c>
      <c r="D29" s="1" t="str">
        <v>50 GAL</v>
      </c>
      <c r="F29" s="1" t="s">
        <v>315</v>
      </c>
      <c r="G29" s="1" t="str">
        <f>IF(SGC!C23=P!$G$16,P!$M$64,P!$M$53)</f>
        <v>PINT</v>
      </c>
      <c r="I29" s="1" t="s">
        <v>92</v>
      </c>
      <c r="J29" s="1" t="str">
        <f t="shared" si="11"/>
        <v>SGC SHIELD BODY COATN/A5 GAL</v>
      </c>
      <c r="K29" s="1" t="s">
        <v>481</v>
      </c>
      <c r="L29" s="1" t="s">
        <v>398</v>
      </c>
      <c r="M29" s="1" t="s">
        <v>412</v>
      </c>
      <c r="X29" s="66" t="s">
        <v>100</v>
      </c>
      <c r="Y29" s="1" t="s">
        <v>101</v>
      </c>
      <c r="Z29" s="63">
        <f>Table1[[#This Row],[D:D]]</f>
        <v>264</v>
      </c>
      <c r="AA29" s="1" t="s">
        <v>107</v>
      </c>
      <c r="AD29" s="1" t="s">
        <v>17</v>
      </c>
      <c r="AE29" s="1">
        <v>240</v>
      </c>
      <c r="AF29" s="1">
        <f>Table1[[#This Row],[C:C]]*1.1</f>
        <v>264</v>
      </c>
      <c r="AI29" s="1">
        <f>IFERROR(VLOOKUP(X29,#REF!,8,FALSE),0)</f>
        <v>0</v>
      </c>
      <c r="AN29" s="1" t="s">
        <v>770</v>
      </c>
      <c r="AO29" s="1" t="str">
        <f t="shared" si="2"/>
        <v>POLY-CRETE TF PLUS PRIMER/TOPCOATCHESTNUTKIT</v>
      </c>
      <c r="AP29" s="3">
        <f t="shared" si="3"/>
        <v>53.55</v>
      </c>
      <c r="AQ29" s="1" t="str">
        <f t="shared" si="4"/>
        <v>KIT</v>
      </c>
      <c r="AS29" s="1" t="str">
        <f t="shared" si="5"/>
        <v>CHESTNUT</v>
      </c>
      <c r="AT29" s="1" t="s">
        <v>371</v>
      </c>
      <c r="AU29" s="1" t="s">
        <v>1072</v>
      </c>
      <c r="AV29" s="1" t="str">
        <f t="shared" si="6"/>
        <v>CRYLAFLOR T-301 TOPCOAT5 GAL KIT</v>
      </c>
      <c r="AW29" s="134">
        <v>329.56</v>
      </c>
      <c r="AY29" t="str">
        <f t="shared" si="7"/>
        <v>E TF PLUS CHUTKIT</v>
      </c>
      <c r="AZ29" s="1" t="str">
        <f t="shared" si="8"/>
        <v xml:space="preserve">E TF PLUS </v>
      </c>
      <c r="BA29" t="str">
        <f t="shared" si="9"/>
        <v>CHUT</v>
      </c>
      <c r="BB29" s="1" t="str">
        <f t="shared" si="0"/>
        <v>KIT</v>
      </c>
      <c r="BC29" s="1">
        <f t="shared" si="1"/>
        <v>53.55</v>
      </c>
      <c r="BD29" s="1" t="s">
        <v>358</v>
      </c>
      <c r="BE29" s="14" t="s">
        <v>392</v>
      </c>
      <c r="BF29" s="14" t="s">
        <v>397</v>
      </c>
      <c r="BG29" s="14" t="s">
        <v>368</v>
      </c>
      <c r="BH29" s="36" t="s">
        <v>392</v>
      </c>
    </row>
    <row r="30" spans="1:67" x14ac:dyDescent="0.35">
      <c r="B30" s="1" t="str">
        <v>25 GAL</v>
      </c>
      <c r="F30" s="1" t="s">
        <v>982</v>
      </c>
      <c r="I30" s="1" t="s">
        <v>94</v>
      </c>
      <c r="J30" s="1" t="str">
        <f t="shared" si="11"/>
        <v>SGC SHIELD BODY COATN/A50 GAL</v>
      </c>
      <c r="K30" s="1" t="s">
        <v>481</v>
      </c>
      <c r="L30" s="1" t="s">
        <v>398</v>
      </c>
      <c r="M30" s="1" t="s">
        <v>501</v>
      </c>
      <c r="X30" s="66" t="s">
        <v>274</v>
      </c>
      <c r="Y30" s="1" t="s">
        <v>275</v>
      </c>
      <c r="Z30" s="63">
        <f>Table1[[#This Row],[D:D]]</f>
        <v>341</v>
      </c>
      <c r="AA30" s="1" t="s">
        <v>73</v>
      </c>
      <c r="AD30" s="1" t="s">
        <v>17</v>
      </c>
      <c r="AE30" s="1">
        <v>310</v>
      </c>
      <c r="AF30" s="1">
        <f>Table1[[#This Row],[C:C]]*1.1</f>
        <v>341</v>
      </c>
      <c r="AI30" s="1">
        <f>IFERROR(VLOOKUP(X30,#REF!,8,FALSE),0)</f>
        <v>0</v>
      </c>
      <c r="AN30" s="1" t="s">
        <v>771</v>
      </c>
      <c r="AO30" s="1" t="str">
        <f t="shared" si="2"/>
        <v>POLY-CRETE TF PLUS PRIMER/TOPCOATCONCRETE GRAYKIT</v>
      </c>
      <c r="AP30" s="3">
        <f t="shared" si="3"/>
        <v>53.55</v>
      </c>
      <c r="AQ30" s="1" t="str">
        <f t="shared" si="4"/>
        <v>KIT</v>
      </c>
      <c r="AS30" s="1" t="str">
        <f t="shared" si="5"/>
        <v>CONCRETE GRAY</v>
      </c>
      <c r="AT30" s="1" t="s">
        <v>372</v>
      </c>
      <c r="AU30" s="1" t="s">
        <v>1072</v>
      </c>
      <c r="AV30" s="1" t="str">
        <f t="shared" si="6"/>
        <v>CRYLAFLOR T-303 FLEXIBLE TOPCOAT5 GAL KIT</v>
      </c>
      <c r="AW30" s="134">
        <v>424.9</v>
      </c>
      <c r="AY30" t="str">
        <f t="shared" si="7"/>
        <v>E TF PLUS COAYKIT</v>
      </c>
      <c r="AZ30" s="1" t="str">
        <f t="shared" si="8"/>
        <v xml:space="preserve">E TF PLUS </v>
      </c>
      <c r="BA30" t="str">
        <f t="shared" si="9"/>
        <v>COAY</v>
      </c>
      <c r="BB30" s="1" t="str">
        <f t="shared" si="0"/>
        <v>KIT</v>
      </c>
      <c r="BC30" s="1">
        <f t="shared" si="1"/>
        <v>53.55</v>
      </c>
      <c r="BD30" s="1" t="s">
        <v>358</v>
      </c>
      <c r="BE30" s="14" t="s">
        <v>393</v>
      </c>
      <c r="BF30" s="14" t="s">
        <v>397</v>
      </c>
      <c r="BG30" s="14" t="s">
        <v>368</v>
      </c>
      <c r="BH30" s="39" t="s">
        <v>393</v>
      </c>
    </row>
    <row r="31" spans="1:67" x14ac:dyDescent="0.35">
      <c r="B31" s="1" t="s">
        <v>407</v>
      </c>
      <c r="E31" s="1" t="str">
        <f>IF(SGC!M58=P!$E$15,P!$M$38,P!$M$41)</f>
        <v>TUBE</v>
      </c>
      <c r="I31" s="1" t="s">
        <v>96</v>
      </c>
      <c r="J31" s="1" t="str">
        <f t="shared" si="11"/>
        <v>SGC SHIELD TOP COATN/A5 GAL</v>
      </c>
      <c r="K31" s="1" t="s">
        <v>482</v>
      </c>
      <c r="L31" s="1" t="s">
        <v>398</v>
      </c>
      <c r="M31" s="1" t="s">
        <v>412</v>
      </c>
      <c r="X31" s="66" t="s">
        <v>92</v>
      </c>
      <c r="Y31" s="1" t="s">
        <v>93</v>
      </c>
      <c r="Z31" s="63">
        <f>Table1[[#This Row],[D:D]]</f>
        <v>302.5</v>
      </c>
      <c r="AA31" s="1" t="s">
        <v>73</v>
      </c>
      <c r="AD31" s="1" t="s">
        <v>17</v>
      </c>
      <c r="AE31" s="1">
        <v>275</v>
      </c>
      <c r="AF31" s="1">
        <f>Table1[[#This Row],[C:C]]*1.1</f>
        <v>302.5</v>
      </c>
      <c r="AI31" s="1">
        <f>IFERROR(VLOOKUP(X31,#REF!,8,FALSE),0)</f>
        <v>0</v>
      </c>
      <c r="AN31" s="1" t="s">
        <v>772</v>
      </c>
      <c r="AO31" s="1" t="str">
        <f t="shared" si="2"/>
        <v>POLY-CRETE TF PLUS PRIMER/TOPCOATDARK GRAYKIT</v>
      </c>
      <c r="AP31" s="3">
        <f t="shared" si="3"/>
        <v>53.55</v>
      </c>
      <c r="AQ31" s="1" t="str">
        <f t="shared" si="4"/>
        <v>KIT</v>
      </c>
      <c r="AS31" s="1" t="str">
        <f t="shared" si="5"/>
        <v>DARK GRAY</v>
      </c>
      <c r="AT31" s="1" t="s">
        <v>373</v>
      </c>
      <c r="AU31" s="1" t="s">
        <v>1073</v>
      </c>
      <c r="AV31" s="1" t="str">
        <f t="shared" si="6"/>
        <v>CRYLAFLOR COVE1 GAL KIT</v>
      </c>
      <c r="AW31" s="134">
        <v>117.7</v>
      </c>
      <c r="AY31" t="str">
        <f t="shared" si="7"/>
        <v>E TF PLUS DAAYKIT</v>
      </c>
      <c r="AZ31" s="1" t="str">
        <f t="shared" si="8"/>
        <v xml:space="preserve">E TF PLUS </v>
      </c>
      <c r="BA31" t="str">
        <f t="shared" si="9"/>
        <v>DAAY</v>
      </c>
      <c r="BB31" s="1" t="str">
        <f t="shared" si="0"/>
        <v>KIT</v>
      </c>
      <c r="BC31" s="1">
        <f t="shared" si="1"/>
        <v>53.55</v>
      </c>
      <c r="BD31" s="1" t="s">
        <v>358</v>
      </c>
      <c r="BE31" s="14" t="s">
        <v>394</v>
      </c>
      <c r="BF31" s="14" t="s">
        <v>397</v>
      </c>
      <c r="BG31" s="14" t="s">
        <v>368</v>
      </c>
      <c r="BH31" s="39" t="s">
        <v>394</v>
      </c>
    </row>
    <row r="32" spans="1:67" x14ac:dyDescent="0.35">
      <c r="E32" s="1" t="s">
        <v>878</v>
      </c>
      <c r="I32" s="1" t="s">
        <v>98</v>
      </c>
      <c r="J32" s="1" t="str">
        <f t="shared" si="11"/>
        <v>SGC SHIELD TOP COATN/A50 GAL</v>
      </c>
      <c r="K32" s="1" t="s">
        <v>482</v>
      </c>
      <c r="L32" s="1" t="s">
        <v>398</v>
      </c>
      <c r="M32" s="1" t="s">
        <v>501</v>
      </c>
      <c r="X32" s="66" t="s">
        <v>94</v>
      </c>
      <c r="Y32" s="1" t="s">
        <v>95</v>
      </c>
      <c r="Z32" s="63">
        <f>Table1[[#This Row],[D:D]]</f>
        <v>2915.0000000000005</v>
      </c>
      <c r="AA32" s="1" t="s">
        <v>106</v>
      </c>
      <c r="AD32" s="1" t="s">
        <v>17</v>
      </c>
      <c r="AE32" s="1">
        <v>2650</v>
      </c>
      <c r="AF32" s="1">
        <f>Table1[[#This Row],[C:C]]*1.1</f>
        <v>2915.0000000000005</v>
      </c>
      <c r="AI32" s="1">
        <f>IFERROR(VLOOKUP(X32,#REF!,8,FALSE),0)</f>
        <v>0</v>
      </c>
      <c r="AN32" s="1" t="s">
        <v>773</v>
      </c>
      <c r="AO32" s="1" t="str">
        <f t="shared" si="2"/>
        <v>POLY-CRETE TF PLUS PRIMER/TOPCOATGREENKIT</v>
      </c>
      <c r="AP32" s="3">
        <f t="shared" si="3"/>
        <v>53.55</v>
      </c>
      <c r="AQ32" s="1" t="str">
        <f t="shared" si="4"/>
        <v>KIT</v>
      </c>
      <c r="AS32" s="1" t="str">
        <f t="shared" si="5"/>
        <v>GREEN</v>
      </c>
      <c r="AT32" s="1" t="s">
        <v>374</v>
      </c>
      <c r="AU32" s="1" t="s">
        <v>1074</v>
      </c>
      <c r="AV32" s="1" t="str">
        <f t="shared" si="6"/>
        <v>CRYLAFLOR CURE (BPO)5 LB KIT</v>
      </c>
      <c r="AW32" s="134">
        <v>122.41</v>
      </c>
      <c r="AY32" t="str">
        <f t="shared" si="7"/>
        <v>E TF PLUS GRENKIT</v>
      </c>
      <c r="AZ32" s="1" t="str">
        <f t="shared" si="8"/>
        <v xml:space="preserve">E TF PLUS </v>
      </c>
      <c r="BA32" t="str">
        <f t="shared" si="9"/>
        <v>GREN</v>
      </c>
      <c r="BB32" s="1" t="str">
        <f t="shared" si="0"/>
        <v>KIT</v>
      </c>
      <c r="BC32" s="1">
        <f t="shared" si="1"/>
        <v>53.55</v>
      </c>
      <c r="BD32" s="1" t="s">
        <v>358</v>
      </c>
      <c r="BE32" s="14" t="s">
        <v>395</v>
      </c>
      <c r="BF32" s="14" t="s">
        <v>397</v>
      </c>
      <c r="BG32" s="14" t="s">
        <v>368</v>
      </c>
      <c r="BH32" s="39" t="s">
        <v>395</v>
      </c>
    </row>
    <row r="33" spans="1:65" x14ac:dyDescent="0.35">
      <c r="I33" s="1" t="s">
        <v>100</v>
      </c>
      <c r="J33" s="1" t="str">
        <f t="shared" si="11"/>
        <v>SGC BPO CATALYSTN/A10LB BOX</v>
      </c>
      <c r="K33" s="1" t="s">
        <v>500</v>
      </c>
      <c r="L33" s="1" t="s">
        <v>398</v>
      </c>
      <c r="M33" s="1" t="s">
        <v>502</v>
      </c>
      <c r="X33" s="66" t="s">
        <v>102</v>
      </c>
      <c r="Y33" s="1" t="s">
        <v>103</v>
      </c>
      <c r="Z33" s="63">
        <f>Table1[[#This Row],[D:D]]</f>
        <v>264</v>
      </c>
      <c r="AA33" s="1" t="s">
        <v>73</v>
      </c>
      <c r="AD33" s="1" t="s">
        <v>17</v>
      </c>
      <c r="AE33" s="1">
        <v>240</v>
      </c>
      <c r="AF33" s="1">
        <f>Table1[[#This Row],[C:C]]*1.1</f>
        <v>264</v>
      </c>
      <c r="AI33" s="1">
        <f>IFERROR(VLOOKUP(X33,#REF!,8,FALSE),0)</f>
        <v>0</v>
      </c>
      <c r="AN33" s="1" t="s">
        <v>774</v>
      </c>
      <c r="AO33" s="1" t="str">
        <f t="shared" si="2"/>
        <v>POLY-CRETE TF PLUS PRIMER/TOPCOATGRAYKIT</v>
      </c>
      <c r="AP33" s="3">
        <f t="shared" si="3"/>
        <v>53.55</v>
      </c>
      <c r="AQ33" s="1" t="str">
        <f t="shared" si="4"/>
        <v>KIT</v>
      </c>
      <c r="AS33" s="1" t="str">
        <f t="shared" si="5"/>
        <v>GRAY</v>
      </c>
      <c r="AT33" s="1" t="s">
        <v>375</v>
      </c>
      <c r="AU33" s="1" t="s">
        <v>397</v>
      </c>
      <c r="AV33" s="1" t="str">
        <f t="shared" si="6"/>
        <v>CRYLAFLOR COLOR - BACKGROUND ONLYKIT</v>
      </c>
      <c r="AW33" s="134">
        <v>112.8</v>
      </c>
      <c r="AY33" t="str">
        <f t="shared" si="7"/>
        <v>E TF PLUS GRAYKIT</v>
      </c>
      <c r="AZ33" s="1" t="str">
        <f t="shared" si="8"/>
        <v xml:space="preserve">E TF PLUS </v>
      </c>
      <c r="BA33" t="str">
        <f t="shared" si="9"/>
        <v>GRAY</v>
      </c>
      <c r="BB33" s="1" t="str">
        <f t="shared" si="0"/>
        <v>KIT</v>
      </c>
      <c r="BC33" s="1">
        <f t="shared" si="1"/>
        <v>53.55</v>
      </c>
      <c r="BD33" s="1" t="s">
        <v>358</v>
      </c>
      <c r="BE33" s="14" t="s">
        <v>317</v>
      </c>
      <c r="BF33" s="14" t="s">
        <v>397</v>
      </c>
      <c r="BG33" s="14" t="s">
        <v>368</v>
      </c>
      <c r="BH33" s="39" t="s">
        <v>317</v>
      </c>
    </row>
    <row r="34" spans="1:65" x14ac:dyDescent="0.35">
      <c r="D34" s="1" t="str">
        <f>UPPER(B15)</f>
        <v/>
      </c>
      <c r="I34" s="1" t="s">
        <v>102</v>
      </c>
      <c r="J34" s="1" t="str">
        <f t="shared" si="11"/>
        <v>SGC COAT MMA CLEANERN/A5 GAL</v>
      </c>
      <c r="K34" s="1" t="s">
        <v>483</v>
      </c>
      <c r="L34" s="1" t="s">
        <v>398</v>
      </c>
      <c r="M34" s="1" t="s">
        <v>412</v>
      </c>
      <c r="X34" s="66" t="s">
        <v>192</v>
      </c>
      <c r="Y34" s="1" t="s">
        <v>273</v>
      </c>
      <c r="Z34" s="63">
        <f>Table1[[#This Row],[D:D]]</f>
        <v>330</v>
      </c>
      <c r="AA34" s="1" t="s">
        <v>73</v>
      </c>
      <c r="AD34" s="1" t="s">
        <v>17</v>
      </c>
      <c r="AE34" s="1">
        <v>300</v>
      </c>
      <c r="AF34" s="1">
        <f>Table1[[#This Row],[C:C]]*1.1</f>
        <v>330</v>
      </c>
      <c r="AI34" s="1">
        <f>IFERROR(VLOOKUP(X34,#REF!,8,FALSE),0)</f>
        <v>0</v>
      </c>
      <c r="AN34" s="1" t="s">
        <v>775</v>
      </c>
      <c r="AO34" s="1" t="str">
        <f t="shared" si="2"/>
        <v>POLY-CRETE TF PLUS PRIMER/TOPCOATREDKIT</v>
      </c>
      <c r="AP34" s="3">
        <f t="shared" si="3"/>
        <v>53.55</v>
      </c>
      <c r="AQ34" s="1" t="str">
        <f t="shared" si="4"/>
        <v>KIT</v>
      </c>
      <c r="AS34" s="1" t="str">
        <f t="shared" si="5"/>
        <v>RED</v>
      </c>
      <c r="AT34" s="1" t="s">
        <v>377</v>
      </c>
      <c r="AU34" s="1" t="s">
        <v>397</v>
      </c>
      <c r="AV34" s="1" t="str">
        <f t="shared" si="6"/>
        <v>CRYLAFLOR BOND MT METAL/TILE ENHANCERKIT</v>
      </c>
      <c r="AW34" s="134">
        <v>85.8</v>
      </c>
      <c r="AY34" t="str">
        <f t="shared" si="7"/>
        <v>E TF PLUS REEDKIT</v>
      </c>
      <c r="AZ34" s="1" t="str">
        <f t="shared" si="8"/>
        <v xml:space="preserve">E TF PLUS </v>
      </c>
      <c r="BA34" t="str">
        <f t="shared" si="9"/>
        <v>REED</v>
      </c>
      <c r="BB34" s="1" t="str">
        <f t="shared" si="0"/>
        <v>KIT</v>
      </c>
      <c r="BC34" s="1">
        <f t="shared" si="1"/>
        <v>53.55</v>
      </c>
      <c r="BD34" s="1" t="s">
        <v>358</v>
      </c>
      <c r="BE34" s="14" t="s">
        <v>396</v>
      </c>
      <c r="BF34" s="14" t="s">
        <v>397</v>
      </c>
      <c r="BG34" s="14" t="s">
        <v>368</v>
      </c>
      <c r="BH34" s="39" t="s">
        <v>396</v>
      </c>
    </row>
    <row r="35" spans="1:65" ht="15" thickBot="1" x14ac:dyDescent="0.4">
      <c r="I35" s="1" t="s">
        <v>192</v>
      </c>
      <c r="J35" s="1" t="str">
        <f t="shared" si="11"/>
        <v>SGC MMA PRIMERN/A5 GAL</v>
      </c>
      <c r="K35" s="1" t="s">
        <v>484</v>
      </c>
      <c r="L35" s="1" t="s">
        <v>398</v>
      </c>
      <c r="M35" s="1" t="s">
        <v>412</v>
      </c>
      <c r="X35" s="66" t="s">
        <v>96</v>
      </c>
      <c r="Y35" s="1" t="s">
        <v>97</v>
      </c>
      <c r="Z35" s="63">
        <f>Table1[[#This Row],[D:D]]</f>
        <v>330</v>
      </c>
      <c r="AA35" s="1" t="s">
        <v>73</v>
      </c>
      <c r="AD35" s="1" t="s">
        <v>17</v>
      </c>
      <c r="AE35" s="1">
        <v>300</v>
      </c>
      <c r="AF35" s="1">
        <f>Table1[[#This Row],[C:C]]*1.1</f>
        <v>330</v>
      </c>
      <c r="AI35" s="1">
        <f>IFERROR(VLOOKUP(X35,#REF!,8,FALSE),0)</f>
        <v>0</v>
      </c>
      <c r="AN35" s="1" t="s">
        <v>776</v>
      </c>
      <c r="AO35" s="1" t="str">
        <f t="shared" si="2"/>
        <v>POLY-CRETE TF PLUS PRIMER/TOPCOATBLUEKIT</v>
      </c>
      <c r="AP35" s="3">
        <f t="shared" si="3"/>
        <v>53.55</v>
      </c>
      <c r="AQ35" s="1" t="str">
        <f t="shared" si="4"/>
        <v>KIT</v>
      </c>
      <c r="AS35" s="1" t="str">
        <f t="shared" si="5"/>
        <v>BLUE</v>
      </c>
      <c r="AT35" s="1" t="s">
        <v>378</v>
      </c>
      <c r="AU35" s="1" t="s">
        <v>397</v>
      </c>
      <c r="AV35" s="1" t="str">
        <f t="shared" si="6"/>
        <v>CRYLAFLOR CLEAN SOLVENT TO CLEAN TOOLSKIT</v>
      </c>
      <c r="AW35" s="134">
        <v>37.799999999999997</v>
      </c>
      <c r="AY35" t="str">
        <f t="shared" si="7"/>
        <v>E TF PLUS BLUEKIT</v>
      </c>
      <c r="AZ35" s="1" t="str">
        <f t="shared" si="8"/>
        <v xml:space="preserve">E TF PLUS </v>
      </c>
      <c r="BA35" t="str">
        <f t="shared" si="9"/>
        <v>BLUE</v>
      </c>
      <c r="BB35" s="1" t="str">
        <f t="shared" si="0"/>
        <v>KIT</v>
      </c>
      <c r="BC35" s="1">
        <f t="shared" si="1"/>
        <v>53.55</v>
      </c>
      <c r="BD35" s="1" t="s">
        <v>358</v>
      </c>
      <c r="BE35" s="14" t="s">
        <v>391</v>
      </c>
      <c r="BF35" s="14" t="s">
        <v>397</v>
      </c>
      <c r="BG35" s="14" t="s">
        <v>368</v>
      </c>
      <c r="BH35" s="40" t="s">
        <v>398</v>
      </c>
    </row>
    <row r="36" spans="1:65" x14ac:dyDescent="0.35">
      <c r="I36" s="1" t="s">
        <v>274</v>
      </c>
      <c r="J36" s="1" t="str">
        <f t="shared" si="11"/>
        <v>RIO MMA BONDING ADDITIVEN/A5 GAL</v>
      </c>
      <c r="K36" s="1" t="s">
        <v>485</v>
      </c>
      <c r="L36" s="1" t="s">
        <v>398</v>
      </c>
      <c r="M36" s="1" t="s">
        <v>412</v>
      </c>
      <c r="X36" s="66" t="s">
        <v>98</v>
      </c>
      <c r="Y36" s="1" t="s">
        <v>99</v>
      </c>
      <c r="Z36" s="63">
        <f>Table1[[#This Row],[D:D]]</f>
        <v>2915.0000000000005</v>
      </c>
      <c r="AA36" s="1" t="s">
        <v>106</v>
      </c>
      <c r="AD36" s="1" t="s">
        <v>17</v>
      </c>
      <c r="AE36" s="1">
        <v>2650</v>
      </c>
      <c r="AF36" s="1">
        <f>Table1[[#This Row],[C:C]]*1.1</f>
        <v>2915.0000000000005</v>
      </c>
      <c r="AI36" s="1">
        <f>IFERROR(VLOOKUP(X36,#REF!,8,FALSE),0)</f>
        <v>0</v>
      </c>
      <c r="AN36" s="1" t="s">
        <v>777</v>
      </c>
      <c r="AO36" s="1" t="str">
        <f t="shared" si="2"/>
        <v>POLY-CRETE TF PLUS PRIMER/TOPCOATCHARCOALKIT</v>
      </c>
      <c r="AP36" s="3">
        <f t="shared" si="3"/>
        <v>53.55</v>
      </c>
      <c r="AQ36" s="1" t="str">
        <f t="shared" si="4"/>
        <v>KIT</v>
      </c>
      <c r="AS36" s="1" t="str">
        <f t="shared" si="5"/>
        <v>CHARCOAL</v>
      </c>
      <c r="AT36" s="1" t="s">
        <v>379</v>
      </c>
      <c r="AU36" s="1" t="s">
        <v>397</v>
      </c>
      <c r="AV36" s="1" t="str">
        <f t="shared" si="6"/>
        <v>CRYLAFLOR LTC ADDITIVE LOW TEMPERATUREKIT</v>
      </c>
      <c r="AW36" s="134">
        <v>46.8</v>
      </c>
      <c r="AY36" t="str">
        <f t="shared" si="7"/>
        <v>E TF PLUS CHALKIT</v>
      </c>
      <c r="AZ36" s="1" t="str">
        <f t="shared" si="8"/>
        <v xml:space="preserve">E TF PLUS </v>
      </c>
      <c r="BA36" t="str">
        <f t="shared" si="9"/>
        <v>CHAL</v>
      </c>
      <c r="BB36" s="1" t="str">
        <f t="shared" si="0"/>
        <v>KIT</v>
      </c>
      <c r="BC36" s="1">
        <f t="shared" si="1"/>
        <v>53.55</v>
      </c>
      <c r="BD36" s="1" t="s">
        <v>358</v>
      </c>
      <c r="BE36" s="14" t="s">
        <v>318</v>
      </c>
      <c r="BF36" s="14" t="s">
        <v>397</v>
      </c>
      <c r="BG36" s="14" t="s">
        <v>368</v>
      </c>
      <c r="BH36" s="51" t="s">
        <v>407</v>
      </c>
      <c r="BI36" s="1" t="str" cm="1">
        <f t="array" ref="BI36">IF(C35="","",_xlfn.SWITCH(C35,P!$BJ$36,P!$BH$46:$BH$47,P!$BJ$37,P!$BH$38,P!$BJ$38,P!$BH$45,P!$BJ$39,P!$BH$43,P!$BJ$40,P!$BH$42,P!$BJ$41,P!$BH$44,P!$BJ$42,P!$BH$40:$BH$41,P!$BJ$43,P!$BH$48))</f>
        <v/>
      </c>
      <c r="BJ36" s="1" t="s">
        <v>360</v>
      </c>
      <c r="BK36" s="41" t="s">
        <v>368</v>
      </c>
      <c r="BL36" s="1" t="s">
        <v>388</v>
      </c>
      <c r="BM36" s="41" t="s">
        <v>390</v>
      </c>
    </row>
    <row r="37" spans="1:65" x14ac:dyDescent="0.35">
      <c r="I37" s="1" t="s">
        <v>66</v>
      </c>
      <c r="J37" s="1" t="str">
        <f t="shared" si="11"/>
        <v>NP-1 TUBES (30 TUBE/CASE)N/ATUBE</v>
      </c>
      <c r="K37" s="1" t="s">
        <v>719</v>
      </c>
      <c r="L37" s="1" t="s">
        <v>398</v>
      </c>
      <c r="M37" s="1" t="s">
        <v>503</v>
      </c>
      <c r="X37" s="66" t="s">
        <v>84</v>
      </c>
      <c r="Y37" s="1" t="s">
        <v>85</v>
      </c>
      <c r="Z37" s="63">
        <f>Table1[[#This Row],[D:D]]</f>
        <v>65.219000000000008</v>
      </c>
      <c r="AA37" s="1" t="s">
        <v>69</v>
      </c>
      <c r="AD37" s="1" t="s">
        <v>17</v>
      </c>
      <c r="AE37" s="1">
        <v>59.29</v>
      </c>
      <c r="AF37" s="1">
        <f>Table1[[#This Row],[C:C]]*1.1</f>
        <v>65.219000000000008</v>
      </c>
      <c r="AI37" s="1">
        <f>IFERROR(VLOOKUP(X37,#REF!,8,FALSE),0)</f>
        <v>0</v>
      </c>
      <c r="AN37" s="1" t="s">
        <v>778</v>
      </c>
      <c r="AO37" s="1" t="str">
        <f t="shared" si="2"/>
        <v>POLY-CRETE TF PLUS PRIMER/TOPCOATCHESTNUTKIT</v>
      </c>
      <c r="AP37" s="3">
        <f t="shared" si="3"/>
        <v>53.55</v>
      </c>
      <c r="AQ37" s="1" t="str">
        <f t="shared" si="4"/>
        <v>KIT</v>
      </c>
      <c r="AS37" s="1" t="str">
        <f t="shared" si="5"/>
        <v>CHESTNUT</v>
      </c>
      <c r="AT37" s="1" t="s">
        <v>380</v>
      </c>
      <c r="AU37" s="1" t="s">
        <v>397</v>
      </c>
      <c r="AV37" s="1" t="str">
        <f t="shared" si="6"/>
        <v>CRYLAFLOR SL FILLER BLEND TO G-201KIT</v>
      </c>
      <c r="AW37" s="134">
        <v>23.4</v>
      </c>
      <c r="AY37" t="str">
        <f t="shared" si="7"/>
        <v>E TF PLUS CHUTKIT</v>
      </c>
      <c r="AZ37" s="1" t="str">
        <f t="shared" si="8"/>
        <v xml:space="preserve">E TF PLUS </v>
      </c>
      <c r="BA37" t="str">
        <f t="shared" si="9"/>
        <v>CHUT</v>
      </c>
      <c r="BB37" s="1" t="str">
        <f t="shared" si="0"/>
        <v>KIT</v>
      </c>
      <c r="BC37" s="1">
        <f t="shared" si="1"/>
        <v>53.55</v>
      </c>
      <c r="BD37" s="1" t="s">
        <v>358</v>
      </c>
      <c r="BE37" s="14" t="s">
        <v>392</v>
      </c>
      <c r="BF37" s="14" t="s">
        <v>397</v>
      </c>
      <c r="BG37" s="14" t="s">
        <v>368</v>
      </c>
      <c r="BH37" s="39" t="s">
        <v>408</v>
      </c>
      <c r="BJ37" s="1" t="s">
        <v>362</v>
      </c>
      <c r="BK37" s="41" t="s">
        <v>368</v>
      </c>
      <c r="BL37" s="1" t="s">
        <v>724</v>
      </c>
      <c r="BM37" s="41" t="s">
        <v>390</v>
      </c>
    </row>
    <row r="38" spans="1:65" ht="15" thickBot="1" x14ac:dyDescent="0.4">
      <c r="I38" s="1" t="s">
        <v>190</v>
      </c>
      <c r="J38" s="1" t="str">
        <f>_xlfn.CONCAT(K38:M38)</f>
        <v>600 UV (SSP JS-600 ALIPHATIC POLYUREA)STANDARD GRAY1 GAL BOX</v>
      </c>
      <c r="K38" s="1" t="s">
        <v>1047</v>
      </c>
      <c r="L38" s="1" t="s">
        <v>521</v>
      </c>
      <c r="M38" s="1" t="s">
        <v>718</v>
      </c>
      <c r="X38" s="66" t="s">
        <v>57</v>
      </c>
      <c r="Y38" s="1" t="s">
        <v>60</v>
      </c>
      <c r="Z38" s="63">
        <f>Table1[[#This Row],[D:D]]</f>
        <v>24.200000000000003</v>
      </c>
      <c r="AA38" s="1" t="s">
        <v>70</v>
      </c>
      <c r="AD38" s="1" t="s">
        <v>17</v>
      </c>
      <c r="AE38" s="1">
        <v>22</v>
      </c>
      <c r="AF38" s="1">
        <f>Table1[[#This Row],[C:C]]*1.1</f>
        <v>24.200000000000003</v>
      </c>
      <c r="AI38" s="1">
        <f>IFERROR(VLOOKUP(X38,#REF!,8,FALSE),0)</f>
        <v>0</v>
      </c>
      <c r="AN38" s="1" t="s">
        <v>779</v>
      </c>
      <c r="AO38" s="1" t="str">
        <f t="shared" si="2"/>
        <v>POLY-CRETE TF PLUS PRIMER/TOPCOATCONCRETE GRAYKIT</v>
      </c>
      <c r="AP38" s="3">
        <f t="shared" si="3"/>
        <v>53.55</v>
      </c>
      <c r="AQ38" s="1" t="str">
        <f t="shared" si="4"/>
        <v>KIT</v>
      </c>
      <c r="AS38" s="1" t="str">
        <f t="shared" si="5"/>
        <v>CONCRETE GRAY</v>
      </c>
      <c r="AT38" s="1" t="s">
        <v>382</v>
      </c>
      <c r="AU38" s="1" t="s">
        <v>406</v>
      </c>
      <c r="AV38" s="1" t="str">
        <f t="shared" si="6"/>
        <v>RESUDECK FLA CLEAR ALIPHATIC POLYASPARTIC TOPCOAT2 GAL</v>
      </c>
      <c r="AW38" s="134">
        <v>215.98</v>
      </c>
      <c r="AY38" t="str">
        <f t="shared" si="7"/>
        <v>E TF PLUS COAYKIT</v>
      </c>
      <c r="AZ38" s="1" t="str">
        <f t="shared" si="8"/>
        <v xml:space="preserve">E TF PLUS </v>
      </c>
      <c r="BA38" t="str">
        <f t="shared" si="9"/>
        <v>COAY</v>
      </c>
      <c r="BB38" s="1" t="str">
        <f t="shared" si="0"/>
        <v>KIT</v>
      </c>
      <c r="BC38" s="1">
        <f t="shared" si="1"/>
        <v>53.55</v>
      </c>
      <c r="BD38" s="1" t="s">
        <v>358</v>
      </c>
      <c r="BE38" s="14" t="s">
        <v>393</v>
      </c>
      <c r="BF38" s="14" t="s">
        <v>397</v>
      </c>
      <c r="BG38" s="14" t="s">
        <v>368</v>
      </c>
      <c r="BH38" s="40" t="s">
        <v>411</v>
      </c>
      <c r="BJ38" s="1" t="s">
        <v>357</v>
      </c>
      <c r="BK38" s="41" t="s">
        <v>368</v>
      </c>
      <c r="BL38" s="1" t="s">
        <v>389</v>
      </c>
      <c r="BM38" s="41" t="s">
        <v>390</v>
      </c>
    </row>
    <row r="39" spans="1:65" x14ac:dyDescent="0.35">
      <c r="H39" s="1" t="s">
        <v>721</v>
      </c>
      <c r="I39" s="1" t="s">
        <v>194</v>
      </c>
      <c r="J39" s="1" t="str">
        <f>_xlfn.CONCAT(K39:M39)</f>
        <v>600 UV (SSP JS-600 ALIPHATIC POLYUREA)GRAY AREA1 GAL BOX</v>
      </c>
      <c r="K39" s="1" t="s">
        <v>1047</v>
      </c>
      <c r="L39" s="1" t="s">
        <v>522</v>
      </c>
      <c r="M39" s="1" t="s">
        <v>718</v>
      </c>
      <c r="X39" s="66" t="s">
        <v>886</v>
      </c>
      <c r="Y39" s="1" t="s">
        <v>887</v>
      </c>
      <c r="Z39" s="63">
        <f>Table1[[#This Row],[D:D]]</f>
        <v>396.00000000000006</v>
      </c>
      <c r="AA39" s="1" t="s">
        <v>86</v>
      </c>
      <c r="AD39" s="1" t="s">
        <v>17</v>
      </c>
      <c r="AE39" s="1">
        <f>120*3</f>
        <v>360</v>
      </c>
      <c r="AF39" s="1">
        <f>Table1[[#This Row],[C:C]]*1.1</f>
        <v>396.00000000000006</v>
      </c>
      <c r="AI39" s="1">
        <f>IFERROR(VLOOKUP(X39,#REF!,8,FALSE),0)</f>
        <v>0</v>
      </c>
      <c r="AN39" s="1" t="s">
        <v>780</v>
      </c>
      <c r="AO39" s="1" t="str">
        <f t="shared" si="2"/>
        <v>POLY-CRETE TF PLUS PRIMER/TOPCOATDARK GRAYKIT</v>
      </c>
      <c r="AP39" s="3">
        <f t="shared" si="3"/>
        <v>53.55</v>
      </c>
      <c r="AQ39" s="1" t="str">
        <f t="shared" si="4"/>
        <v>KIT</v>
      </c>
      <c r="AS39" s="1" t="str">
        <f t="shared" si="5"/>
        <v>DARK GRAY</v>
      </c>
      <c r="AT39" s="1" t="s">
        <v>353</v>
      </c>
      <c r="AU39" s="1" t="s">
        <v>407</v>
      </c>
      <c r="AV39" s="1" t="str">
        <f t="shared" si="6"/>
        <v>ACCELERA 4850 GROUT/TOPCOAT POLYASPARTIC3 GAL</v>
      </c>
      <c r="AW39" s="134">
        <v>466.86</v>
      </c>
      <c r="AY39" t="str">
        <f t="shared" si="7"/>
        <v>E TF PLUS DAAYKIT</v>
      </c>
      <c r="AZ39" s="1" t="str">
        <f t="shared" si="8"/>
        <v xml:space="preserve">E TF PLUS </v>
      </c>
      <c r="BA39" t="str">
        <f t="shared" si="9"/>
        <v>DAAY</v>
      </c>
      <c r="BB39" s="1" t="str">
        <f t="shared" si="0"/>
        <v>KIT</v>
      </c>
      <c r="BC39" s="1">
        <f t="shared" si="1"/>
        <v>53.55</v>
      </c>
      <c r="BD39" s="1" t="s">
        <v>358</v>
      </c>
      <c r="BE39" s="14" t="s">
        <v>394</v>
      </c>
      <c r="BF39" s="14" t="s">
        <v>397</v>
      </c>
      <c r="BG39" s="14" t="s">
        <v>368</v>
      </c>
      <c r="BH39" s="1" t="s">
        <v>412</v>
      </c>
      <c r="BJ39" s="1" t="s">
        <v>356</v>
      </c>
      <c r="BK39" s="41" t="s">
        <v>368</v>
      </c>
      <c r="BL39" s="1" t="s">
        <v>723</v>
      </c>
      <c r="BM39" s="41" t="s">
        <v>390</v>
      </c>
    </row>
    <row r="40" spans="1:65" x14ac:dyDescent="0.35">
      <c r="I40" s="1" t="s">
        <v>283</v>
      </c>
      <c r="J40" s="1" t="str">
        <f t="shared" si="11"/>
        <v>600 UV (SSP JS-600 ALIPHATIC POLYUREA)CHATEAU GRAY1 GAL BOX</v>
      </c>
      <c r="K40" s="1" t="s">
        <v>1047</v>
      </c>
      <c r="L40" s="1" t="s">
        <v>523</v>
      </c>
      <c r="M40" s="1" t="s">
        <v>718</v>
      </c>
      <c r="X40" s="66" t="s">
        <v>135</v>
      </c>
      <c r="Y40" s="1" t="s">
        <v>136</v>
      </c>
      <c r="Z40" s="63">
        <f>Table1[[#This Row],[D:D]]</f>
        <v>374.00000000000006</v>
      </c>
      <c r="AA40" s="1" t="s">
        <v>138</v>
      </c>
      <c r="AD40" s="1" t="s">
        <v>17</v>
      </c>
      <c r="AE40" s="1">
        <v>340</v>
      </c>
      <c r="AF40" s="1">
        <f>Table1[[#This Row],[C:C]]*1.1</f>
        <v>374.00000000000006</v>
      </c>
      <c r="AI40" s="1">
        <f>IFERROR(VLOOKUP(X40,#REF!,8,FALSE),0)</f>
        <v>0</v>
      </c>
      <c r="AN40" s="1" t="s">
        <v>781</v>
      </c>
      <c r="AO40" s="1" t="str">
        <f t="shared" si="2"/>
        <v>POLY-CRETE TF PLUS PRIMER/TOPCOATGREENKIT</v>
      </c>
      <c r="AP40" s="3">
        <f t="shared" si="3"/>
        <v>53.55</v>
      </c>
      <c r="AQ40" s="1" t="str">
        <f t="shared" si="4"/>
        <v>KIT</v>
      </c>
      <c r="AS40" s="1" t="str">
        <f t="shared" si="5"/>
        <v>GREEN</v>
      </c>
      <c r="AT40" s="1" t="s">
        <v>353</v>
      </c>
      <c r="AU40" s="1" t="s">
        <v>408</v>
      </c>
      <c r="AV40" s="1" t="str">
        <f t="shared" si="6"/>
        <v>ACCELERA 4850 GROUT/TOPCOAT POLYASPARTIC15 GAL</v>
      </c>
      <c r="AW40" s="134">
        <v>2126.25</v>
      </c>
      <c r="AY40" t="str">
        <f t="shared" si="7"/>
        <v>E TF PLUS GRENKIT</v>
      </c>
      <c r="AZ40" s="1" t="str">
        <f t="shared" si="8"/>
        <v xml:space="preserve">E TF PLUS </v>
      </c>
      <c r="BA40" t="str">
        <f t="shared" si="9"/>
        <v>GREN</v>
      </c>
      <c r="BB40" s="1" t="str">
        <f t="shared" si="0"/>
        <v>KIT</v>
      </c>
      <c r="BC40" s="1">
        <f t="shared" si="1"/>
        <v>53.55</v>
      </c>
      <c r="BD40" s="1" t="s">
        <v>358</v>
      </c>
      <c r="BE40" s="14" t="s">
        <v>395</v>
      </c>
      <c r="BF40" s="14" t="s">
        <v>397</v>
      </c>
      <c r="BG40" s="14" t="s">
        <v>368</v>
      </c>
      <c r="BH40" s="1" t="s">
        <v>766</v>
      </c>
      <c r="BJ40" s="1" t="s">
        <v>355</v>
      </c>
      <c r="BK40" s="41" t="s">
        <v>368</v>
      </c>
      <c r="BL40" s="1" t="s">
        <v>741</v>
      </c>
      <c r="BM40" s="41" t="s">
        <v>390</v>
      </c>
    </row>
    <row r="41" spans="1:65" x14ac:dyDescent="0.35">
      <c r="B41" s="1" t="s">
        <v>17</v>
      </c>
      <c r="C41" s="1" t="s">
        <v>18</v>
      </c>
      <c r="D41" s="1" t="s">
        <v>19</v>
      </c>
      <c r="E41" s="1" t="s">
        <v>20</v>
      </c>
      <c r="I41" s="1" t="s">
        <v>284</v>
      </c>
      <c r="J41" s="1" t="str">
        <f t="shared" si="11"/>
        <v>RS88 (12 TUBES / CASE)GRAY AREATUBE</v>
      </c>
      <c r="K41" s="1" t="s">
        <v>720</v>
      </c>
      <c r="L41" s="1" t="s">
        <v>522</v>
      </c>
      <c r="M41" s="1" t="s">
        <v>503</v>
      </c>
      <c r="X41" s="66" t="s">
        <v>134</v>
      </c>
      <c r="Y41" s="1" t="s">
        <v>136</v>
      </c>
      <c r="Z41" s="63">
        <f>Table1[[#This Row],[D:D]]</f>
        <v>1210</v>
      </c>
      <c r="AA41" s="1" t="s">
        <v>137</v>
      </c>
      <c r="AD41" s="1" t="s">
        <v>17</v>
      </c>
      <c r="AE41" s="1">
        <v>1100</v>
      </c>
      <c r="AF41" s="1">
        <f>Table1[[#This Row],[C:C]]*1.1</f>
        <v>1210</v>
      </c>
      <c r="AI41" s="1">
        <f>IFERROR(VLOOKUP(X41,#REF!,8,FALSE),0)</f>
        <v>0</v>
      </c>
      <c r="AN41" s="1" t="s">
        <v>782</v>
      </c>
      <c r="AO41" s="1" t="str">
        <f t="shared" si="2"/>
        <v>POLY-CRETE TF PLUS PRIMER/TOPCOATGRAYKIT</v>
      </c>
      <c r="AP41" s="3">
        <f t="shared" si="3"/>
        <v>53.55</v>
      </c>
      <c r="AQ41" s="1" t="str">
        <f t="shared" si="4"/>
        <v>KIT</v>
      </c>
      <c r="AS41" s="1" t="str">
        <f t="shared" si="5"/>
        <v>GRAY</v>
      </c>
      <c r="AT41" s="1" t="s">
        <v>388</v>
      </c>
      <c r="AU41" s="1" t="s">
        <v>413</v>
      </c>
      <c r="AV41" s="1" t="str">
        <f t="shared" si="6"/>
        <v>5115 MORTAR AGGREGATE BLEND50LB BAG</v>
      </c>
      <c r="AW41" s="134">
        <v>10.4</v>
      </c>
      <c r="AY41" t="str">
        <f t="shared" si="7"/>
        <v>E TF PLUS GRAYKIT</v>
      </c>
      <c r="AZ41" s="1" t="str">
        <f t="shared" si="8"/>
        <v xml:space="preserve">E TF PLUS </v>
      </c>
      <c r="BA41" t="str">
        <f t="shared" si="9"/>
        <v>GRAY</v>
      </c>
      <c r="BB41" s="1" t="str">
        <f t="shared" si="0"/>
        <v>KIT</v>
      </c>
      <c r="BC41" s="1">
        <f t="shared" si="1"/>
        <v>53.55</v>
      </c>
      <c r="BD41" s="1" t="s">
        <v>358</v>
      </c>
      <c r="BE41" s="14" t="s">
        <v>317</v>
      </c>
      <c r="BF41" s="14" t="s">
        <v>397</v>
      </c>
      <c r="BG41" s="14" t="s">
        <v>368</v>
      </c>
      <c r="BH41" s="1" t="s">
        <v>767</v>
      </c>
      <c r="BJ41" s="1" t="s">
        <v>359</v>
      </c>
      <c r="BK41" s="41" t="s">
        <v>368</v>
      </c>
      <c r="BL41" s="1" t="s">
        <v>795</v>
      </c>
      <c r="BM41" s="41" t="s">
        <v>390</v>
      </c>
    </row>
    <row r="42" spans="1:65" x14ac:dyDescent="0.35">
      <c r="A42" s="1" t="s">
        <v>726</v>
      </c>
      <c r="B42" s="1">
        <f>IFERROR(VLOOKUP($A42,SGC!$C:$D,2,FALSE),0)</f>
        <v>0</v>
      </c>
      <c r="C42" s="1">
        <f>IFERROR(VLOOKUP($A42,SIKA!$C:$D,2,FALSE),0)</f>
        <v>0</v>
      </c>
      <c r="D42" s="1">
        <f>IFERROR(VLOOKUP($A42,SW!$C:$D,2,FALSE),0)</f>
        <v>0</v>
      </c>
      <c r="E42" s="63">
        <f>IFERROR(VLOOKUP($A42,BLANK!$M:$N,2,FALSE),0)</f>
        <v>0</v>
      </c>
      <c r="G42" s="1">
        <f>SUM(B42:F42)</f>
        <v>0</v>
      </c>
      <c r="I42" s="1" t="s">
        <v>285</v>
      </c>
      <c r="J42" s="1" t="str">
        <f t="shared" si="11"/>
        <v>RS88 (12 TUBES / CASE)STANDARD GRAYTUBE</v>
      </c>
      <c r="K42" s="1" t="s">
        <v>720</v>
      </c>
      <c r="L42" s="1" t="s">
        <v>521</v>
      </c>
      <c r="M42" s="1" t="s">
        <v>503</v>
      </c>
      <c r="X42" s="66" t="s">
        <v>186</v>
      </c>
      <c r="Y42" s="1" t="s">
        <v>139</v>
      </c>
      <c r="Z42" s="63">
        <f>Table1[[#This Row],[D:D]]</f>
        <v>33</v>
      </c>
      <c r="AA42" s="1" t="s">
        <v>72</v>
      </c>
      <c r="AD42" s="1" t="s">
        <v>17</v>
      </c>
      <c r="AE42" s="1">
        <v>30</v>
      </c>
      <c r="AF42" s="1">
        <f>Table1[[#This Row],[C:C]]*1.1</f>
        <v>33</v>
      </c>
      <c r="AI42" s="1">
        <f>IFERROR(VLOOKUP(X42,#REF!,8,FALSE),0)</f>
        <v>0</v>
      </c>
      <c r="AN42" s="1" t="s">
        <v>783</v>
      </c>
      <c r="AO42" s="1" t="str">
        <f t="shared" si="2"/>
        <v>POLY-CRETE TF PLUS PRIMER/TOPCOATREDKIT</v>
      </c>
      <c r="AP42" s="3">
        <f t="shared" si="3"/>
        <v>53.55</v>
      </c>
      <c r="AQ42" s="1" t="str">
        <f t="shared" si="4"/>
        <v>KIT</v>
      </c>
      <c r="AS42" s="1" t="str">
        <f t="shared" si="5"/>
        <v>RED</v>
      </c>
      <c r="AT42" s="1" t="s">
        <v>443</v>
      </c>
      <c r="AU42" s="1" t="s">
        <v>413</v>
      </c>
      <c r="AV42" s="1" t="str">
        <f t="shared" si="6"/>
        <v>5310 DRY SILICA SAND - 20/4050LB BAG</v>
      </c>
      <c r="AW42" s="134">
        <v>12.79</v>
      </c>
      <c r="AY42" t="str">
        <f t="shared" si="7"/>
        <v>E TF PLUS REEDKIT</v>
      </c>
      <c r="AZ42" s="1" t="str">
        <f t="shared" si="8"/>
        <v xml:space="preserve">E TF PLUS </v>
      </c>
      <c r="BA42" t="str">
        <f t="shared" si="9"/>
        <v>REED</v>
      </c>
      <c r="BB42" s="1" t="str">
        <f t="shared" si="0"/>
        <v>KIT</v>
      </c>
      <c r="BC42" s="1">
        <f t="shared" si="1"/>
        <v>53.55</v>
      </c>
      <c r="BD42" s="1" t="s">
        <v>358</v>
      </c>
      <c r="BE42" s="14" t="s">
        <v>396</v>
      </c>
      <c r="BF42" s="14" t="s">
        <v>397</v>
      </c>
      <c r="BG42" s="14" t="s">
        <v>368</v>
      </c>
      <c r="BH42" s="1" t="s">
        <v>788</v>
      </c>
      <c r="BJ42" s="1" t="s">
        <v>358</v>
      </c>
      <c r="BK42" s="41" t="s">
        <v>368</v>
      </c>
      <c r="BL42" s="1" t="s">
        <v>451</v>
      </c>
    </row>
    <row r="43" spans="1:65" x14ac:dyDescent="0.35">
      <c r="A43" s="1" t="s">
        <v>728</v>
      </c>
      <c r="B43" s="1">
        <f>IFERROR(VLOOKUP($A43,SGC!$C:$D,2,FALSE),0)</f>
        <v>0</v>
      </c>
      <c r="C43" s="1">
        <f>IFERROR(VLOOKUP($A43,SIKA!$C:$D,2,FALSE),0)</f>
        <v>0</v>
      </c>
      <c r="D43" s="1">
        <f>IFERROR(VLOOKUP($A43,SW!$C:$D,2,FALSE),0)</f>
        <v>0</v>
      </c>
      <c r="E43" s="63">
        <f>IFERROR(VLOOKUP($A43,BLANK!$M:$N,2,FALSE),0)</f>
        <v>0</v>
      </c>
      <c r="G43" s="1">
        <f t="shared" ref="G43:G51" si="12">SUM(B43:F43)</f>
        <v>0</v>
      </c>
      <c r="I43" s="1" t="s">
        <v>286</v>
      </c>
      <c r="J43" s="1" t="str">
        <f t="shared" si="11"/>
        <v>RS88 (12 TUBES / CASE)CHATEAU GRAYTUBE</v>
      </c>
      <c r="K43" s="1" t="s">
        <v>720</v>
      </c>
      <c r="L43" s="1" t="s">
        <v>523</v>
      </c>
      <c r="M43" s="1" t="s">
        <v>503</v>
      </c>
      <c r="X43" s="66" t="s">
        <v>140</v>
      </c>
      <c r="Y43" s="1" t="s">
        <v>146</v>
      </c>
      <c r="Z43" s="63">
        <f>Table1[[#This Row],[D:D]]</f>
        <v>56.43</v>
      </c>
      <c r="AA43" s="1" t="s">
        <v>114</v>
      </c>
      <c r="AD43" s="1" t="s">
        <v>17</v>
      </c>
      <c r="AE43" s="1">
        <v>51.3</v>
      </c>
      <c r="AF43" s="1">
        <f>Table1[[#This Row],[C:C]]*1.1</f>
        <v>56.43</v>
      </c>
      <c r="AI43" s="1">
        <f>IFERROR(VLOOKUP(X43,#REF!,8,FALSE),0)</f>
        <v>0</v>
      </c>
      <c r="AN43" s="1" t="str">
        <f>PROD_ID_TABLE[[#This Row],[PROD ID]]</f>
        <v>E SL HS SEBLUEKIT</v>
      </c>
      <c r="AO43" s="1" t="str">
        <f t="shared" si="2"/>
        <v>POLY-CRETE SL HS SELF LEVELING URETHANEBLUEKIT</v>
      </c>
      <c r="AP43" s="3">
        <f t="shared" si="3"/>
        <v>102.4</v>
      </c>
      <c r="AQ43" s="1" t="str">
        <f t="shared" si="4"/>
        <v>KIT</v>
      </c>
      <c r="AS43" s="1" t="str">
        <f t="shared" si="5"/>
        <v>BLUE</v>
      </c>
      <c r="AT43" s="1" t="s">
        <v>444</v>
      </c>
      <c r="AU43" s="1" t="s">
        <v>413</v>
      </c>
      <c r="AV43" s="1" t="str">
        <f t="shared" si="6"/>
        <v>5310 DRY SILICA SAND - 40/6050LB BAG</v>
      </c>
      <c r="AW43" s="134">
        <v>18.850000000000001</v>
      </c>
      <c r="AY43" t="str">
        <f t="shared" si="7"/>
        <v>E SL HS SEBLUEKIT</v>
      </c>
      <c r="AZ43" s="1" t="str">
        <f t="shared" si="8"/>
        <v>E SL HS SE</v>
      </c>
      <c r="BA43" t="str">
        <f t="shared" si="9"/>
        <v>BLUE</v>
      </c>
      <c r="BB43" s="1" t="str">
        <f t="shared" si="0"/>
        <v>KIT</v>
      </c>
      <c r="BC43" s="1">
        <f t="shared" si="1"/>
        <v>102.4</v>
      </c>
      <c r="BD43" s="62" t="s">
        <v>355</v>
      </c>
      <c r="BE43" s="55" t="s">
        <v>391</v>
      </c>
      <c r="BF43" s="55" t="s">
        <v>397</v>
      </c>
      <c r="BG43" s="55" t="s">
        <v>368</v>
      </c>
      <c r="BH43" s="1" t="s">
        <v>789</v>
      </c>
      <c r="BJ43" s="1" t="s">
        <v>361</v>
      </c>
      <c r="BK43" s="41" t="s">
        <v>368</v>
      </c>
      <c r="BL43" s="1" t="s">
        <v>452</v>
      </c>
    </row>
    <row r="44" spans="1:65" x14ac:dyDescent="0.35">
      <c r="A44" s="1" t="s">
        <v>730</v>
      </c>
      <c r="B44" s="1">
        <f>IFERROR(VLOOKUP($A44,SGC!$C:$D,2,FALSE),0)</f>
        <v>0</v>
      </c>
      <c r="C44" s="1">
        <f>IFERROR(VLOOKUP($A44,SIKA!$C:$D,2,FALSE),0)</f>
        <v>0</v>
      </c>
      <c r="D44" s="1">
        <f>IFERROR(VLOOKUP($A44,SW!$C:$D,2,FALSE),0)</f>
        <v>0</v>
      </c>
      <c r="E44" s="63">
        <f>IFERROR(VLOOKUP($A44,BLANK!$M:$N,2,FALSE),0)</f>
        <v>0</v>
      </c>
      <c r="G44" s="1">
        <f t="shared" si="12"/>
        <v>0</v>
      </c>
      <c r="I44" s="1" t="s">
        <v>44</v>
      </c>
      <c r="J44" s="1" t="str">
        <f t="shared" si="11"/>
        <v>SGC CRETE PART AN/A5 GAL</v>
      </c>
      <c r="K44" s="1" t="s">
        <v>474</v>
      </c>
      <c r="L44" s="1" t="s">
        <v>398</v>
      </c>
      <c r="M44" s="1" t="s">
        <v>412</v>
      </c>
      <c r="X44" s="66" t="s">
        <v>141</v>
      </c>
      <c r="Y44" s="1" t="s">
        <v>145</v>
      </c>
      <c r="Z44" s="63">
        <f>Table1[[#This Row],[D:D]]</f>
        <v>56.43</v>
      </c>
      <c r="AA44" s="1" t="s">
        <v>114</v>
      </c>
      <c r="AD44" s="1" t="s">
        <v>17</v>
      </c>
      <c r="AE44" s="1">
        <v>51.3</v>
      </c>
      <c r="AF44" s="1">
        <f>Table1[[#This Row],[C:C]]*1.1</f>
        <v>56.43</v>
      </c>
      <c r="AI44" s="1">
        <f>IFERROR(VLOOKUP(X44,#REF!,8,FALSE),0)</f>
        <v>0</v>
      </c>
      <c r="AN44" s="1" t="str">
        <f>PROD_ID_TABLE[[#This Row],[PROD ID]]</f>
        <v>E SL HS SECHALKIT</v>
      </c>
      <c r="AO44" s="1" t="str">
        <f t="shared" si="2"/>
        <v>POLY-CRETE SL HS SELF LEVELING URETHANECHARCOALKIT</v>
      </c>
      <c r="AP44" s="3">
        <f t="shared" si="3"/>
        <v>102.4</v>
      </c>
      <c r="AQ44" s="1" t="str">
        <f t="shared" si="4"/>
        <v>KIT</v>
      </c>
      <c r="AS44" s="1" t="str">
        <f t="shared" si="5"/>
        <v>CHARCOAL</v>
      </c>
      <c r="AT44" s="1" t="s">
        <v>460</v>
      </c>
      <c r="AU44" s="1" t="s">
        <v>413</v>
      </c>
      <c r="AV44" s="1" t="str">
        <f t="shared" si="6"/>
        <v>5310 DRY SILICA SAND - 80/12050LB BAG</v>
      </c>
      <c r="AW44" s="134">
        <v>26</v>
      </c>
      <c r="AY44" t="str">
        <f t="shared" si="7"/>
        <v>E SL HS SECHALKIT</v>
      </c>
      <c r="AZ44" s="1" t="str">
        <f t="shared" si="8"/>
        <v>E SL HS SE</v>
      </c>
      <c r="BA44" t="str">
        <f t="shared" si="9"/>
        <v>CHAL</v>
      </c>
      <c r="BB44" s="1" t="str">
        <f t="shared" si="0"/>
        <v>KIT</v>
      </c>
      <c r="BC44" s="1">
        <f t="shared" si="1"/>
        <v>102.4</v>
      </c>
      <c r="BD44" s="62" t="s">
        <v>355</v>
      </c>
      <c r="BE44" s="55" t="s">
        <v>318</v>
      </c>
      <c r="BF44" s="55" t="s">
        <v>397</v>
      </c>
      <c r="BG44" s="55" t="s">
        <v>368</v>
      </c>
      <c r="BH44" s="1" t="s">
        <v>784</v>
      </c>
      <c r="BL44" s="1" t="s">
        <v>443</v>
      </c>
    </row>
    <row r="45" spans="1:65" x14ac:dyDescent="0.35">
      <c r="A45" s="1" t="s">
        <v>727</v>
      </c>
      <c r="B45" s="1">
        <f>IFERROR(VLOOKUP($A45,SGC!$F:$H,3,FALSE),0)</f>
        <v>0</v>
      </c>
      <c r="C45" s="1">
        <f>IFERROR(VLOOKUP($A45,SIKA!$F:$H,3,FALSE),0)</f>
        <v>0</v>
      </c>
      <c r="D45" s="1">
        <f>IFERROR(VLOOKUP($A45,SW!$F:$H,3,FALSE),0)</f>
        <v>0</v>
      </c>
      <c r="E45" s="63">
        <f>IFERROR(VLOOKUP($A45,BLANK!$P:$R,3,FALSE),0)</f>
        <v>0</v>
      </c>
      <c r="G45" s="1">
        <f t="shared" si="12"/>
        <v>0</v>
      </c>
      <c r="I45" s="1" t="s">
        <v>46</v>
      </c>
      <c r="J45" s="1" t="str">
        <f t="shared" si="11"/>
        <v>SGC CRETE PART AN/A50 GAL</v>
      </c>
      <c r="K45" s="1" t="s">
        <v>474</v>
      </c>
      <c r="L45" s="1" t="s">
        <v>398</v>
      </c>
      <c r="M45" s="1" t="s">
        <v>501</v>
      </c>
      <c r="X45" s="66" t="s">
        <v>143</v>
      </c>
      <c r="Y45" s="1" t="s">
        <v>144</v>
      </c>
      <c r="Z45" s="63">
        <f>Table1[[#This Row],[D:D]]</f>
        <v>28.05</v>
      </c>
      <c r="AA45" s="1" t="s">
        <v>114</v>
      </c>
      <c r="AD45" s="1" t="s">
        <v>17</v>
      </c>
      <c r="AE45" s="1">
        <v>25.5</v>
      </c>
      <c r="AF45" s="1">
        <f>Table1[[#This Row],[C:C]]*1.1</f>
        <v>28.05</v>
      </c>
      <c r="AI45" s="1">
        <f>IFERROR(VLOOKUP(X45,#REF!,8,FALSE),0)</f>
        <v>0</v>
      </c>
      <c r="AN45" s="1" t="str">
        <f>PROD_ID_TABLE[[#This Row],[PROD ID]]</f>
        <v>E SL HS SECHUTKIT</v>
      </c>
      <c r="AO45" s="1" t="str">
        <f t="shared" si="2"/>
        <v>POLY-CRETE SL HS SELF LEVELING URETHANECHESTNUTKIT</v>
      </c>
      <c r="AP45" s="3">
        <f t="shared" si="3"/>
        <v>102.4</v>
      </c>
      <c r="AQ45" s="1" t="str">
        <f t="shared" si="4"/>
        <v>KIT</v>
      </c>
      <c r="AS45" s="1" t="str">
        <f t="shared" si="5"/>
        <v>CHESTNUT</v>
      </c>
      <c r="AT45" s="1" t="s">
        <v>724</v>
      </c>
      <c r="AU45" s="1" t="s">
        <v>413</v>
      </c>
      <c r="AV45" s="1" t="str">
        <f t="shared" si="6"/>
        <v>7310 PEA GRAVEL 3/16 X 3/850LB BAG</v>
      </c>
      <c r="AW45" s="134">
        <v>20.8</v>
      </c>
      <c r="AY45" t="str">
        <f t="shared" si="7"/>
        <v>E SL HS SECHUTKIT</v>
      </c>
      <c r="AZ45" s="1" t="str">
        <f t="shared" si="8"/>
        <v>E SL HS SE</v>
      </c>
      <c r="BA45" t="str">
        <f t="shared" si="9"/>
        <v>CHUT</v>
      </c>
      <c r="BB45" s="1" t="str">
        <f t="shared" si="0"/>
        <v>KIT</v>
      </c>
      <c r="BC45" s="1">
        <f t="shared" si="1"/>
        <v>102.4</v>
      </c>
      <c r="BD45" s="62" t="s">
        <v>355</v>
      </c>
      <c r="BE45" s="55" t="s">
        <v>392</v>
      </c>
      <c r="BF45" s="55" t="s">
        <v>397</v>
      </c>
      <c r="BG45" s="55" t="s">
        <v>368</v>
      </c>
      <c r="BH45" s="1" t="s">
        <v>790</v>
      </c>
      <c r="BI45" s="1" t="str" cm="1">
        <f t="array" ref="BI45">IF(C5="","",_xlfn.SWITCH(C5,P!$BL$2,P!$BF$6:$BF$7,P!$BL$3,P!$BF$10:$BF$11,P!$BL$4,P!$BF$17:$BF$18,P!$BL$5,P!$BF$21:$BF$22,P!$BL$6,P!$BF$25:$BF$26,P!$BL$7,P!$BF$23:$BF$24))</f>
        <v/>
      </c>
      <c r="BL45" s="1" t="s">
        <v>444</v>
      </c>
    </row>
    <row r="46" spans="1:65" x14ac:dyDescent="0.35">
      <c r="A46" s="1" t="s">
        <v>729</v>
      </c>
      <c r="B46" s="1">
        <f>IFERROR(VLOOKUP($A46,SGC!$F:$H,3,FALSE),0)</f>
        <v>0</v>
      </c>
      <c r="C46" s="1">
        <f>IFERROR(VLOOKUP($A46,SIKA!$F:$H,3,FALSE),0)</f>
        <v>0</v>
      </c>
      <c r="D46" s="1">
        <f>IFERROR(VLOOKUP($A46,SW!$F:$H,3,FALSE),0)</f>
        <v>0</v>
      </c>
      <c r="E46" s="63">
        <f>IFERROR(VLOOKUP($A46,BLANK!$P:$R,3,FALSE),0)</f>
        <v>0</v>
      </c>
      <c r="G46" s="1">
        <f t="shared" si="12"/>
        <v>0</v>
      </c>
      <c r="H46" s="1" t="s">
        <v>46</v>
      </c>
      <c r="I46" s="1" t="s">
        <v>45</v>
      </c>
      <c r="J46" s="1" t="str">
        <f t="shared" si="11"/>
        <v>SGC CRETE PART BN/A5 GAL</v>
      </c>
      <c r="K46" s="1" t="s">
        <v>475</v>
      </c>
      <c r="L46" s="1" t="s">
        <v>398</v>
      </c>
      <c r="M46" s="1" t="s">
        <v>412</v>
      </c>
      <c r="X46" s="66" t="s">
        <v>142</v>
      </c>
      <c r="Y46" s="1" t="s">
        <v>144</v>
      </c>
      <c r="Z46" s="63">
        <f>Table1[[#This Row],[D:D]]</f>
        <v>308</v>
      </c>
      <c r="AA46" s="1" t="s">
        <v>118</v>
      </c>
      <c r="AD46" s="1" t="s">
        <v>17</v>
      </c>
      <c r="AE46" s="1">
        <v>280</v>
      </c>
      <c r="AF46" s="1">
        <f>Table1[[#This Row],[C:C]]*1.1</f>
        <v>308</v>
      </c>
      <c r="AI46" s="1">
        <f>IFERROR(VLOOKUP(X46,#REF!,8,FALSE),0)</f>
        <v>0</v>
      </c>
      <c r="AN46" s="1" t="str">
        <f>PROD_ID_TABLE[[#This Row],[PROD ID]]</f>
        <v>E SL HS SECOAYKIT</v>
      </c>
      <c r="AO46" s="1" t="str">
        <f t="shared" si="2"/>
        <v>POLY-CRETE SL HS SELF LEVELING URETHANECONCRETE GRAYKIT</v>
      </c>
      <c r="AP46" s="3">
        <f t="shared" si="3"/>
        <v>102.4</v>
      </c>
      <c r="AQ46" s="1" t="str">
        <f t="shared" si="4"/>
        <v>KIT</v>
      </c>
      <c r="AS46" s="1" t="str">
        <f t="shared" si="5"/>
        <v>CONCRETE GRAY</v>
      </c>
      <c r="AT46" s="1" t="s">
        <v>389</v>
      </c>
      <c r="AU46" s="1" t="s">
        <v>413</v>
      </c>
      <c r="AV46" s="1" t="str">
        <f t="shared" si="6"/>
        <v>F-6050LB BAG</v>
      </c>
      <c r="AW46" s="134">
        <v>27.3</v>
      </c>
      <c r="AY46" t="str">
        <f t="shared" si="7"/>
        <v>E SL HS SECOAYKIT</v>
      </c>
      <c r="AZ46" s="1" t="str">
        <f t="shared" si="8"/>
        <v>E SL HS SE</v>
      </c>
      <c r="BA46" t="str">
        <f t="shared" si="9"/>
        <v>COAY</v>
      </c>
      <c r="BB46" s="1" t="str">
        <f t="shared" si="0"/>
        <v>KIT</v>
      </c>
      <c r="BC46" s="1">
        <f t="shared" si="1"/>
        <v>102.4</v>
      </c>
      <c r="BD46" s="62" t="s">
        <v>355</v>
      </c>
      <c r="BE46" s="55" t="s">
        <v>393</v>
      </c>
      <c r="BF46" s="55" t="s">
        <v>397</v>
      </c>
      <c r="BG46" s="55" t="s">
        <v>368</v>
      </c>
      <c r="BH46" s="1" t="s">
        <v>785</v>
      </c>
      <c r="BL46" s="1" t="s">
        <v>460</v>
      </c>
    </row>
    <row r="47" spans="1:65" x14ac:dyDescent="0.35">
      <c r="A47" s="1" t="s">
        <v>731</v>
      </c>
      <c r="B47" s="1">
        <f>IFERROR(VLOOKUP($A47,SGC!$F:$H,3,FALSE),0)</f>
        <v>0</v>
      </c>
      <c r="C47" s="1">
        <f>IFERROR(VLOOKUP($A47,SIKA!$F:$H,3,FALSE),0)</f>
        <v>0</v>
      </c>
      <c r="D47" s="1">
        <f>IFERROR(VLOOKUP($A47,SW!$F:$H,3,FALSE),0)</f>
        <v>0</v>
      </c>
      <c r="E47" s="63">
        <f>IFERROR(VLOOKUP($A47,BLANK!$P:$R,3,FALSE),0)</f>
        <v>0</v>
      </c>
      <c r="G47" s="1">
        <f t="shared" si="12"/>
        <v>0</v>
      </c>
      <c r="I47" s="1" t="s">
        <v>47</v>
      </c>
      <c r="J47" s="1" t="str">
        <f t="shared" si="11"/>
        <v>SGC CRETE PART BN/A50 GAL</v>
      </c>
      <c r="K47" s="1" t="s">
        <v>475</v>
      </c>
      <c r="L47" s="1" t="s">
        <v>398</v>
      </c>
      <c r="M47" s="1" t="s">
        <v>501</v>
      </c>
      <c r="X47" s="66" t="s">
        <v>985</v>
      </c>
      <c r="Y47" s="1" t="s">
        <v>290</v>
      </c>
      <c r="Z47" s="63">
        <f>Table1[[#This Row],[D:D]]</f>
        <v>462.00000000000006</v>
      </c>
      <c r="AA47" s="1" t="s">
        <v>991</v>
      </c>
      <c r="AC47" s="1" t="s">
        <v>988</v>
      </c>
      <c r="AD47" s="1" t="s">
        <v>17</v>
      </c>
      <c r="AE47" s="1">
        <v>420</v>
      </c>
      <c r="AF47" s="1">
        <f>Table1[[#This Row],[C:C]]*1.1</f>
        <v>462.00000000000006</v>
      </c>
      <c r="AI47" s="1">
        <f>IFERROR(VLOOKUP(X47,#REF!,8,FALSE),0)</f>
        <v>0</v>
      </c>
      <c r="AN47" s="1" t="str">
        <f>PROD_ID_TABLE[[#This Row],[PROD ID]]</f>
        <v>E SL HS SEDAAYKIT</v>
      </c>
      <c r="AO47" s="1" t="str">
        <f t="shared" si="2"/>
        <v>POLY-CRETE SL HS SELF LEVELING URETHANEDARK GRAYKIT</v>
      </c>
      <c r="AP47" s="3">
        <f t="shared" si="3"/>
        <v>102.4</v>
      </c>
      <c r="AQ47" s="1" t="str">
        <f t="shared" si="4"/>
        <v>KIT</v>
      </c>
      <c r="AS47" s="1" t="str">
        <f t="shared" si="5"/>
        <v>DARK GRAY</v>
      </c>
      <c r="AT47" s="1" t="s">
        <v>723</v>
      </c>
      <c r="AU47" s="1" t="s">
        <v>414</v>
      </c>
      <c r="AV47" s="1" t="str">
        <f t="shared" si="6"/>
        <v>1-16IN DECO FLAKE  - 40LB BAG40LB BAG</v>
      </c>
      <c r="AW47" s="134">
        <v>143</v>
      </c>
      <c r="AY47" t="str">
        <f t="shared" si="7"/>
        <v>E SL HS SEDAAYKIT</v>
      </c>
      <c r="AZ47" s="1" t="str">
        <f t="shared" si="8"/>
        <v>E SL HS SE</v>
      </c>
      <c r="BA47" t="str">
        <f t="shared" si="9"/>
        <v>DAAY</v>
      </c>
      <c r="BB47" s="1" t="str">
        <f t="shared" si="0"/>
        <v>KIT</v>
      </c>
      <c r="BC47" s="1">
        <f t="shared" si="1"/>
        <v>102.4</v>
      </c>
      <c r="BD47" s="62" t="s">
        <v>355</v>
      </c>
      <c r="BE47" s="55" t="s">
        <v>394</v>
      </c>
      <c r="BF47" s="55" t="s">
        <v>397</v>
      </c>
      <c r="BG47" s="55" t="s">
        <v>368</v>
      </c>
      <c r="BH47" s="1" t="s">
        <v>786</v>
      </c>
      <c r="BJ47"/>
      <c r="BL47" s="1" t="s">
        <v>792</v>
      </c>
    </row>
    <row r="48" spans="1:65" x14ac:dyDescent="0.35">
      <c r="A48" s="1" t="s">
        <v>854</v>
      </c>
      <c r="B48" s="1">
        <f>IFERROR(VLOOKUP($A48,SGC!$F:$H,3,FALSE),0)</f>
        <v>0</v>
      </c>
      <c r="C48" s="1">
        <f>IFERROR(VLOOKUP($A48,SIKA!$F:$H,3,FALSE),0)</f>
        <v>0</v>
      </c>
      <c r="D48" s="1">
        <f>IFERROR(VLOOKUP($A48,SW!$F:$H,3,FALSE),0)</f>
        <v>0</v>
      </c>
      <c r="E48" s="63">
        <f>IFERROR(VLOOKUP($A48,BLANK!$P:$R,3,FALSE),0)</f>
        <v>0</v>
      </c>
      <c r="G48" s="1">
        <f t="shared" si="12"/>
        <v>0</v>
      </c>
      <c r="I48" s="1" t="s">
        <v>48</v>
      </c>
      <c r="J48" s="1" t="str">
        <f t="shared" si="11"/>
        <v>SL - PART CCLEARKIT</v>
      </c>
      <c r="K48" s="1" t="s">
        <v>476</v>
      </c>
      <c r="L48" s="1" t="s">
        <v>315</v>
      </c>
      <c r="M48" s="1" t="s">
        <v>397</v>
      </c>
      <c r="X48" s="66" t="s">
        <v>986</v>
      </c>
      <c r="Y48" s="1" t="s">
        <v>193</v>
      </c>
      <c r="Z48" s="63">
        <f>Table1[[#This Row],[D:D]]</f>
        <v>462.00000000000006</v>
      </c>
      <c r="AA48" s="1" t="s">
        <v>991</v>
      </c>
      <c r="AC48" s="1" t="s">
        <v>989</v>
      </c>
      <c r="AD48" s="1" t="s">
        <v>17</v>
      </c>
      <c r="AE48" s="1">
        <v>420</v>
      </c>
      <c r="AF48" s="1">
        <f>Table1[[#This Row],[C:C]]*1.1</f>
        <v>462.00000000000006</v>
      </c>
      <c r="AI48" s="1">
        <f>IFERROR(VLOOKUP(X48,#REF!,8,FALSE),0)</f>
        <v>0</v>
      </c>
      <c r="AN48" s="1" t="str">
        <f>PROD_ID_TABLE[[#This Row],[PROD ID]]</f>
        <v>E SL HS SEGRENKIT</v>
      </c>
      <c r="AO48" s="1" t="str">
        <f t="shared" si="2"/>
        <v>POLY-CRETE SL HS SELF LEVELING URETHANEGREENKIT</v>
      </c>
      <c r="AP48" s="3">
        <f t="shared" si="3"/>
        <v>102.4</v>
      </c>
      <c r="AQ48" s="1" t="str">
        <f t="shared" si="4"/>
        <v>KIT</v>
      </c>
      <c r="AS48" s="1" t="str">
        <f t="shared" si="5"/>
        <v>GREEN</v>
      </c>
      <c r="AT48" s="1" t="s">
        <v>341</v>
      </c>
      <c r="AU48" s="1" t="s">
        <v>421</v>
      </c>
      <c r="AV48" s="1" t="str">
        <f t="shared" si="6"/>
        <v>RESUFLOR AQUA 3460 WB EPOXY PRIMER, BINDER, TOPCOAT1.25 GAL</v>
      </c>
      <c r="AW48" s="134">
        <v>131.82</v>
      </c>
      <c r="AY48" t="str">
        <f t="shared" si="7"/>
        <v>E SL HS SEGRENKIT</v>
      </c>
      <c r="AZ48" s="1" t="str">
        <f t="shared" si="8"/>
        <v>E SL HS SE</v>
      </c>
      <c r="BA48" t="str">
        <f t="shared" si="9"/>
        <v>GREN</v>
      </c>
      <c r="BB48" s="1" t="str">
        <f t="shared" si="0"/>
        <v>KIT</v>
      </c>
      <c r="BC48" s="1">
        <f t="shared" si="1"/>
        <v>102.4</v>
      </c>
      <c r="BD48" s="62" t="s">
        <v>355</v>
      </c>
      <c r="BE48" s="55" t="s">
        <v>395</v>
      </c>
      <c r="BF48" s="55" t="s">
        <v>397</v>
      </c>
      <c r="BG48" s="55" t="s">
        <v>368</v>
      </c>
      <c r="BH48" s="1" t="s">
        <v>791</v>
      </c>
      <c r="BJ48"/>
      <c r="BK48"/>
      <c r="BM48"/>
    </row>
    <row r="49" spans="1:65" x14ac:dyDescent="0.35">
      <c r="A49" s="1" t="s">
        <v>848</v>
      </c>
      <c r="B49" s="1">
        <f>IFERROR(VLOOKUP($A49,SGC!$C:$D,2,FALSE),0)</f>
        <v>0</v>
      </c>
      <c r="C49" s="1">
        <f>IFERROR(VLOOKUP($A49,SIKA!$C:$D,2,FALSE),0)</f>
        <v>0</v>
      </c>
      <c r="D49" s="1">
        <f>IFERROR(VLOOKUP($A49,SW!$C:$D,2,FALSE),0)</f>
        <v>0</v>
      </c>
      <c r="E49" s="63">
        <f>IFERROR(VLOOKUP($A49,BLANK!$M:$N,2,FALSE),0)</f>
        <v>0</v>
      </c>
      <c r="G49" s="1">
        <f t="shared" si="12"/>
        <v>0</v>
      </c>
      <c r="I49" s="1" t="s">
        <v>49</v>
      </c>
      <c r="J49" s="1" t="str">
        <f t="shared" si="11"/>
        <v>SF - PART CN/AKIT</v>
      </c>
      <c r="K49" s="1" t="s">
        <v>477</v>
      </c>
      <c r="L49" s="1" t="s">
        <v>398</v>
      </c>
      <c r="M49" s="1" t="s">
        <v>397</v>
      </c>
      <c r="X49" s="66" t="s">
        <v>987</v>
      </c>
      <c r="Y49" s="1" t="s">
        <v>291</v>
      </c>
      <c r="Z49" s="63">
        <f>Table1[[#This Row],[D:D]]</f>
        <v>462.00000000000006</v>
      </c>
      <c r="AA49" s="1" t="s">
        <v>991</v>
      </c>
      <c r="AC49" s="1" t="s">
        <v>990</v>
      </c>
      <c r="AD49" s="1" t="s">
        <v>17</v>
      </c>
      <c r="AE49" s="1">
        <v>420</v>
      </c>
      <c r="AF49" s="1">
        <f>Table1[[#This Row],[C:C]]*1.1</f>
        <v>462.00000000000006</v>
      </c>
      <c r="AI49" s="1">
        <f>IFERROR(VLOOKUP(X49,#REF!,8,FALSE),0)</f>
        <v>0</v>
      </c>
      <c r="AN49" s="1" t="str">
        <f>PROD_ID_TABLE[[#This Row],[PROD ID]]</f>
        <v>E SL HS SEGRAYKIT</v>
      </c>
      <c r="AO49" s="1" t="str">
        <f t="shared" si="2"/>
        <v>POLY-CRETE SL HS SELF LEVELING URETHANEGRAYKIT</v>
      </c>
      <c r="AP49" s="3">
        <f t="shared" si="3"/>
        <v>102.4</v>
      </c>
      <c r="AQ49" s="1" t="str">
        <f t="shared" si="4"/>
        <v>KIT</v>
      </c>
      <c r="AS49" s="1" t="str">
        <f t="shared" si="5"/>
        <v>GRAY</v>
      </c>
      <c r="AT49" s="587" t="s">
        <v>341</v>
      </c>
      <c r="AU49" s="587" t="s">
        <v>422</v>
      </c>
      <c r="AV49" s="587" t="str">
        <f t="shared" si="6"/>
        <v>RESUFLOR AQUA 3460 WB EPOXY PRIMER, BINDER, TOPCOAT25 GAL</v>
      </c>
      <c r="AW49" s="134">
        <v>2139</v>
      </c>
      <c r="AY49" t="str">
        <f t="shared" si="7"/>
        <v>E SL HS SEGRAYKIT</v>
      </c>
      <c r="AZ49" s="1" t="str">
        <f t="shared" si="8"/>
        <v>E SL HS SE</v>
      </c>
      <c r="BA49" t="str">
        <f t="shared" si="9"/>
        <v>GRAY</v>
      </c>
      <c r="BB49" s="1" t="str">
        <f t="shared" si="0"/>
        <v>KIT</v>
      </c>
      <c r="BC49" s="1">
        <f t="shared" si="1"/>
        <v>102.4</v>
      </c>
      <c r="BD49" s="62" t="s">
        <v>355</v>
      </c>
      <c r="BE49" s="55" t="s">
        <v>317</v>
      </c>
      <c r="BF49" s="55" t="s">
        <v>397</v>
      </c>
      <c r="BG49" s="55" t="s">
        <v>368</v>
      </c>
      <c r="BH49"/>
      <c r="BJ49"/>
      <c r="BK49"/>
      <c r="BM49"/>
    </row>
    <row r="50" spans="1:65" x14ac:dyDescent="0.35">
      <c r="A50" s="1" t="s">
        <v>849</v>
      </c>
      <c r="B50" s="1">
        <f>IFERROR(VLOOKUP($A50,SGC!$C:$D,2,FALSE),0)</f>
        <v>0</v>
      </c>
      <c r="C50" s="1">
        <f>IFERROR(VLOOKUP($A50,SIKA!$C:$D,2,FALSE),0)</f>
        <v>0</v>
      </c>
      <c r="D50" s="1">
        <f>IFERROR(VLOOKUP($A50,SW!$C:$D,2,FALSE),0)</f>
        <v>0</v>
      </c>
      <c r="E50" s="63">
        <f>IFERROR(VLOOKUP($A50,BLANK!$M:$N,2,FALSE),0)</f>
        <v>0</v>
      </c>
      <c r="G50" s="1">
        <f t="shared" si="12"/>
        <v>0</v>
      </c>
      <c r="I50" s="1" t="s">
        <v>50</v>
      </c>
      <c r="J50" s="1" t="str">
        <f t="shared" si="11"/>
        <v>CB - PART CPIGMENTEDKIT</v>
      </c>
      <c r="K50" s="1" t="s">
        <v>478</v>
      </c>
      <c r="L50" s="1" t="s">
        <v>982</v>
      </c>
      <c r="M50" s="1" t="s">
        <v>397</v>
      </c>
      <c r="X50" s="66" t="s">
        <v>88</v>
      </c>
      <c r="Y50" s="1" t="s">
        <v>89</v>
      </c>
      <c r="Z50" s="63">
        <f>Table1[[#This Row],[D:D]]</f>
        <v>396.00000000000006</v>
      </c>
      <c r="AA50" s="1" t="s">
        <v>73</v>
      </c>
      <c r="AD50" s="1" t="s">
        <v>17</v>
      </c>
      <c r="AE50" s="1">
        <v>360</v>
      </c>
      <c r="AF50" s="1">
        <f>Table1[[#This Row],[C:C]]*1.1</f>
        <v>396.00000000000006</v>
      </c>
      <c r="AI50" s="1">
        <f>IFERROR(VLOOKUP(X50,#REF!,8,FALSE),0)</f>
        <v>0</v>
      </c>
      <c r="AN50" s="1" t="str">
        <f>PROD_ID_TABLE[[#This Row],[PROD ID]]</f>
        <v>E SL HS SEREEDKIT</v>
      </c>
      <c r="AO50" s="1" t="str">
        <f t="shared" si="2"/>
        <v>POLY-CRETE SL HS SELF LEVELING URETHANEREDKIT</v>
      </c>
      <c r="AP50" s="3">
        <f t="shared" si="3"/>
        <v>102.4</v>
      </c>
      <c r="AQ50" s="1" t="str">
        <f t="shared" si="4"/>
        <v>KIT</v>
      </c>
      <c r="AS50" s="1" t="str">
        <f t="shared" si="5"/>
        <v>RED</v>
      </c>
      <c r="AT50" s="1" t="s">
        <v>342</v>
      </c>
      <c r="AU50" s="1" t="s">
        <v>407</v>
      </c>
      <c r="AV50" s="1" t="str">
        <f t="shared" si="6"/>
        <v>RESUFLOR AQUA 3461 HIGH SOLIDS WB EPOXY GROUT/TOPCOAT3 GAL</v>
      </c>
      <c r="AW50" s="134">
        <v>318</v>
      </c>
      <c r="AY50" t="str">
        <f t="shared" si="7"/>
        <v>E SL HS SEREEDKIT</v>
      </c>
      <c r="AZ50" s="1" t="str">
        <f t="shared" si="8"/>
        <v>E SL HS SE</v>
      </c>
      <c r="BA50" t="str">
        <f t="shared" si="9"/>
        <v>REED</v>
      </c>
      <c r="BB50" s="1" t="str">
        <f t="shared" si="0"/>
        <v>KIT</v>
      </c>
      <c r="BC50" s="1">
        <f t="shared" si="1"/>
        <v>102.4</v>
      </c>
      <c r="BD50" s="62" t="s">
        <v>355</v>
      </c>
      <c r="BE50" s="55" t="s">
        <v>396</v>
      </c>
      <c r="BF50" s="55" t="s">
        <v>397</v>
      </c>
      <c r="BG50" s="55" t="s">
        <v>368</v>
      </c>
      <c r="BJ50"/>
      <c r="BK50"/>
      <c r="BM50"/>
    </row>
    <row r="51" spans="1:65" x14ac:dyDescent="0.35">
      <c r="A51" s="1" t="s">
        <v>847</v>
      </c>
      <c r="B51" s="1">
        <f>IFERROR(VLOOKUP($A51,SGC!$F:$H,3,FALSE),0)</f>
        <v>0</v>
      </c>
      <c r="C51" s="1">
        <f>IFERROR(VLOOKUP($A51,SIKA!$F:$H,3,FALSE),0)</f>
        <v>0</v>
      </c>
      <c r="D51" s="1">
        <f>IFERROR(VLOOKUP($A51,SW!$F:$H,3,FALSE),0)</f>
        <v>0</v>
      </c>
      <c r="E51" s="63">
        <f>IFERROR(VLOOKUP($A51,BLANK!$P:$R,3,FALSE),0)</f>
        <v>0</v>
      </c>
      <c r="G51" s="1">
        <f t="shared" si="12"/>
        <v>0</v>
      </c>
      <c r="I51" s="1" t="s">
        <v>51</v>
      </c>
      <c r="J51" s="1" t="str">
        <f t="shared" si="11"/>
        <v>TC - PART CPIGMENTEDKIT</v>
      </c>
      <c r="K51" s="1" t="s">
        <v>479</v>
      </c>
      <c r="L51" s="1" t="s">
        <v>982</v>
      </c>
      <c r="M51" s="1" t="s">
        <v>397</v>
      </c>
      <c r="X51" s="66" t="s">
        <v>44</v>
      </c>
      <c r="Y51" s="1" t="s">
        <v>35</v>
      </c>
      <c r="Z51" s="63">
        <f>Table1[[#This Row],[D:D]]</f>
        <v>231.00000000000003</v>
      </c>
      <c r="AA51" s="1" t="s">
        <v>73</v>
      </c>
      <c r="AD51" s="1" t="s">
        <v>17</v>
      </c>
      <c r="AE51" s="1">
        <v>210</v>
      </c>
      <c r="AF51" s="1">
        <f>Table1[[#This Row],[C:C]]*1.1</f>
        <v>231.00000000000003</v>
      </c>
      <c r="AI51" s="1">
        <f>IFERROR(VLOOKUP(X51,#REF!,8,FALSE),0)</f>
        <v>0</v>
      </c>
      <c r="AN51" s="1" t="str">
        <f>PROD_ID_TABLE[[#This Row],[PROD ID]]</f>
        <v>E MD HS URBLUEKIT</v>
      </c>
      <c r="AO51" s="1" t="str">
        <f t="shared" si="2"/>
        <v>POLY-CRETE MD HS URETHANE CONCRETE COATINGBLUEKIT</v>
      </c>
      <c r="AP51" s="3">
        <f t="shared" si="3"/>
        <v>116.52</v>
      </c>
      <c r="AQ51" s="1" t="str">
        <f t="shared" si="4"/>
        <v>KIT</v>
      </c>
      <c r="AS51" s="1" t="str">
        <f t="shared" si="5"/>
        <v>BLUE</v>
      </c>
      <c r="AT51" s="1" t="s">
        <v>342</v>
      </c>
      <c r="AU51" s="1" t="s">
        <v>408</v>
      </c>
      <c r="AV51" s="1" t="str">
        <f t="shared" si="6"/>
        <v>RESUFLOR AQUA 3461 HIGH SOLIDS WB EPOXY GROUT/TOPCOAT15 GAL</v>
      </c>
      <c r="AW51" s="134">
        <v>1617</v>
      </c>
      <c r="AY51" t="str">
        <f t="shared" si="7"/>
        <v>E MD HS URBLUEKIT</v>
      </c>
      <c r="AZ51" s="1" t="str">
        <f t="shared" si="8"/>
        <v>E MD HS UR</v>
      </c>
      <c r="BA51" t="str">
        <f t="shared" si="9"/>
        <v>BLUE</v>
      </c>
      <c r="BB51" s="1" t="str">
        <f t="shared" si="0"/>
        <v>KIT</v>
      </c>
      <c r="BC51" s="1">
        <f t="shared" si="1"/>
        <v>116.52</v>
      </c>
      <c r="BD51" s="1" t="s">
        <v>356</v>
      </c>
      <c r="BE51" s="14" t="s">
        <v>391</v>
      </c>
      <c r="BF51" s="14" t="s">
        <v>397</v>
      </c>
      <c r="BG51" s="14" t="s">
        <v>368</v>
      </c>
      <c r="BJ51"/>
      <c r="BK51"/>
      <c r="BM51"/>
    </row>
    <row r="52" spans="1:65" x14ac:dyDescent="0.35">
      <c r="I52" s="1" t="s">
        <v>52</v>
      </c>
      <c r="J52" s="1" t="str">
        <f t="shared" si="11"/>
        <v>SGC SPEED N/A32 OZ</v>
      </c>
      <c r="K52" s="1" t="s">
        <v>480</v>
      </c>
      <c r="L52" s="1" t="s">
        <v>398</v>
      </c>
      <c r="M52" s="1" t="s">
        <v>508</v>
      </c>
      <c r="X52" s="66" t="s">
        <v>46</v>
      </c>
      <c r="Y52" s="1" t="s">
        <v>37</v>
      </c>
      <c r="Z52" s="63">
        <f>Table1[[#This Row],[D:D]]</f>
        <v>2211</v>
      </c>
      <c r="AA52" s="1" t="s">
        <v>74</v>
      </c>
      <c r="AD52" s="1" t="s">
        <v>17</v>
      </c>
      <c r="AE52" s="1">
        <v>2010</v>
      </c>
      <c r="AF52" s="1">
        <f>Table1[[#This Row],[C:C]]*1.1</f>
        <v>2211</v>
      </c>
      <c r="AI52" s="1">
        <f>IFERROR(VLOOKUP(X52,#REF!,8,FALSE),0)</f>
        <v>0</v>
      </c>
      <c r="AN52" s="1" t="str">
        <f>PROD_ID_TABLE[[#This Row],[PROD ID]]</f>
        <v>E MD HS URCHALKIT</v>
      </c>
      <c r="AO52" s="1" t="str">
        <f t="shared" si="2"/>
        <v>POLY-CRETE MD HS URETHANE CONCRETE COATINGCHARCOALKIT</v>
      </c>
      <c r="AP52" s="3">
        <f t="shared" si="3"/>
        <v>116.52</v>
      </c>
      <c r="AQ52" s="1" t="str">
        <f t="shared" si="4"/>
        <v>KIT</v>
      </c>
      <c r="AS52" s="1" t="str">
        <f t="shared" si="5"/>
        <v>CHARCOAL</v>
      </c>
      <c r="AT52" s="1" t="s">
        <v>345</v>
      </c>
      <c r="AU52" s="1" t="s">
        <v>407</v>
      </c>
      <c r="AV52" s="1" t="str">
        <f t="shared" si="6"/>
        <v>RESUFLOR 3760 MPE MULTI-PURPOSE EPOXY3 GAL</v>
      </c>
      <c r="AW52" s="134">
        <v>177.73</v>
      </c>
      <c r="AY52" t="str">
        <f t="shared" si="7"/>
        <v>E MD HS URCHALKIT</v>
      </c>
      <c r="AZ52" s="1" t="str">
        <f t="shared" si="8"/>
        <v>E MD HS UR</v>
      </c>
      <c r="BA52" t="str">
        <f t="shared" si="9"/>
        <v>CHAL</v>
      </c>
      <c r="BB52" s="1" t="str">
        <f t="shared" si="0"/>
        <v>KIT</v>
      </c>
      <c r="BC52" s="1">
        <f t="shared" si="1"/>
        <v>116.52</v>
      </c>
      <c r="BD52" s="1" t="s">
        <v>356</v>
      </c>
      <c r="BE52" s="14" t="s">
        <v>318</v>
      </c>
      <c r="BF52" s="14" t="s">
        <v>397</v>
      </c>
      <c r="BG52" s="14" t="s">
        <v>368</v>
      </c>
      <c r="BJ52"/>
      <c r="BK52"/>
      <c r="BM52"/>
    </row>
    <row r="53" spans="1:65" x14ac:dyDescent="0.35">
      <c r="I53" s="1" t="s">
        <v>140</v>
      </c>
      <c r="J53" s="1" t="str">
        <f t="shared" si="11"/>
        <v>POLYASPARTIC COLORANTBATTLESHIP GRAYPINT</v>
      </c>
      <c r="K53" s="1" t="s">
        <v>472</v>
      </c>
      <c r="L53" s="1" t="s">
        <v>524</v>
      </c>
      <c r="M53" s="1" t="s">
        <v>509</v>
      </c>
      <c r="X53" s="66" t="s">
        <v>45</v>
      </c>
      <c r="Y53" s="1" t="s">
        <v>36</v>
      </c>
      <c r="Z53" s="63">
        <f>Table1[[#This Row],[D:D]]</f>
        <v>231.00000000000003</v>
      </c>
      <c r="AA53" s="1" t="s">
        <v>73</v>
      </c>
      <c r="AD53" s="1" t="s">
        <v>17</v>
      </c>
      <c r="AE53" s="1">
        <v>210</v>
      </c>
      <c r="AF53" s="1">
        <f>Table1[[#This Row],[C:C]]*1.1</f>
        <v>231.00000000000003</v>
      </c>
      <c r="AI53" s="1">
        <f>IFERROR(VLOOKUP(X53,#REF!,8,FALSE),0)</f>
        <v>0</v>
      </c>
      <c r="AN53" s="1" t="str">
        <f>PROD_ID_TABLE[[#This Row],[PROD ID]]</f>
        <v>E MD HS URCHUTKIT</v>
      </c>
      <c r="AO53" s="1" t="str">
        <f t="shared" si="2"/>
        <v>POLY-CRETE MD HS URETHANE CONCRETE COATINGCHESTNUTKIT</v>
      </c>
      <c r="AP53" s="3">
        <f t="shared" si="3"/>
        <v>116.52</v>
      </c>
      <c r="AQ53" s="1" t="str">
        <f t="shared" si="4"/>
        <v>KIT</v>
      </c>
      <c r="AS53" s="1" t="str">
        <f t="shared" si="5"/>
        <v>CHESTNUT</v>
      </c>
      <c r="AT53" s="1" t="s">
        <v>345</v>
      </c>
      <c r="AU53" s="1" t="s">
        <v>408</v>
      </c>
      <c r="AV53" s="1" t="str">
        <f t="shared" si="6"/>
        <v>RESUFLOR 3760 MPE MULTI-PURPOSE EPOXY15 GAL</v>
      </c>
      <c r="AW53" s="134">
        <v>847.44</v>
      </c>
      <c r="AY53" t="str">
        <f t="shared" si="7"/>
        <v>E MD HS URCHUTKIT</v>
      </c>
      <c r="AZ53" s="1" t="str">
        <f t="shared" si="8"/>
        <v>E MD HS UR</v>
      </c>
      <c r="BA53" t="str">
        <f t="shared" si="9"/>
        <v>CHUT</v>
      </c>
      <c r="BB53" s="1" t="str">
        <f t="shared" si="0"/>
        <v>KIT</v>
      </c>
      <c r="BC53" s="1">
        <f t="shared" si="1"/>
        <v>116.52</v>
      </c>
      <c r="BD53" s="1" t="s">
        <v>356</v>
      </c>
      <c r="BE53" s="14" t="s">
        <v>392</v>
      </c>
      <c r="BF53" s="14" t="s">
        <v>397</v>
      </c>
      <c r="BG53" s="14" t="s">
        <v>368</v>
      </c>
      <c r="BJ53"/>
      <c r="BK53"/>
      <c r="BM53"/>
    </row>
    <row r="54" spans="1:65" x14ac:dyDescent="0.35">
      <c r="B54" s="1" t="s">
        <v>917</v>
      </c>
      <c r="C54" s="1" t="s">
        <v>918</v>
      </c>
      <c r="D54" s="1" t="s">
        <v>919</v>
      </c>
      <c r="E54" s="1" t="s">
        <v>921</v>
      </c>
      <c r="F54" s="1" t="s">
        <v>924</v>
      </c>
      <c r="I54" s="1" t="s">
        <v>141</v>
      </c>
      <c r="J54" s="1" t="str">
        <f t="shared" si="11"/>
        <v>POLYASPARTIC COLORANTMEDIUM GRAYPINT</v>
      </c>
      <c r="K54" s="1" t="s">
        <v>472</v>
      </c>
      <c r="L54" s="1" t="s">
        <v>333</v>
      </c>
      <c r="M54" s="1" t="s">
        <v>509</v>
      </c>
      <c r="X54" s="66" t="s">
        <v>47</v>
      </c>
      <c r="Y54" s="1" t="s">
        <v>38</v>
      </c>
      <c r="Z54" s="63">
        <f>Table1[[#This Row],[D:D]]</f>
        <v>2211</v>
      </c>
      <c r="AA54" s="1" t="s">
        <v>74</v>
      </c>
      <c r="AD54" s="1" t="s">
        <v>17</v>
      </c>
      <c r="AE54" s="1">
        <v>2010</v>
      </c>
      <c r="AF54" s="1">
        <f>Table1[[#This Row],[C:C]]*1.1</f>
        <v>2211</v>
      </c>
      <c r="AI54" s="1">
        <f>IFERROR(VLOOKUP(X54,#REF!,8,FALSE),0)</f>
        <v>0</v>
      </c>
      <c r="AN54" s="1" t="str">
        <f>PROD_ID_TABLE[[#This Row],[PROD ID]]</f>
        <v>E MD HS URCOAYKIT</v>
      </c>
      <c r="AO54" s="1" t="str">
        <f t="shared" si="2"/>
        <v>POLY-CRETE MD HS URETHANE CONCRETE COATINGCONCRETE GRAYKIT</v>
      </c>
      <c r="AP54" s="3">
        <f t="shared" si="3"/>
        <v>116.52</v>
      </c>
      <c r="AQ54" s="1" t="str">
        <f t="shared" si="4"/>
        <v>KIT</v>
      </c>
      <c r="AS54" s="1" t="str">
        <f t="shared" si="5"/>
        <v>CONCRETE GRAY</v>
      </c>
      <c r="AT54" s="1" t="s">
        <v>346</v>
      </c>
      <c r="AU54" s="1" t="s">
        <v>407</v>
      </c>
      <c r="AV54" s="1" t="str">
        <f t="shared" si="6"/>
        <v>RESUFLOR 3746 HIGH PERFORMANCE EPOXY3 GAL</v>
      </c>
      <c r="AW54" s="134">
        <v>205.98</v>
      </c>
      <c r="AY54" t="str">
        <f t="shared" si="7"/>
        <v>E MD HS URCOAYKIT</v>
      </c>
      <c r="AZ54" s="1" t="str">
        <f t="shared" si="8"/>
        <v>E MD HS UR</v>
      </c>
      <c r="BA54" t="str">
        <f t="shared" si="9"/>
        <v>COAY</v>
      </c>
      <c r="BB54" s="1" t="str">
        <f t="shared" si="0"/>
        <v>KIT</v>
      </c>
      <c r="BC54" s="1">
        <f t="shared" si="1"/>
        <v>116.52</v>
      </c>
      <c r="BD54" s="1" t="s">
        <v>356</v>
      </c>
      <c r="BE54" s="14" t="s">
        <v>393</v>
      </c>
      <c r="BF54" s="14" t="s">
        <v>397</v>
      </c>
      <c r="BG54" s="14" t="s">
        <v>368</v>
      </c>
      <c r="BH54" s="1" t="s">
        <v>358</v>
      </c>
      <c r="BI54" s="1" t="s">
        <v>766</v>
      </c>
      <c r="BJ54"/>
      <c r="BK54"/>
      <c r="BM54"/>
    </row>
    <row r="55" spans="1:65" x14ac:dyDescent="0.35">
      <c r="A55" s="1" t="s">
        <v>914</v>
      </c>
      <c r="B55" s="1" t="s">
        <v>920</v>
      </c>
      <c r="I55" s="1" t="s">
        <v>112</v>
      </c>
      <c r="J55" s="1" t="str">
        <f t="shared" si="11"/>
        <v>CRETE COLORANTBATTLESHIP GRAYPINT</v>
      </c>
      <c r="K55" s="1" t="s">
        <v>473</v>
      </c>
      <c r="L55" s="1" t="s">
        <v>524</v>
      </c>
      <c r="M55" s="1" t="s">
        <v>509</v>
      </c>
      <c r="X55" s="66" t="s">
        <v>276</v>
      </c>
      <c r="Y55" s="1" t="s">
        <v>277</v>
      </c>
      <c r="Z55" s="63">
        <f>Table1[[#This Row],[D:D]]</f>
        <v>178.11199999999999</v>
      </c>
      <c r="AA55" s="1" t="s">
        <v>86</v>
      </c>
      <c r="AD55" s="1" t="s">
        <v>17</v>
      </c>
      <c r="AE55" s="1">
        <v>161.91999999999999</v>
      </c>
      <c r="AF55" s="1">
        <f>Table1[[#This Row],[C:C]]*1.1</f>
        <v>178.11199999999999</v>
      </c>
      <c r="AI55" s="1">
        <f>IFERROR(VLOOKUP(X55,#REF!,8,FALSE),0)</f>
        <v>0</v>
      </c>
      <c r="AN55" s="1" t="str">
        <f>PROD_ID_TABLE[[#This Row],[PROD ID]]</f>
        <v>E MD HS URDAAYKIT</v>
      </c>
      <c r="AO55" s="1" t="str">
        <f t="shared" si="2"/>
        <v>POLY-CRETE MD HS URETHANE CONCRETE COATINGDARK GRAYKIT</v>
      </c>
      <c r="AP55" s="3">
        <f t="shared" si="3"/>
        <v>116.52</v>
      </c>
      <c r="AQ55" s="1" t="str">
        <f t="shared" si="4"/>
        <v>KIT</v>
      </c>
      <c r="AS55" s="1" t="str">
        <f t="shared" si="5"/>
        <v>DARK GRAY</v>
      </c>
      <c r="AT55" s="1" t="s">
        <v>346</v>
      </c>
      <c r="AU55" s="1" t="s">
        <v>408</v>
      </c>
      <c r="AV55" s="1" t="str">
        <f t="shared" si="6"/>
        <v>RESUFLOR 3746 HIGH PERFORMANCE EPOXY15 GAL</v>
      </c>
      <c r="AW55" s="134">
        <v>982.21</v>
      </c>
      <c r="AY55" t="str">
        <f t="shared" si="7"/>
        <v>E MD HS URDAAYKIT</v>
      </c>
      <c r="AZ55" s="1" t="str">
        <f t="shared" si="8"/>
        <v>E MD HS UR</v>
      </c>
      <c r="BA55" t="str">
        <f t="shared" si="9"/>
        <v>DAAY</v>
      </c>
      <c r="BB55" s="1" t="str">
        <f t="shared" si="0"/>
        <v>KIT</v>
      </c>
      <c r="BC55" s="1">
        <f t="shared" si="1"/>
        <v>116.52</v>
      </c>
      <c r="BD55" s="1" t="s">
        <v>356</v>
      </c>
      <c r="BE55" s="14" t="s">
        <v>394</v>
      </c>
      <c r="BF55" s="14" t="s">
        <v>397</v>
      </c>
      <c r="BG55" s="14" t="s">
        <v>368</v>
      </c>
      <c r="BH55" s="1" t="s">
        <v>358</v>
      </c>
      <c r="BI55" s="1" t="s">
        <v>767</v>
      </c>
      <c r="BJ55"/>
      <c r="BK55"/>
      <c r="BM55"/>
    </row>
    <row r="56" spans="1:65" x14ac:dyDescent="0.35">
      <c r="A56" s="1" t="s">
        <v>915</v>
      </c>
      <c r="I56" s="1" t="s">
        <v>119</v>
      </c>
      <c r="J56" s="1" t="str">
        <f t="shared" si="11"/>
        <v>CRETE COLORANTBLACKPINT</v>
      </c>
      <c r="K56" s="1" t="s">
        <v>473</v>
      </c>
      <c r="L56" s="1" t="s">
        <v>323</v>
      </c>
      <c r="M56" s="1" t="s">
        <v>509</v>
      </c>
      <c r="X56" s="66" t="s">
        <v>147</v>
      </c>
      <c r="Y56" s="1" t="s">
        <v>148</v>
      </c>
      <c r="Z56" s="63">
        <f>Table1[[#This Row],[D:D]]</f>
        <v>28.05</v>
      </c>
      <c r="AA56" s="1" t="s">
        <v>114</v>
      </c>
      <c r="AD56" s="1" t="s">
        <v>17</v>
      </c>
      <c r="AE56" s="1">
        <v>25.5</v>
      </c>
      <c r="AF56" s="1">
        <f>Table1[[#This Row],[C:C]]*1.1</f>
        <v>28.05</v>
      </c>
      <c r="AI56" s="1">
        <f>IFERROR(VLOOKUP(X56,#REF!,8,FALSE),0)</f>
        <v>0</v>
      </c>
      <c r="AN56" s="1" t="str">
        <f>PROD_ID_TABLE[[#This Row],[PROD ID]]</f>
        <v>E MD HS URGRENKIT</v>
      </c>
      <c r="AO56" s="1" t="str">
        <f t="shared" si="2"/>
        <v>POLY-CRETE MD HS URETHANE CONCRETE COATINGGREENKIT</v>
      </c>
      <c r="AP56" s="3">
        <f t="shared" si="3"/>
        <v>116.52</v>
      </c>
      <c r="AQ56" s="1" t="str">
        <f t="shared" si="4"/>
        <v>KIT</v>
      </c>
      <c r="AS56" s="1" t="str">
        <f t="shared" si="5"/>
        <v>GREEN</v>
      </c>
      <c r="AT56" s="1" t="s">
        <v>347</v>
      </c>
      <c r="AU56" s="1" t="s">
        <v>407</v>
      </c>
      <c r="AV56" s="1" t="str">
        <f t="shared" si="6"/>
        <v>RESUFLOR 3741 CHEMICAL RESISTANT NOVOLAC3 GAL</v>
      </c>
      <c r="AW56" s="134">
        <v>388.66</v>
      </c>
      <c r="AY56" t="str">
        <f t="shared" si="7"/>
        <v>E MD HS URGRENKIT</v>
      </c>
      <c r="AZ56" s="1" t="str">
        <f t="shared" si="8"/>
        <v>E MD HS UR</v>
      </c>
      <c r="BA56" t="str">
        <f t="shared" si="9"/>
        <v>GREN</v>
      </c>
      <c r="BB56" s="1" t="str">
        <f t="shared" si="0"/>
        <v>KIT</v>
      </c>
      <c r="BC56" s="1">
        <f t="shared" si="1"/>
        <v>116.52</v>
      </c>
      <c r="BD56" s="1" t="s">
        <v>356</v>
      </c>
      <c r="BE56" s="14" t="s">
        <v>395</v>
      </c>
      <c r="BF56" s="14" t="s">
        <v>397</v>
      </c>
      <c r="BG56" s="14" t="s">
        <v>368</v>
      </c>
      <c r="BH56" s="1" t="s">
        <v>355</v>
      </c>
      <c r="BI56" s="1" t="s">
        <v>788</v>
      </c>
      <c r="BJ56"/>
      <c r="BK56"/>
      <c r="BM56"/>
    </row>
    <row r="57" spans="1:65" x14ac:dyDescent="0.35">
      <c r="A57" s="1" t="s">
        <v>916</v>
      </c>
      <c r="C57" s="1" t="s">
        <v>920</v>
      </c>
      <c r="D57" s="1" t="s">
        <v>920</v>
      </c>
      <c r="E57" s="1" t="s">
        <v>920</v>
      </c>
      <c r="I57" s="1" t="s">
        <v>121</v>
      </c>
      <c r="J57" s="1" t="str">
        <f t="shared" si="11"/>
        <v>CRETE COLORANTMEDIUM GRAYPINT</v>
      </c>
      <c r="K57" s="1" t="s">
        <v>473</v>
      </c>
      <c r="L57" s="1" t="s">
        <v>333</v>
      </c>
      <c r="M57" s="1" t="s">
        <v>509</v>
      </c>
      <c r="X57" s="66" t="s">
        <v>149</v>
      </c>
      <c r="Y57" s="1" t="s">
        <v>148</v>
      </c>
      <c r="Z57" s="63">
        <f>Table1[[#This Row],[D:D]]</f>
        <v>484.00000000000006</v>
      </c>
      <c r="AA57" s="1" t="s">
        <v>118</v>
      </c>
      <c r="AD57" s="1" t="s">
        <v>17</v>
      </c>
      <c r="AE57" s="1">
        <v>440</v>
      </c>
      <c r="AF57" s="1">
        <f>Table1[[#This Row],[C:C]]*1.1</f>
        <v>484.00000000000006</v>
      </c>
      <c r="AI57" s="1">
        <f>IFERROR(VLOOKUP(X57,#REF!,8,FALSE),0)</f>
        <v>0</v>
      </c>
      <c r="AN57" s="1" t="str">
        <f>PROD_ID_TABLE[[#This Row],[PROD ID]]</f>
        <v>E MD HS URGRAYKIT</v>
      </c>
      <c r="AO57" s="1" t="str">
        <f t="shared" si="2"/>
        <v>POLY-CRETE MD HS URETHANE CONCRETE COATINGGRAYKIT</v>
      </c>
      <c r="AP57" s="3">
        <f t="shared" si="3"/>
        <v>116.52</v>
      </c>
      <c r="AQ57" s="1" t="str">
        <f t="shared" si="4"/>
        <v>KIT</v>
      </c>
      <c r="AS57" s="1" t="str">
        <f t="shared" si="5"/>
        <v>GRAY</v>
      </c>
      <c r="AT57" s="1" t="s">
        <v>347</v>
      </c>
      <c r="AU57" s="1" t="s">
        <v>408</v>
      </c>
      <c r="AV57" s="1" t="str">
        <f t="shared" si="6"/>
        <v>RESUFLOR 3741 CHEMICAL RESISTANT NOVOLAC15 GAL</v>
      </c>
      <c r="AW57" s="134">
        <v>1900.58</v>
      </c>
      <c r="AY57" t="str">
        <f t="shared" si="7"/>
        <v>E MD HS URGRAYKIT</v>
      </c>
      <c r="AZ57" s="1" t="str">
        <f t="shared" si="8"/>
        <v>E MD HS UR</v>
      </c>
      <c r="BA57" t="str">
        <f t="shared" si="9"/>
        <v>GRAY</v>
      </c>
      <c r="BB57" s="1" t="str">
        <f t="shared" si="0"/>
        <v>KIT</v>
      </c>
      <c r="BC57" s="1">
        <f t="shared" si="1"/>
        <v>116.52</v>
      </c>
      <c r="BD57" s="1" t="s">
        <v>356</v>
      </c>
      <c r="BE57" s="14" t="s">
        <v>317</v>
      </c>
      <c r="BF57" s="14" t="s">
        <v>397</v>
      </c>
      <c r="BG57" s="14" t="s">
        <v>368</v>
      </c>
      <c r="BH57" s="1" t="s">
        <v>356</v>
      </c>
      <c r="BI57" s="1" t="s">
        <v>789</v>
      </c>
      <c r="BJ57"/>
      <c r="BK57"/>
      <c r="BM57"/>
    </row>
    <row r="58" spans="1:65" x14ac:dyDescent="0.35">
      <c r="A58" s="1" t="s">
        <v>922</v>
      </c>
      <c r="D58" s="1" t="s">
        <v>920</v>
      </c>
      <c r="F58" s="1" t="s">
        <v>920</v>
      </c>
      <c r="I58" s="1" t="s">
        <v>123</v>
      </c>
      <c r="J58" s="1" t="str">
        <f t="shared" si="11"/>
        <v>CRETE COLORANTROTUNDA REDPINT</v>
      </c>
      <c r="K58" s="1" t="s">
        <v>473</v>
      </c>
      <c r="L58" s="1" t="s">
        <v>385</v>
      </c>
      <c r="M58" s="1" t="s">
        <v>509</v>
      </c>
      <c r="X58" s="66" t="s">
        <v>53</v>
      </c>
      <c r="Y58" s="1" t="s">
        <v>59</v>
      </c>
      <c r="Z58" s="63">
        <f>Table1[[#This Row],[D:D]]</f>
        <v>198.00000000000003</v>
      </c>
      <c r="AA58" s="1" t="s">
        <v>71</v>
      </c>
      <c r="AC58" s="1" t="s">
        <v>62</v>
      </c>
      <c r="AD58" s="1" t="s">
        <v>17</v>
      </c>
      <c r="AE58" s="1">
        <v>180</v>
      </c>
      <c r="AF58" s="1">
        <f>Table1[[#This Row],[C:C]]*1.1</f>
        <v>198.00000000000003</v>
      </c>
      <c r="AI58" s="1">
        <f>IFERROR(VLOOKUP(X58,#REF!,8,FALSE),0)</f>
        <v>0</v>
      </c>
      <c r="AN58" s="1" t="str">
        <f>PROD_ID_TABLE[[#This Row],[PROD ID]]</f>
        <v>E MD HS URREEDKIT</v>
      </c>
      <c r="AO58" s="1" t="str">
        <f t="shared" si="2"/>
        <v>POLY-CRETE MD HS URETHANE CONCRETE COATINGREDKIT</v>
      </c>
      <c r="AP58" s="3">
        <f t="shared" si="3"/>
        <v>116.52</v>
      </c>
      <c r="AQ58" s="1" t="str">
        <f t="shared" si="4"/>
        <v>KIT</v>
      </c>
      <c r="AS58" s="1" t="str">
        <f t="shared" si="5"/>
        <v>RED</v>
      </c>
      <c r="AT58" s="1" t="s">
        <v>381</v>
      </c>
      <c r="AU58" s="1" t="s">
        <v>407</v>
      </c>
      <c r="AV58" s="1" t="str">
        <f t="shared" si="6"/>
        <v>RESUFLOR 3725 STATIC CONTROL EPOXY3 GAL</v>
      </c>
      <c r="AW58" s="134">
        <v>790.19999999999993</v>
      </c>
      <c r="AY58" t="str">
        <f t="shared" si="7"/>
        <v>E MD HS URREEDKIT</v>
      </c>
      <c r="AZ58" s="1" t="str">
        <f t="shared" si="8"/>
        <v>E MD HS UR</v>
      </c>
      <c r="BA58" t="str">
        <f t="shared" si="9"/>
        <v>REED</v>
      </c>
      <c r="BB58" s="1" t="str">
        <f t="shared" si="0"/>
        <v>KIT</v>
      </c>
      <c r="BC58" s="1">
        <f t="shared" si="1"/>
        <v>116.52</v>
      </c>
      <c r="BD58" s="1" t="s">
        <v>356</v>
      </c>
      <c r="BE58" s="14" t="s">
        <v>396</v>
      </c>
      <c r="BF58" s="14" t="s">
        <v>397</v>
      </c>
      <c r="BG58" s="14" t="s">
        <v>368</v>
      </c>
      <c r="BH58" s="1" t="s">
        <v>359</v>
      </c>
      <c r="BI58" s="1" t="s">
        <v>784</v>
      </c>
      <c r="BJ58"/>
      <c r="BK58"/>
      <c r="BM58"/>
    </row>
    <row r="59" spans="1:65" x14ac:dyDescent="0.35">
      <c r="A59" s="1" t="s">
        <v>923</v>
      </c>
      <c r="B59" s="1" t="s">
        <v>920</v>
      </c>
      <c r="D59" s="1" t="s">
        <v>920</v>
      </c>
      <c r="I59" s="1" t="s">
        <v>124</v>
      </c>
      <c r="J59" s="1" t="str">
        <f t="shared" si="11"/>
        <v>CRETE COLORANTSANDY BEIGEPINT</v>
      </c>
      <c r="K59" s="1" t="s">
        <v>473</v>
      </c>
      <c r="L59" s="1" t="s">
        <v>386</v>
      </c>
      <c r="M59" s="1" t="s">
        <v>509</v>
      </c>
      <c r="X59" s="66" t="s">
        <v>900</v>
      </c>
      <c r="Y59" s="1" t="s">
        <v>476</v>
      </c>
      <c r="Z59" s="63">
        <v>8.338000000000001</v>
      </c>
      <c r="AA59" s="1" t="s">
        <v>75</v>
      </c>
      <c r="AC59" s="1" t="s">
        <v>315</v>
      </c>
      <c r="AD59" s="1" t="s">
        <v>17</v>
      </c>
      <c r="AE59" s="1">
        <v>521.29999999999995</v>
      </c>
      <c r="AF59" s="1">
        <f>Table1[[#This Row],[C:C]]*1.1</f>
        <v>573.42999999999995</v>
      </c>
      <c r="AI59" s="1">
        <f>IFERROR(VLOOKUP(X59,#REF!,8,FALSE),0)</f>
        <v>0</v>
      </c>
      <c r="AN59" s="1" t="str">
        <f>PROD_ID_TABLE[[#This Row],[PROD ID]]</f>
        <v>E TF PLUS N//AKIT</v>
      </c>
      <c r="AO59" s="1" t="str">
        <f t="shared" si="2"/>
        <v>POLY-CRETE TF PLUS COVE VERTICAL APPLICATIONSN/AKIT</v>
      </c>
      <c r="AP59" s="3">
        <f t="shared" si="3"/>
        <v>31.799999999999997</v>
      </c>
      <c r="AQ59" s="1" t="str">
        <f t="shared" si="4"/>
        <v>KIT</v>
      </c>
      <c r="AS59" s="1" t="str">
        <f t="shared" si="5"/>
        <v>N/A</v>
      </c>
      <c r="AT59" s="1" t="s">
        <v>381</v>
      </c>
      <c r="AU59" s="1" t="s">
        <v>408</v>
      </c>
      <c r="AV59" s="1" t="str">
        <f t="shared" si="6"/>
        <v>RESUFLOR 3725 STATIC CONTROL EPOXY15 GAL</v>
      </c>
      <c r="AW59" s="134">
        <v>3606</v>
      </c>
      <c r="AY59" t="str">
        <f t="shared" si="7"/>
        <v>E TF PLUS N//AKIT</v>
      </c>
      <c r="AZ59" s="1" t="str">
        <f t="shared" si="8"/>
        <v xml:space="preserve">E TF PLUS </v>
      </c>
      <c r="BA59" t="str">
        <f t="shared" si="9"/>
        <v>N//A</v>
      </c>
      <c r="BB59" s="1" t="str">
        <f t="shared" si="0"/>
        <v>KIT</v>
      </c>
      <c r="BC59" s="1">
        <f t="shared" si="1"/>
        <v>31.799999999999997</v>
      </c>
      <c r="BD59" s="62" t="s">
        <v>359</v>
      </c>
      <c r="BE59" s="55" t="s">
        <v>398</v>
      </c>
      <c r="BF59" s="55" t="s">
        <v>397</v>
      </c>
      <c r="BG59" s="55" t="s">
        <v>368</v>
      </c>
      <c r="BH59" s="1" t="s">
        <v>357</v>
      </c>
      <c r="BI59" s="1" t="s">
        <v>790</v>
      </c>
      <c r="BJ59"/>
      <c r="BK59"/>
      <c r="BM59"/>
    </row>
    <row r="60" spans="1:65" x14ac:dyDescent="0.35">
      <c r="A60" s="1" t="s">
        <v>925</v>
      </c>
      <c r="B60" s="1" t="s">
        <v>920</v>
      </c>
      <c r="D60" s="1" t="s">
        <v>920</v>
      </c>
      <c r="I60" s="1" t="s">
        <v>125</v>
      </c>
      <c r="J60" s="1" t="str">
        <f t="shared" si="11"/>
        <v>CRETE COLORANTTILE REDPINT</v>
      </c>
      <c r="K60" s="1" t="s">
        <v>473</v>
      </c>
      <c r="L60" s="1" t="s">
        <v>387</v>
      </c>
      <c r="M60" s="1" t="s">
        <v>509</v>
      </c>
      <c r="X60" s="66" t="s">
        <v>912</v>
      </c>
      <c r="Y60" s="1" t="s">
        <v>476</v>
      </c>
      <c r="Z60" s="63">
        <v>8.338000000000001</v>
      </c>
      <c r="AA60" s="1" t="s">
        <v>75</v>
      </c>
      <c r="AC60" s="1" t="s">
        <v>982</v>
      </c>
      <c r="AD60" s="1" t="s">
        <v>17</v>
      </c>
      <c r="AE60" s="1">
        <v>521.29999999999995</v>
      </c>
      <c r="AF60" s="1">
        <f>Table1[[#This Row],[C:C]]*1.1</f>
        <v>573.42999999999995</v>
      </c>
      <c r="AI60" s="1">
        <f>IFERROR(VLOOKUP(X60,#REF!,8,FALSE),0)</f>
        <v>0</v>
      </c>
      <c r="AN60" s="1" t="str">
        <f>PROD_ID_TABLE[[#This Row],[PROD ID]]</f>
        <v>E HF HS URCHALKIT</v>
      </c>
      <c r="AO60" s="1" t="str">
        <f t="shared" si="2"/>
        <v>POLY-CRETE HF HS URETHANE CONCRETE COATINGCHARCOALKIT</v>
      </c>
      <c r="AP60" s="3">
        <f t="shared" si="3"/>
        <v>79.45</v>
      </c>
      <c r="AQ60" s="1" t="str">
        <f t="shared" si="4"/>
        <v>KIT</v>
      </c>
      <c r="AS60" s="1" t="str">
        <f t="shared" si="5"/>
        <v>CHARCOAL</v>
      </c>
      <c r="AT60" s="1" t="s">
        <v>348</v>
      </c>
      <c r="AU60" s="1" t="s">
        <v>407</v>
      </c>
      <c r="AV60" s="1" t="str">
        <f t="shared" si="6"/>
        <v>RESUTILE 4638 HS POLYURETHANE FLOOR ENAMEL3 GAL</v>
      </c>
      <c r="AW60" s="134">
        <v>305.43</v>
      </c>
      <c r="AY60" t="str">
        <f t="shared" si="7"/>
        <v>E HF HS URCHALKIT</v>
      </c>
      <c r="AZ60" s="1" t="str">
        <f t="shared" si="8"/>
        <v>E HF HS UR</v>
      </c>
      <c r="BA60" t="str">
        <f t="shared" si="9"/>
        <v>CHAL</v>
      </c>
      <c r="BB60" s="1" t="str">
        <f t="shared" si="0"/>
        <v>KIT</v>
      </c>
      <c r="BC60" s="1">
        <f t="shared" si="1"/>
        <v>79.45</v>
      </c>
      <c r="BD60" s="1" t="s">
        <v>357</v>
      </c>
      <c r="BE60" s="14" t="s">
        <v>318</v>
      </c>
      <c r="BF60" s="14" t="s">
        <v>397</v>
      </c>
      <c r="BG60" s="14" t="s">
        <v>368</v>
      </c>
      <c r="BH60" s="1" t="s">
        <v>360</v>
      </c>
      <c r="BI60" s="1" t="s">
        <v>785</v>
      </c>
      <c r="BJ60"/>
      <c r="BK60"/>
      <c r="BM60"/>
    </row>
    <row r="61" spans="1:65" x14ac:dyDescent="0.35">
      <c r="A61" s="1" t="s">
        <v>926</v>
      </c>
      <c r="B61" s="1" t="s">
        <v>920</v>
      </c>
      <c r="C61" s="1" t="s">
        <v>920</v>
      </c>
      <c r="D61" s="1" t="s">
        <v>920</v>
      </c>
      <c r="I61" s="1" t="s">
        <v>126</v>
      </c>
      <c r="J61" s="1" t="str">
        <f t="shared" si="11"/>
        <v>CRETE COLORANTYELLOWPINT</v>
      </c>
      <c r="K61" s="1" t="s">
        <v>473</v>
      </c>
      <c r="L61" s="1" t="s">
        <v>383</v>
      </c>
      <c r="M61" s="1" t="s">
        <v>509</v>
      </c>
      <c r="X61" s="66" t="s">
        <v>905</v>
      </c>
      <c r="Y61" s="1" t="s">
        <v>901</v>
      </c>
      <c r="Z61" s="63">
        <v>574.20000000000005</v>
      </c>
      <c r="AA61" s="1" t="s">
        <v>908</v>
      </c>
      <c r="AC61" s="1" t="s">
        <v>398</v>
      </c>
      <c r="AD61" s="1" t="s">
        <v>17</v>
      </c>
      <c r="AE61" s="1">
        <v>522</v>
      </c>
      <c r="AF61" s="1">
        <f>Table1[[#This Row],[C:C]]*1.1</f>
        <v>574.20000000000005</v>
      </c>
      <c r="AI61" s="1">
        <f>IFERROR(VLOOKUP(X61,#REF!,8,FALSE),0)</f>
        <v>0</v>
      </c>
      <c r="AN61" s="1" t="str">
        <f>PROD_ID_TABLE[[#This Row],[PROD ID]]</f>
        <v>E HF HS URCHUTKIT</v>
      </c>
      <c r="AO61" s="1" t="str">
        <f t="shared" si="2"/>
        <v>POLY-CRETE HF HS URETHANE CONCRETE COATINGCHESTNUTKIT</v>
      </c>
      <c r="AP61" s="3">
        <f t="shared" si="3"/>
        <v>79.45</v>
      </c>
      <c r="AQ61" s="1" t="str">
        <f t="shared" si="4"/>
        <v>KIT</v>
      </c>
      <c r="AS61" s="1" t="str">
        <f t="shared" si="5"/>
        <v>CHESTNUT</v>
      </c>
      <c r="AT61" s="1" t="s">
        <v>348</v>
      </c>
      <c r="AU61" s="1" t="s">
        <v>408</v>
      </c>
      <c r="AV61" s="1" t="str">
        <f t="shared" si="6"/>
        <v>RESUTILE 4638 HS POLYURETHANE FLOOR ENAMEL15 GAL</v>
      </c>
      <c r="AW61" s="134">
        <v>1456.54</v>
      </c>
      <c r="AY61" t="str">
        <f t="shared" si="7"/>
        <v>E HF HS URCHUTKIT</v>
      </c>
      <c r="AZ61" s="1" t="str">
        <f t="shared" si="8"/>
        <v>E HF HS UR</v>
      </c>
      <c r="BA61" t="str">
        <f t="shared" si="9"/>
        <v>CHUT</v>
      </c>
      <c r="BB61" s="1" t="str">
        <f t="shared" si="0"/>
        <v>KIT</v>
      </c>
      <c r="BC61" s="1">
        <f t="shared" si="1"/>
        <v>79.45</v>
      </c>
      <c r="BD61" s="1" t="s">
        <v>357</v>
      </c>
      <c r="BE61" s="14" t="s">
        <v>392</v>
      </c>
      <c r="BF61" s="14" t="s">
        <v>397</v>
      </c>
      <c r="BG61" s="14" t="s">
        <v>368</v>
      </c>
      <c r="BH61" s="1" t="s">
        <v>360</v>
      </c>
      <c r="BI61" s="1" t="s">
        <v>786</v>
      </c>
      <c r="BJ61"/>
      <c r="BK61"/>
      <c r="BM61"/>
    </row>
    <row r="62" spans="1:65" x14ac:dyDescent="0.35">
      <c r="A62" s="1" t="s">
        <v>927</v>
      </c>
      <c r="I62" s="1" t="s">
        <v>143</v>
      </c>
      <c r="J62" s="1" t="str">
        <f t="shared" si="11"/>
        <v>CRETE COLORANTSADDLE TANPINT</v>
      </c>
      <c r="K62" s="1" t="s">
        <v>473</v>
      </c>
      <c r="L62" s="1" t="s">
        <v>525</v>
      </c>
      <c r="M62" s="1" t="s">
        <v>509</v>
      </c>
      <c r="X62" s="66" t="s">
        <v>910</v>
      </c>
      <c r="Y62" s="1" t="s">
        <v>902</v>
      </c>
      <c r="Z62" s="63">
        <v>969.43000000000006</v>
      </c>
      <c r="AA62" s="1" t="s">
        <v>909</v>
      </c>
      <c r="AC62" s="1" t="s">
        <v>398</v>
      </c>
      <c r="AD62" s="1" t="s">
        <v>17</v>
      </c>
      <c r="AE62" s="1">
        <v>881.3</v>
      </c>
      <c r="AF62" s="1">
        <f>Table1[[#This Row],[C:C]]*1.1</f>
        <v>969.43000000000006</v>
      </c>
      <c r="AI62" s="1">
        <f>IFERROR(VLOOKUP(X62,#REF!,8,FALSE),0)</f>
        <v>0</v>
      </c>
      <c r="AN62" s="1" t="str">
        <f>PROD_ID_TABLE[[#This Row],[PROD ID]]</f>
        <v>E HF HS URCOAYKIT</v>
      </c>
      <c r="AO62" s="1" t="str">
        <f t="shared" si="2"/>
        <v>POLY-CRETE HF HS URETHANE CONCRETE COATINGCONCRETE GRAYKIT</v>
      </c>
      <c r="AP62" s="3">
        <f t="shared" si="3"/>
        <v>79.45</v>
      </c>
      <c r="AQ62" s="1" t="str">
        <f t="shared" si="4"/>
        <v>KIT</v>
      </c>
      <c r="AS62" s="1" t="str">
        <f t="shared" si="5"/>
        <v>CONCRETE GRAY</v>
      </c>
      <c r="AT62" s="1" t="s">
        <v>350</v>
      </c>
      <c r="AU62" s="587">
        <v>0.9</v>
      </c>
      <c r="AV62" s="1" t="str">
        <f t="shared" si="6"/>
        <v>RESUTILE 4641 HPS 100 HS ALIPHATIC URETHANE TOPCOAT0.9</v>
      </c>
      <c r="AW62" s="134">
        <v>234.81</v>
      </c>
      <c r="AY62" t="str">
        <f t="shared" si="7"/>
        <v>E HF HS URCOAYKIT</v>
      </c>
      <c r="AZ62" s="1" t="str">
        <f t="shared" si="8"/>
        <v>E HF HS UR</v>
      </c>
      <c r="BA62" t="str">
        <f t="shared" si="9"/>
        <v>COAY</v>
      </c>
      <c r="BB62" s="1" t="str">
        <f t="shared" si="0"/>
        <v>KIT</v>
      </c>
      <c r="BC62" s="1">
        <f t="shared" si="1"/>
        <v>79.45</v>
      </c>
      <c r="BD62" s="1" t="s">
        <v>357</v>
      </c>
      <c r="BE62" s="14" t="s">
        <v>393</v>
      </c>
      <c r="BF62" s="14" t="s">
        <v>397</v>
      </c>
      <c r="BG62" s="14" t="s">
        <v>368</v>
      </c>
      <c r="BH62" s="1" t="s">
        <v>361</v>
      </c>
      <c r="BI62" s="1" t="s">
        <v>791</v>
      </c>
      <c r="BJ62"/>
      <c r="BK62"/>
      <c r="BM62"/>
    </row>
    <row r="63" spans="1:65" x14ac:dyDescent="0.35">
      <c r="A63" s="1" t="s">
        <v>928</v>
      </c>
      <c r="B63" s="1" t="s">
        <v>920</v>
      </c>
      <c r="I63" s="1" t="s">
        <v>147</v>
      </c>
      <c r="J63" s="1" t="str">
        <f t="shared" si="11"/>
        <v>CRETE COLORANTGRAYPINT</v>
      </c>
      <c r="K63" s="1" t="s">
        <v>473</v>
      </c>
      <c r="L63" s="1" t="s">
        <v>317</v>
      </c>
      <c r="M63" s="1" t="s">
        <v>509</v>
      </c>
      <c r="X63" s="66" t="s">
        <v>911</v>
      </c>
      <c r="Y63" s="1" t="s">
        <v>903</v>
      </c>
      <c r="Z63" s="63">
        <v>664.40000000000009</v>
      </c>
      <c r="AA63" s="1" t="s">
        <v>908</v>
      </c>
      <c r="AC63" s="1" t="s">
        <v>398</v>
      </c>
      <c r="AD63" s="1" t="s">
        <v>17</v>
      </c>
      <c r="AE63" s="1">
        <v>604</v>
      </c>
      <c r="AF63" s="1">
        <f>Table1[[#This Row],[C:C]]*1.1</f>
        <v>664.40000000000009</v>
      </c>
      <c r="AI63" s="1">
        <f>IFERROR(VLOOKUP(X63,#REF!,8,FALSE),0)</f>
        <v>0</v>
      </c>
      <c r="AN63" s="1" t="str">
        <f>PROD_ID_TABLE[[#This Row],[PROD ID]]</f>
        <v>E HF HS URDAAYKIT</v>
      </c>
      <c r="AO63" s="1" t="str">
        <f t="shared" si="2"/>
        <v>POLY-CRETE HF HS URETHANE CONCRETE COATINGDARK GRAYKIT</v>
      </c>
      <c r="AP63" s="3">
        <f t="shared" si="3"/>
        <v>79.45</v>
      </c>
      <c r="AQ63" s="1" t="str">
        <f t="shared" si="4"/>
        <v>KIT</v>
      </c>
      <c r="AS63" s="1" t="str">
        <f t="shared" si="5"/>
        <v>DARK GRAY</v>
      </c>
      <c r="AT63" s="1" t="s">
        <v>350</v>
      </c>
      <c r="AU63" s="587">
        <v>1.8</v>
      </c>
      <c r="AV63" s="1" t="str">
        <f t="shared" si="6"/>
        <v>RESUTILE 4641 HPS 100 HS ALIPHATIC URETHANE TOPCOAT1.8</v>
      </c>
      <c r="AW63" s="134">
        <v>416.07</v>
      </c>
      <c r="AY63" t="str">
        <f t="shared" si="7"/>
        <v>E HF HS URDAAYKIT</v>
      </c>
      <c r="AZ63" s="1" t="str">
        <f t="shared" si="8"/>
        <v>E HF HS UR</v>
      </c>
      <c r="BA63" t="str">
        <f t="shared" si="9"/>
        <v>DAAY</v>
      </c>
      <c r="BB63" s="1" t="str">
        <f t="shared" si="0"/>
        <v>KIT</v>
      </c>
      <c r="BC63" s="1">
        <f t="shared" si="1"/>
        <v>79.45</v>
      </c>
      <c r="BD63" s="1" t="s">
        <v>357</v>
      </c>
      <c r="BE63" s="14" t="s">
        <v>394</v>
      </c>
      <c r="BF63" s="14" t="s">
        <v>397</v>
      </c>
      <c r="BG63" s="14" t="s">
        <v>368</v>
      </c>
      <c r="BH63" s="1" t="s">
        <v>362</v>
      </c>
      <c r="BI63" s="1" t="s">
        <v>787</v>
      </c>
      <c r="BJ63"/>
      <c r="BK63"/>
      <c r="BM63"/>
    </row>
    <row r="64" spans="1:65" x14ac:dyDescent="0.35">
      <c r="A64" s="1" t="s">
        <v>929</v>
      </c>
      <c r="B64" s="1" t="s">
        <v>920</v>
      </c>
      <c r="D64" s="1" t="s">
        <v>920</v>
      </c>
      <c r="I64" s="1" t="s">
        <v>117</v>
      </c>
      <c r="J64" s="1" t="str">
        <f t="shared" si="11"/>
        <v>CRETE COLORANT - LARGEBATTLESHIP GRAY25 PINTS</v>
      </c>
      <c r="K64" s="1" t="s">
        <v>518</v>
      </c>
      <c r="L64" s="1" t="s">
        <v>524</v>
      </c>
      <c r="M64" s="1" t="s">
        <v>510</v>
      </c>
      <c r="X64" s="66" t="s">
        <v>54</v>
      </c>
      <c r="Y64" s="1" t="s">
        <v>179</v>
      </c>
      <c r="Z64" s="63">
        <f>Table1[[#This Row],[D:D]]</f>
        <v>33</v>
      </c>
      <c r="AA64" s="1" t="s">
        <v>72</v>
      </c>
      <c r="AC64" s="1" t="s">
        <v>63</v>
      </c>
      <c r="AD64" s="1" t="s">
        <v>17</v>
      </c>
      <c r="AE64" s="1">
        <v>30</v>
      </c>
      <c r="AF64" s="1">
        <f>Table1[[#This Row],[C:C]]*1.1</f>
        <v>33</v>
      </c>
      <c r="AI64" s="1">
        <f>IFERROR(VLOOKUP(X64,#REF!,8,FALSE),0)</f>
        <v>0</v>
      </c>
      <c r="AN64" s="1" t="str">
        <f>PROD_ID_TABLE[[#This Row],[PROD ID]]</f>
        <v>E HF HS URGRENKIT</v>
      </c>
      <c r="AO64" s="1" t="str">
        <f t="shared" si="2"/>
        <v>POLY-CRETE HF HS URETHANE CONCRETE COATINGGREENKIT</v>
      </c>
      <c r="AP64" s="3">
        <f t="shared" si="3"/>
        <v>79.45</v>
      </c>
      <c r="AQ64" s="1" t="str">
        <f t="shared" si="4"/>
        <v>KIT</v>
      </c>
      <c r="AS64" s="1" t="str">
        <f t="shared" si="5"/>
        <v>GREEN</v>
      </c>
      <c r="AT64" s="1" t="s">
        <v>350</v>
      </c>
      <c r="AU64" s="587">
        <v>4.7</v>
      </c>
      <c r="AV64" s="1" t="str">
        <f t="shared" si="6"/>
        <v>RESUTILE 4641 HPS 100 HS ALIPHATIC URETHANE TOPCOAT4.7</v>
      </c>
      <c r="AW64" s="134">
        <v>798.01</v>
      </c>
      <c r="AY64" t="str">
        <f t="shared" si="7"/>
        <v>E HF HS URGRENKIT</v>
      </c>
      <c r="AZ64" s="1" t="str">
        <f t="shared" si="8"/>
        <v>E HF HS UR</v>
      </c>
      <c r="BA64" t="str">
        <f t="shared" si="9"/>
        <v>GREN</v>
      </c>
      <c r="BB64" s="1" t="str">
        <f t="shared" si="0"/>
        <v>KIT</v>
      </c>
      <c r="BC64" s="1">
        <f t="shared" si="1"/>
        <v>79.45</v>
      </c>
      <c r="BD64" s="1" t="s">
        <v>357</v>
      </c>
      <c r="BE64" s="14" t="s">
        <v>395</v>
      </c>
      <c r="BF64" s="14" t="s">
        <v>397</v>
      </c>
      <c r="BG64" s="14" t="s">
        <v>368</v>
      </c>
      <c r="BJ64"/>
      <c r="BK64"/>
      <c r="BM64"/>
    </row>
    <row r="65" spans="1:65" x14ac:dyDescent="0.35">
      <c r="A65" s="1" t="s">
        <v>930</v>
      </c>
      <c r="B65" s="1" t="s">
        <v>920</v>
      </c>
      <c r="I65" s="1" t="s">
        <v>122</v>
      </c>
      <c r="J65" s="1" t="str">
        <f t="shared" si="11"/>
        <v>CRETE COLORANT - LARGEMEDIUM GRAY25 PINTS</v>
      </c>
      <c r="K65" s="1" t="s">
        <v>518</v>
      </c>
      <c r="L65" s="1" t="s">
        <v>333</v>
      </c>
      <c r="M65" s="1" t="s">
        <v>510</v>
      </c>
      <c r="X65" s="66" t="s">
        <v>56</v>
      </c>
      <c r="Y65" s="1" t="s">
        <v>188</v>
      </c>
      <c r="Z65" s="63">
        <f>Table1[[#This Row],[D:D]]</f>
        <v>33</v>
      </c>
      <c r="AA65" s="1" t="s">
        <v>72</v>
      </c>
      <c r="AC65" s="1" t="s">
        <v>62</v>
      </c>
      <c r="AD65" s="1" t="s">
        <v>17</v>
      </c>
      <c r="AE65" s="1">
        <v>30</v>
      </c>
      <c r="AF65" s="1">
        <f>Table1[[#This Row],[C:C]]*1.1</f>
        <v>33</v>
      </c>
      <c r="AI65" s="1">
        <f>IFERROR(VLOOKUP(X65,#REF!,8,FALSE),0)</f>
        <v>0</v>
      </c>
      <c r="AN65" s="1" t="str">
        <f>PROD_ID_TABLE[[#This Row],[PROD ID]]</f>
        <v>E HF HS URGRAYKIT</v>
      </c>
      <c r="AO65" s="1" t="str">
        <f t="shared" si="2"/>
        <v>POLY-CRETE HF HS URETHANE CONCRETE COATINGGRAYKIT</v>
      </c>
      <c r="AP65" s="3">
        <f t="shared" si="3"/>
        <v>79.45</v>
      </c>
      <c r="AQ65" s="1" t="str">
        <f t="shared" si="4"/>
        <v>KIT</v>
      </c>
      <c r="AS65" s="1" t="str">
        <f t="shared" si="5"/>
        <v>GRAY</v>
      </c>
      <c r="AT65" s="1" t="s">
        <v>349</v>
      </c>
      <c r="AU65" s="587">
        <v>2.2000000000000002</v>
      </c>
      <c r="AV65" s="1" t="str">
        <f t="shared" si="6"/>
        <v>RESUTILE 4640 HTS 100 HS HIGH TRAFFIC URETHANE ENAMEL2.2</v>
      </c>
      <c r="AW65" s="134">
        <v>478.45</v>
      </c>
      <c r="AY65" t="str">
        <f t="shared" si="7"/>
        <v>E HF HS URGRAYKIT</v>
      </c>
      <c r="AZ65" s="1" t="str">
        <f t="shared" si="8"/>
        <v>E HF HS UR</v>
      </c>
      <c r="BA65" t="str">
        <f t="shared" si="9"/>
        <v>GRAY</v>
      </c>
      <c r="BB65" s="1" t="str">
        <f t="shared" si="0"/>
        <v>KIT</v>
      </c>
      <c r="BC65" s="1">
        <f t="shared" si="1"/>
        <v>79.45</v>
      </c>
      <c r="BD65" s="1" t="s">
        <v>357</v>
      </c>
      <c r="BE65" s="14" t="s">
        <v>317</v>
      </c>
      <c r="BF65" s="14" t="s">
        <v>397</v>
      </c>
      <c r="BG65" s="14" t="s">
        <v>368</v>
      </c>
      <c r="BJ65"/>
      <c r="BK65"/>
      <c r="BM65"/>
    </row>
    <row r="66" spans="1:65" x14ac:dyDescent="0.35">
      <c r="A66" s="1" t="s">
        <v>931</v>
      </c>
      <c r="B66" s="1" t="s">
        <v>920</v>
      </c>
      <c r="C66" s="1" t="s">
        <v>920</v>
      </c>
      <c r="I66" s="1" t="s">
        <v>895</v>
      </c>
      <c r="J66" s="1" t="str">
        <f t="shared" si="11"/>
        <v>CRETE COLORANT - LARGESANDY BEIGE25 PINTS</v>
      </c>
      <c r="K66" s="1" t="s">
        <v>518</v>
      </c>
      <c r="L66" s="1" t="s">
        <v>386</v>
      </c>
      <c r="M66" s="1" t="s">
        <v>510</v>
      </c>
      <c r="X66" s="66" t="s">
        <v>55</v>
      </c>
      <c r="Y66" s="1" t="s">
        <v>187</v>
      </c>
      <c r="Z66" s="63">
        <f>Table1[[#This Row],[D:D]]</f>
        <v>33</v>
      </c>
      <c r="AA66" s="1" t="s">
        <v>72</v>
      </c>
      <c r="AC66" s="1" t="s">
        <v>64</v>
      </c>
      <c r="AD66" s="1" t="s">
        <v>17</v>
      </c>
      <c r="AE66" s="1">
        <v>30</v>
      </c>
      <c r="AF66" s="1">
        <f>Table1[[#This Row],[C:C]]*1.1</f>
        <v>33</v>
      </c>
      <c r="AI66" s="1">
        <f>IFERROR(VLOOKUP(X66,#REF!,8,FALSE),0)</f>
        <v>0</v>
      </c>
      <c r="AN66" s="1" t="str">
        <f>PROD_ID_TABLE[[#This Row],[PROD ID]]</f>
        <v>E HF HS URREEDKIT</v>
      </c>
      <c r="AO66" s="1" t="str">
        <f t="shared" si="2"/>
        <v>POLY-CRETE HF HS URETHANE CONCRETE COATINGREDKIT</v>
      </c>
      <c r="AP66" s="3">
        <f t="shared" si="3"/>
        <v>79.45</v>
      </c>
      <c r="AQ66" s="1" t="str">
        <f t="shared" si="4"/>
        <v>KIT</v>
      </c>
      <c r="AS66" s="1" t="str">
        <f t="shared" si="5"/>
        <v>RED</v>
      </c>
      <c r="AT66" s="1" t="s">
        <v>349</v>
      </c>
      <c r="AU66" s="587">
        <v>5.75</v>
      </c>
      <c r="AV66" s="1" t="str">
        <f t="shared" si="6"/>
        <v>RESUTILE 4640 HTS 100 HS HIGH TRAFFIC URETHANE ENAMEL5.75</v>
      </c>
      <c r="AW66" s="134">
        <v>948.07</v>
      </c>
      <c r="AY66" t="str">
        <f t="shared" si="7"/>
        <v>E HF HS URREEDKIT</v>
      </c>
      <c r="AZ66" s="1" t="str">
        <f t="shared" si="8"/>
        <v>E HF HS UR</v>
      </c>
      <c r="BA66" t="str">
        <f t="shared" si="9"/>
        <v>REED</v>
      </c>
      <c r="BB66" s="1" t="str">
        <f t="shared" ref="BB66:BB129" si="13">LEFT(BF66,3)</f>
        <v>KIT</v>
      </c>
      <c r="BC66" s="1">
        <f t="shared" ref="BC66:BC129" si="14">IFERROR(VLOOKUP(BD66&amp;BF66,AV:AW,2,FALSE),0)</f>
        <v>79.45</v>
      </c>
      <c r="BD66" s="1" t="s">
        <v>357</v>
      </c>
      <c r="BE66" s="14" t="s">
        <v>396</v>
      </c>
      <c r="BF66" s="14" t="s">
        <v>397</v>
      </c>
      <c r="BG66" s="14" t="s">
        <v>368</v>
      </c>
      <c r="BJ66"/>
      <c r="BK66"/>
      <c r="BM66"/>
    </row>
    <row r="67" spans="1:65" x14ac:dyDescent="0.35">
      <c r="A67" s="1" t="s">
        <v>932</v>
      </c>
      <c r="B67" s="1" t="s">
        <v>920</v>
      </c>
      <c r="D67" s="1" t="s">
        <v>920</v>
      </c>
      <c r="I67" s="1" t="s">
        <v>142</v>
      </c>
      <c r="J67" s="1" t="str">
        <f t="shared" si="11"/>
        <v>CRETE COLORANT - LARGESADDLE TAN25 PINTS</v>
      </c>
      <c r="K67" s="1" t="s">
        <v>518</v>
      </c>
      <c r="L67" s="1" t="s">
        <v>525</v>
      </c>
      <c r="M67" s="1" t="s">
        <v>510</v>
      </c>
      <c r="X67" s="66" t="s">
        <v>150</v>
      </c>
      <c r="Y67" s="1" t="s">
        <v>189</v>
      </c>
      <c r="Z67" s="63">
        <f>Table1[[#This Row],[D:D]]</f>
        <v>33</v>
      </c>
      <c r="AA67" s="1" t="s">
        <v>72</v>
      </c>
      <c r="AC67" s="1" t="s">
        <v>65</v>
      </c>
      <c r="AD67" s="1" t="s">
        <v>17</v>
      </c>
      <c r="AE67" s="1">
        <v>30</v>
      </c>
      <c r="AF67" s="1">
        <f>Table1[[#This Row],[C:C]]*1.1</f>
        <v>33</v>
      </c>
      <c r="AI67" s="1">
        <f>IFERROR(VLOOKUP(X67,#REF!,8,FALSE),0)</f>
        <v>0</v>
      </c>
      <c r="AN67" s="1" t="str">
        <f>PROD_ID_TABLE[[#This Row],[PROD ID]]</f>
        <v>E COLOR-FABLUEKIT</v>
      </c>
      <c r="AO67" s="1" t="str">
        <f t="shared" ref="AO67:AO130" si="15">_xlfn.CONCAT(BD67:BF67)</f>
        <v>POLY-CRETE COLOR-FASTBLUEKIT</v>
      </c>
      <c r="AP67" s="3">
        <f t="shared" ref="AP67:AP130" si="16">BC67</f>
        <v>154.78</v>
      </c>
      <c r="AQ67" s="1" t="str">
        <f t="shared" ref="AQ67:AQ130" si="17">BF67</f>
        <v>KIT</v>
      </c>
      <c r="AS67" s="1" t="str">
        <f t="shared" ref="AS67:AS130" si="18">BE67</f>
        <v>BLUE</v>
      </c>
      <c r="AT67" s="1" t="s">
        <v>352</v>
      </c>
      <c r="AU67" s="1" t="s">
        <v>421</v>
      </c>
      <c r="AV67" s="1" t="str">
        <f t="shared" ref="AV67:AV81" si="19">AT67&amp;AU67</f>
        <v>RESUTILE AQUA 4411 WB ALIPHATIC URETHANE - CLEAR1.25 GAL</v>
      </c>
      <c r="AW67" s="134">
        <v>143.01</v>
      </c>
      <c r="AY67" t="str">
        <f t="shared" ref="AY67:AY130" si="20">_xlfn.CONCAT(AZ67:BB67)</f>
        <v>E COLOR-FABLUEKIT</v>
      </c>
      <c r="AZ67" s="1" t="str">
        <f t="shared" ref="AZ67:AZ130" si="21">MID(BD67,10,10)</f>
        <v>E COLOR-FA</v>
      </c>
      <c r="BA67" t="str">
        <f t="shared" ref="BA67:BA130" si="22">LEFT(BE67,2)&amp;RIGHT(BE67,2)</f>
        <v>BLUE</v>
      </c>
      <c r="BB67" s="1" t="str">
        <f t="shared" si="13"/>
        <v>KIT</v>
      </c>
      <c r="BC67" s="1">
        <f t="shared" si="14"/>
        <v>154.78</v>
      </c>
      <c r="BD67" s="62" t="s">
        <v>360</v>
      </c>
      <c r="BE67" s="55" t="s">
        <v>391</v>
      </c>
      <c r="BF67" s="55" t="s">
        <v>397</v>
      </c>
      <c r="BG67" s="55" t="s">
        <v>368</v>
      </c>
      <c r="BJ67"/>
      <c r="BK67"/>
      <c r="BM67"/>
    </row>
    <row r="68" spans="1:65" x14ac:dyDescent="0.35">
      <c r="A68" s="1" t="s">
        <v>933</v>
      </c>
      <c r="B68" s="1" t="s">
        <v>920</v>
      </c>
      <c r="I68" s="1" t="s">
        <v>149</v>
      </c>
      <c r="J68" s="1" t="str">
        <f t="shared" si="11"/>
        <v>CRETE COLORANT - LARGEGRAY25 PINTS</v>
      </c>
      <c r="K68" s="1" t="s">
        <v>518</v>
      </c>
      <c r="L68" s="1" t="s">
        <v>317</v>
      </c>
      <c r="M68" s="1" t="s">
        <v>510</v>
      </c>
      <c r="X68" s="66" t="s">
        <v>284</v>
      </c>
      <c r="Y68" s="1" t="s">
        <v>290</v>
      </c>
      <c r="Z68" s="63">
        <f>Table1[[#This Row],[D:D]]</f>
        <v>44</v>
      </c>
      <c r="AA68" s="1" t="s">
        <v>69</v>
      </c>
      <c r="AC68" s="1" t="s">
        <v>988</v>
      </c>
      <c r="AD68" s="1" t="s">
        <v>17</v>
      </c>
      <c r="AE68" s="1">
        <v>40</v>
      </c>
      <c r="AF68" s="1">
        <f>Table1[[#This Row],[C:C]]*1.1</f>
        <v>44</v>
      </c>
      <c r="AI68" s="1">
        <f>IFERROR(VLOOKUP(X68,#REF!,8,FALSE),0)</f>
        <v>0</v>
      </c>
      <c r="AN68" s="1" t="str">
        <f>PROD_ID_TABLE[[#This Row],[PROD ID]]</f>
        <v>E COLOR-FACHALKIT</v>
      </c>
      <c r="AO68" s="1" t="str">
        <f t="shared" si="15"/>
        <v>POLY-CRETE COLOR-FASTCHARCOALKIT</v>
      </c>
      <c r="AP68" s="3">
        <f t="shared" si="16"/>
        <v>154.78</v>
      </c>
      <c r="AQ68" s="1" t="str">
        <f t="shared" si="17"/>
        <v>KIT</v>
      </c>
      <c r="AS68" s="1" t="str">
        <f t="shared" si="18"/>
        <v>CHARCOAL</v>
      </c>
      <c r="AT68" s="1" t="s">
        <v>352</v>
      </c>
      <c r="AU68" s="1" t="s">
        <v>412</v>
      </c>
      <c r="AV68" s="1" t="str">
        <f t="shared" si="19"/>
        <v>RESUTILE AQUA 4411 WB ALIPHATIC URETHANE - CLEAR5 GAL</v>
      </c>
      <c r="AW68" s="134">
        <v>563.78</v>
      </c>
      <c r="AY68" t="str">
        <f t="shared" si="20"/>
        <v>E COLOR-FACHALKIT</v>
      </c>
      <c r="AZ68" s="1" t="str">
        <f t="shared" si="21"/>
        <v>E COLOR-FA</v>
      </c>
      <c r="BA68" t="str">
        <f t="shared" si="22"/>
        <v>CHAL</v>
      </c>
      <c r="BB68" s="1" t="str">
        <f t="shared" si="13"/>
        <v>KIT</v>
      </c>
      <c r="BC68" s="1">
        <f t="shared" si="14"/>
        <v>154.78</v>
      </c>
      <c r="BD68" s="62" t="s">
        <v>360</v>
      </c>
      <c r="BE68" s="55" t="s">
        <v>318</v>
      </c>
      <c r="BF68" s="55" t="s">
        <v>397</v>
      </c>
      <c r="BG68" s="55" t="s">
        <v>368</v>
      </c>
      <c r="BJ68"/>
      <c r="BK68"/>
      <c r="BM68"/>
    </row>
    <row r="69" spans="1:65" x14ac:dyDescent="0.35">
      <c r="A69" s="1" t="s">
        <v>934</v>
      </c>
      <c r="B69" s="1" t="s">
        <v>920</v>
      </c>
      <c r="I69" s="1" t="s">
        <v>886</v>
      </c>
      <c r="J69" s="1" t="str">
        <f t="shared" si="11"/>
        <v>SGC COAT UPAN/A3 GAL</v>
      </c>
      <c r="K69" s="1" t="s">
        <v>889</v>
      </c>
      <c r="L69" s="1" t="s">
        <v>398</v>
      </c>
      <c r="M69" s="1" t="s">
        <v>407</v>
      </c>
      <c r="P69" s="1" t="s">
        <v>896</v>
      </c>
      <c r="Q69" s="1">
        <v>0.25</v>
      </c>
      <c r="R69" s="1">
        <f>5/Q69</f>
        <v>20</v>
      </c>
      <c r="S69" s="1">
        <v>210</v>
      </c>
      <c r="X69" s="66" t="s">
        <v>286</v>
      </c>
      <c r="Y69" s="1" t="s">
        <v>291</v>
      </c>
      <c r="Z69" s="63">
        <f>Table1[[#This Row],[D:D]]</f>
        <v>38.5</v>
      </c>
      <c r="AA69" s="1" t="s">
        <v>69</v>
      </c>
      <c r="AC69" s="1" t="s">
        <v>990</v>
      </c>
      <c r="AD69" s="1" t="s">
        <v>17</v>
      </c>
      <c r="AE69" s="1">
        <v>35</v>
      </c>
      <c r="AF69" s="1">
        <f>Table1[[#This Row],[C:C]]*1.1</f>
        <v>38.5</v>
      </c>
      <c r="AI69" s="1">
        <f>IFERROR(VLOOKUP(X69,#REF!,8,FALSE),0)</f>
        <v>0</v>
      </c>
      <c r="AN69" s="1" t="str">
        <f>PROD_ID_TABLE[[#This Row],[PROD ID]]</f>
        <v>E COLOR-FACHUTKIT</v>
      </c>
      <c r="AO69" s="1" t="str">
        <f t="shared" si="15"/>
        <v>POLY-CRETE COLOR-FASTCHESTNUTKIT</v>
      </c>
      <c r="AP69" s="3">
        <f t="shared" si="16"/>
        <v>154.78</v>
      </c>
      <c r="AQ69" s="1" t="str">
        <f t="shared" si="17"/>
        <v>KIT</v>
      </c>
      <c r="AS69" s="1" t="str">
        <f t="shared" si="18"/>
        <v>CHESTNUT</v>
      </c>
      <c r="AT69" s="1" t="s">
        <v>351</v>
      </c>
      <c r="AU69" s="1" t="s">
        <v>421</v>
      </c>
      <c r="AV69" s="1" t="str">
        <f t="shared" si="19"/>
        <v>RESUTILE AQUA 4410 WB ALIPHATIC URETHANE - COLOR1.25 GAL</v>
      </c>
      <c r="AW69" s="134">
        <v>132.41</v>
      </c>
      <c r="AY69" t="str">
        <f t="shared" si="20"/>
        <v>E COLOR-FACHUTKIT</v>
      </c>
      <c r="AZ69" s="1" t="str">
        <f t="shared" si="21"/>
        <v>E COLOR-FA</v>
      </c>
      <c r="BA69" t="str">
        <f t="shared" si="22"/>
        <v>CHUT</v>
      </c>
      <c r="BB69" s="1" t="str">
        <f t="shared" si="13"/>
        <v>KIT</v>
      </c>
      <c r="BC69" s="1">
        <f t="shared" si="14"/>
        <v>154.78</v>
      </c>
      <c r="BD69" s="62" t="s">
        <v>360</v>
      </c>
      <c r="BE69" s="55" t="s">
        <v>392</v>
      </c>
      <c r="BF69" s="55" t="s">
        <v>397</v>
      </c>
      <c r="BG69" s="55" t="s">
        <v>368</v>
      </c>
      <c r="BJ69"/>
      <c r="BK69"/>
      <c r="BM69"/>
    </row>
    <row r="70" spans="1:65" x14ac:dyDescent="0.35">
      <c r="A70" s="1" t="s">
        <v>935</v>
      </c>
      <c r="F70" s="1" t="s">
        <v>920</v>
      </c>
      <c r="I70" s="1" t="s">
        <v>132</v>
      </c>
      <c r="J70" s="1" t="str">
        <f>_xlfn.CONCAT(K70:M70)</f>
        <v>RIO TROWEL CLAD SANDN/A50LB</v>
      </c>
      <c r="K70" s="1" t="s">
        <v>888</v>
      </c>
      <c r="L70" s="1" t="s">
        <v>398</v>
      </c>
      <c r="M70" s="1" t="s">
        <v>499</v>
      </c>
      <c r="P70" s="1" t="s">
        <v>897</v>
      </c>
      <c r="Q70" s="1">
        <v>0.25</v>
      </c>
      <c r="R70" s="1">
        <f>5/Q70</f>
        <v>20</v>
      </c>
      <c r="S70" s="1">
        <v>210</v>
      </c>
      <c r="X70" s="66" t="s">
        <v>285</v>
      </c>
      <c r="Y70" s="1" t="s">
        <v>193</v>
      </c>
      <c r="Z70" s="63">
        <f>Table1[[#This Row],[D:D]]</f>
        <v>38.5</v>
      </c>
      <c r="AA70" s="1" t="s">
        <v>69</v>
      </c>
      <c r="AC70" s="1" t="s">
        <v>989</v>
      </c>
      <c r="AD70" s="1" t="s">
        <v>17</v>
      </c>
      <c r="AE70" s="1">
        <v>35</v>
      </c>
      <c r="AF70" s="1">
        <f>Table1[[#This Row],[C:C]]*1.1</f>
        <v>38.5</v>
      </c>
      <c r="AI70" s="1">
        <f>IFERROR(VLOOKUP(X70,#REF!,8,FALSE),0)</f>
        <v>0</v>
      </c>
      <c r="AN70" s="1" t="str">
        <f>PROD_ID_TABLE[[#This Row],[PROD ID]]</f>
        <v>E COLOR-FADAAYKIT</v>
      </c>
      <c r="AO70" s="1" t="str">
        <f t="shared" si="15"/>
        <v>POLY-CRETE COLOR-FASTDARK GRAYKIT</v>
      </c>
      <c r="AP70" s="3">
        <f t="shared" si="16"/>
        <v>154.78</v>
      </c>
      <c r="AQ70" s="1" t="str">
        <f t="shared" si="17"/>
        <v>KIT</v>
      </c>
      <c r="AS70" s="1" t="str">
        <f t="shared" si="18"/>
        <v>DARK GRAY</v>
      </c>
      <c r="AT70" t="s">
        <v>351</v>
      </c>
      <c r="AU70" t="s">
        <v>412</v>
      </c>
      <c r="AV70" s="1" t="str">
        <f t="shared" si="19"/>
        <v>RESUTILE AQUA 4410 WB ALIPHATIC URETHANE - COLOR5 GAL</v>
      </c>
      <c r="AW70" s="134">
        <v>497.28</v>
      </c>
      <c r="AY70" t="str">
        <f t="shared" si="20"/>
        <v>E COLOR-FADAAYKIT</v>
      </c>
      <c r="AZ70" s="1" t="str">
        <f t="shared" si="21"/>
        <v>E COLOR-FA</v>
      </c>
      <c r="BA70" t="str">
        <f t="shared" si="22"/>
        <v>DAAY</v>
      </c>
      <c r="BB70" s="1" t="str">
        <f t="shared" si="13"/>
        <v>KIT</v>
      </c>
      <c r="BC70" s="1">
        <f t="shared" si="14"/>
        <v>154.78</v>
      </c>
      <c r="BD70" s="62" t="s">
        <v>360</v>
      </c>
      <c r="BE70" s="55" t="s">
        <v>394</v>
      </c>
      <c r="BF70" s="55" t="s">
        <v>397</v>
      </c>
      <c r="BG70" s="55" t="s">
        <v>368</v>
      </c>
      <c r="BJ70"/>
      <c r="BK70"/>
      <c r="BM70"/>
    </row>
    <row r="71" spans="1:65" x14ac:dyDescent="0.35">
      <c r="A71" s="1" t="s">
        <v>936</v>
      </c>
      <c r="B71" s="1" t="s">
        <v>920</v>
      </c>
      <c r="C71" s="1" t="s">
        <v>920</v>
      </c>
      <c r="D71" s="1" t="s">
        <v>920</v>
      </c>
      <c r="I71" s="1" t="s">
        <v>884</v>
      </c>
      <c r="J71" s="1" t="str">
        <f t="shared" ref="J71:J77" si="23">_xlfn.CONCAT(K71:M71)</f>
        <v>RIO COAT EMPN/A3 GAL</v>
      </c>
      <c r="K71" s="1" t="s">
        <v>890</v>
      </c>
      <c r="L71" s="1" t="s">
        <v>398</v>
      </c>
      <c r="M71" s="1" t="s">
        <v>407</v>
      </c>
      <c r="P71" s="1" t="s">
        <v>906</v>
      </c>
      <c r="Q71" s="1">
        <v>1</v>
      </c>
      <c r="R71" s="1">
        <f>R70</f>
        <v>20</v>
      </c>
      <c r="S71" s="1">
        <f>T71*R71</f>
        <v>333.8</v>
      </c>
      <c r="T71" s="1">
        <v>16.690000000000001</v>
      </c>
      <c r="X71" s="66" t="s">
        <v>52</v>
      </c>
      <c r="Y71" s="1" t="s">
        <v>43</v>
      </c>
      <c r="Z71" s="63">
        <f>Table1[[#This Row],[D:D]]</f>
        <v>55.000000000000007</v>
      </c>
      <c r="AA71" s="1" t="s">
        <v>79</v>
      </c>
      <c r="AD71" s="1" t="s">
        <v>17</v>
      </c>
      <c r="AE71" s="1">
        <v>50</v>
      </c>
      <c r="AF71" s="1">
        <f>Table1[[#This Row],[C:C]]*1.1</f>
        <v>55.000000000000007</v>
      </c>
      <c r="AI71" s="1">
        <f>IFERROR(VLOOKUP(X71,#REF!,8,FALSE),0)</f>
        <v>0</v>
      </c>
      <c r="AN71" s="1" t="str">
        <f>PROD_ID_TABLE[[#This Row],[PROD ID]]</f>
        <v>E COLOR-FAGRENKIT</v>
      </c>
      <c r="AO71" s="1" t="str">
        <f t="shared" si="15"/>
        <v>POLY-CRETE COLOR-FASTGREENKIT</v>
      </c>
      <c r="AP71" s="3">
        <f t="shared" si="16"/>
        <v>154.78</v>
      </c>
      <c r="AQ71" s="1" t="str">
        <f t="shared" si="17"/>
        <v>KIT</v>
      </c>
      <c r="AS71" s="1" t="str">
        <f t="shared" si="18"/>
        <v>GREEN</v>
      </c>
      <c r="AT71" t="s">
        <v>445</v>
      </c>
      <c r="AU71" t="s">
        <v>454</v>
      </c>
      <c r="AV71" s="1" t="str">
        <f t="shared" si="19"/>
        <v>ACCELERA EXT SMALL 1R:1H0.25 GAL</v>
      </c>
      <c r="AW71" s="134">
        <v>53.55</v>
      </c>
      <c r="AY71" t="str">
        <f t="shared" si="20"/>
        <v>E COLOR-FAGRENKIT</v>
      </c>
      <c r="AZ71" s="1" t="str">
        <f t="shared" si="21"/>
        <v>E COLOR-FA</v>
      </c>
      <c r="BA71" t="str">
        <f t="shared" si="22"/>
        <v>GREN</v>
      </c>
      <c r="BB71" s="1" t="str">
        <f t="shared" si="13"/>
        <v>KIT</v>
      </c>
      <c r="BC71" s="1">
        <f t="shared" si="14"/>
        <v>154.78</v>
      </c>
      <c r="BD71" s="62" t="s">
        <v>360</v>
      </c>
      <c r="BE71" s="55" t="s">
        <v>395</v>
      </c>
      <c r="BF71" s="55" t="s">
        <v>397</v>
      </c>
      <c r="BG71" s="55" t="s">
        <v>368</v>
      </c>
      <c r="BJ71"/>
      <c r="BK71"/>
      <c r="BM71"/>
    </row>
    <row r="72" spans="1:65" x14ac:dyDescent="0.35">
      <c r="A72" s="1" t="s">
        <v>937</v>
      </c>
      <c r="B72" s="1" t="s">
        <v>920</v>
      </c>
      <c r="I72" s="1" t="s">
        <v>883</v>
      </c>
      <c r="J72" s="1" t="str">
        <f t="shared" si="23"/>
        <v>RIO COAT EMPN/A15 GAL</v>
      </c>
      <c r="K72" s="1" t="s">
        <v>890</v>
      </c>
      <c r="L72" s="1" t="s">
        <v>398</v>
      </c>
      <c r="M72" s="1" t="s">
        <v>408</v>
      </c>
      <c r="P72" s="1" t="s">
        <v>899</v>
      </c>
      <c r="Q72" s="1">
        <f>3/12</f>
        <v>0.25</v>
      </c>
      <c r="R72" s="1">
        <f>ROUNDUP(Q72*R69,0)</f>
        <v>5</v>
      </c>
      <c r="S72" s="1">
        <f>R72*T72</f>
        <v>127.5</v>
      </c>
      <c r="T72" s="1">
        <v>25.5</v>
      </c>
      <c r="X72" s="66" t="s">
        <v>90</v>
      </c>
      <c r="Y72" s="1" t="s">
        <v>738</v>
      </c>
      <c r="Z72" s="63">
        <f>Table1[[#This Row],[D:D]]</f>
        <v>330</v>
      </c>
      <c r="AA72" s="1" t="s">
        <v>104</v>
      </c>
      <c r="AD72" s="1" t="s">
        <v>17</v>
      </c>
      <c r="AE72" s="1">
        <v>300</v>
      </c>
      <c r="AF72" s="1">
        <f>Table1[[#This Row],[C:C]]*1.1</f>
        <v>330</v>
      </c>
      <c r="AI72" s="1">
        <f>IFERROR(VLOOKUP(X72,#REF!,8,FALSE),0)</f>
        <v>0</v>
      </c>
      <c r="AN72" s="1" t="str">
        <f>PROD_ID_TABLE[[#This Row],[PROD ID]]</f>
        <v>E COLOR-FAGRAYKIT</v>
      </c>
      <c r="AO72" s="1" t="str">
        <f t="shared" si="15"/>
        <v>POLY-CRETE COLOR-FASTGRAYKIT</v>
      </c>
      <c r="AP72" s="3">
        <f t="shared" si="16"/>
        <v>154.78</v>
      </c>
      <c r="AQ72" s="1" t="str">
        <f t="shared" si="17"/>
        <v>KIT</v>
      </c>
      <c r="AS72" s="1" t="str">
        <f t="shared" si="18"/>
        <v>GRAY</v>
      </c>
      <c r="AT72" t="s">
        <v>445</v>
      </c>
      <c r="AU72" t="s">
        <v>455</v>
      </c>
      <c r="AV72" s="1" t="str">
        <f t="shared" si="19"/>
        <v>ACCELERA EXT SMALL 1R:1H0.75 GAL</v>
      </c>
      <c r="AW72" s="134">
        <v>127.12</v>
      </c>
      <c r="AY72" t="str">
        <f t="shared" si="20"/>
        <v>E COLOR-FAGRAYKIT</v>
      </c>
      <c r="AZ72" s="1" t="str">
        <f t="shared" si="21"/>
        <v>E COLOR-FA</v>
      </c>
      <c r="BA72" t="str">
        <f t="shared" si="22"/>
        <v>GRAY</v>
      </c>
      <c r="BB72" s="1" t="str">
        <f t="shared" si="13"/>
        <v>KIT</v>
      </c>
      <c r="BC72" s="1">
        <f t="shared" si="14"/>
        <v>154.78</v>
      </c>
      <c r="BD72" s="62" t="s">
        <v>360</v>
      </c>
      <c r="BE72" s="55" t="s">
        <v>317</v>
      </c>
      <c r="BF72" s="55" t="s">
        <v>397</v>
      </c>
      <c r="BG72" s="55" t="s">
        <v>368</v>
      </c>
      <c r="BJ72"/>
      <c r="BK72"/>
      <c r="BM72"/>
    </row>
    <row r="73" spans="1:65" x14ac:dyDescent="0.35">
      <c r="A73" s="1" t="s">
        <v>938</v>
      </c>
      <c r="B73" s="1" t="s">
        <v>920</v>
      </c>
      <c r="I73" s="1" t="s">
        <v>895</v>
      </c>
      <c r="J73" s="1" t="str">
        <f t="shared" si="23"/>
        <v>CRETE COLORANT - LARGESANDY BEIGE25 PINTS</v>
      </c>
      <c r="K73" s="1" t="s">
        <v>518</v>
      </c>
      <c r="L73" s="1" t="s">
        <v>386</v>
      </c>
      <c r="M73" s="1" t="s">
        <v>510</v>
      </c>
      <c r="P73" s="1" t="s">
        <v>506</v>
      </c>
      <c r="S73" s="1">
        <f>SUM(S69:S72)</f>
        <v>881.3</v>
      </c>
      <c r="X73" s="66" t="s">
        <v>91</v>
      </c>
      <c r="Y73" s="1" t="s">
        <v>739</v>
      </c>
      <c r="Z73" s="63">
        <f>Table1[[#This Row],[D:D]]</f>
        <v>3190.0000000000005</v>
      </c>
      <c r="AA73" s="1" t="s">
        <v>105</v>
      </c>
      <c r="AD73" s="1" t="s">
        <v>17</v>
      </c>
      <c r="AE73" s="1">
        <v>2900</v>
      </c>
      <c r="AF73" s="1">
        <f>Table1[[#This Row],[C:C]]*1.1</f>
        <v>3190.0000000000005</v>
      </c>
      <c r="AI73" s="1">
        <f>IFERROR(VLOOKUP(X73,#REF!,8,FALSE),0)</f>
        <v>0</v>
      </c>
      <c r="AN73" s="1" t="str">
        <f>PROD_ID_TABLE[[#This Row],[PROD ID]]</f>
        <v>E COLOR-FAREEDKIT</v>
      </c>
      <c r="AO73" s="1" t="str">
        <f t="shared" si="15"/>
        <v>POLY-CRETE COLOR-FASTREDKIT</v>
      </c>
      <c r="AP73" s="3">
        <f t="shared" si="16"/>
        <v>154.78</v>
      </c>
      <c r="AQ73" s="1" t="str">
        <f t="shared" si="17"/>
        <v>KIT</v>
      </c>
      <c r="AS73" s="1" t="str">
        <f t="shared" si="18"/>
        <v>RED</v>
      </c>
      <c r="AT73" t="s">
        <v>445</v>
      </c>
      <c r="AU73" t="s">
        <v>456</v>
      </c>
      <c r="AV73" s="1" t="str">
        <f t="shared" si="19"/>
        <v>ACCELERA EXT SMALL 1R:1H1.5 GAL</v>
      </c>
      <c r="AW73" s="134">
        <v>253.64</v>
      </c>
      <c r="AY73" t="str">
        <f t="shared" si="20"/>
        <v>E COLOR-FAREEDKIT</v>
      </c>
      <c r="AZ73" s="1" t="str">
        <f t="shared" si="21"/>
        <v>E COLOR-FA</v>
      </c>
      <c r="BA73" t="str">
        <f t="shared" si="22"/>
        <v>REED</v>
      </c>
      <c r="BB73" s="1" t="str">
        <f t="shared" si="13"/>
        <v>KIT</v>
      </c>
      <c r="BC73" s="1">
        <f t="shared" si="14"/>
        <v>154.78</v>
      </c>
      <c r="BD73" s="62" t="s">
        <v>360</v>
      </c>
      <c r="BE73" s="55" t="s">
        <v>396</v>
      </c>
      <c r="BF73" s="55" t="s">
        <v>397</v>
      </c>
      <c r="BG73" s="55" t="s">
        <v>368</v>
      </c>
      <c r="BJ73"/>
      <c r="BK73"/>
      <c r="BM73"/>
    </row>
    <row r="74" spans="1:65" x14ac:dyDescent="0.35">
      <c r="A74" s="1" t="s">
        <v>939</v>
      </c>
      <c r="B74" s="1" t="s">
        <v>920</v>
      </c>
      <c r="D74" s="1" t="s">
        <v>920</v>
      </c>
      <c r="I74" s="1" t="s">
        <v>900</v>
      </c>
      <c r="J74" s="1" t="str">
        <f t="shared" si="23"/>
        <v>SL - PART CPIGMENTEDKIT</v>
      </c>
      <c r="K74" s="1" t="s">
        <v>476</v>
      </c>
      <c r="L74" s="1" t="s">
        <v>982</v>
      </c>
      <c r="M74" s="1" t="s">
        <v>397</v>
      </c>
      <c r="X74" s="66" t="s">
        <v>686</v>
      </c>
      <c r="Y74" s="1" t="s">
        <v>553</v>
      </c>
      <c r="Z74" s="63">
        <v>28.31</v>
      </c>
      <c r="AA74" s="1" t="s">
        <v>499</v>
      </c>
      <c r="AC74" s="1" t="s">
        <v>429</v>
      </c>
      <c r="AD74" s="1" t="s">
        <v>18</v>
      </c>
      <c r="AF74" s="1">
        <f>Table1[[#This Row],[C:C]]*1.1</f>
        <v>0</v>
      </c>
      <c r="AI74" s="1">
        <f>IFERROR(VLOOKUP(X74,#REF!,8,FALSE),0)</f>
        <v>0</v>
      </c>
      <c r="AN74" s="1" t="str">
        <f>PROD_ID_TABLE[[#This Row],[PROD ID]]</f>
        <v>E COLOR-FABLUEKIT</v>
      </c>
      <c r="AO74" s="1" t="str">
        <f t="shared" si="15"/>
        <v>POLY-CRETE COLOR-FASTBLUEKIT</v>
      </c>
      <c r="AP74" s="3">
        <f t="shared" si="16"/>
        <v>154.78</v>
      </c>
      <c r="AQ74" s="1" t="str">
        <f t="shared" si="17"/>
        <v>KIT</v>
      </c>
      <c r="AS74" s="1" t="str">
        <f t="shared" si="18"/>
        <v>BLUE</v>
      </c>
      <c r="AT74" t="s">
        <v>446</v>
      </c>
      <c r="AU74" t="s">
        <v>412</v>
      </c>
      <c r="AV74" s="1" t="str">
        <f t="shared" si="19"/>
        <v>ACCELERA ONE RESIN (SEE MIX CHART)5 GAL</v>
      </c>
      <c r="AW74" s="134">
        <v>684.43</v>
      </c>
      <c r="AY74" t="str">
        <f t="shared" si="20"/>
        <v>E COLOR-FABLUEKIT</v>
      </c>
      <c r="AZ74" s="1" t="str">
        <f t="shared" si="21"/>
        <v>E COLOR-FA</v>
      </c>
      <c r="BA74" t="str">
        <f t="shared" si="22"/>
        <v>BLUE</v>
      </c>
      <c r="BB74" s="1" t="str">
        <f t="shared" si="13"/>
        <v>KIT</v>
      </c>
      <c r="BC74" s="1">
        <f t="shared" si="14"/>
        <v>154.78</v>
      </c>
      <c r="BD74" s="62" t="s">
        <v>360</v>
      </c>
      <c r="BE74" s="55" t="s">
        <v>391</v>
      </c>
      <c r="BF74" s="55" t="s">
        <v>397</v>
      </c>
      <c r="BG74" s="55" t="s">
        <v>368</v>
      </c>
      <c r="BJ74"/>
      <c r="BK74"/>
      <c r="BM74"/>
    </row>
    <row r="75" spans="1:65" x14ac:dyDescent="0.35">
      <c r="A75" s="1" t="s">
        <v>940</v>
      </c>
      <c r="B75" s="1" t="s">
        <v>920</v>
      </c>
      <c r="C75" s="1" t="s">
        <v>920</v>
      </c>
      <c r="D75" s="1" t="s">
        <v>920</v>
      </c>
      <c r="I75" s="1" t="s">
        <v>985</v>
      </c>
      <c r="J75" s="1" t="str">
        <f t="shared" si="23"/>
        <v>RS88 (12 TUBES / CASE)GRAY AREACASE</v>
      </c>
      <c r="K75" s="1" t="s">
        <v>720</v>
      </c>
      <c r="L75" s="1" t="s">
        <v>522</v>
      </c>
      <c r="M75" s="1" t="s">
        <v>878</v>
      </c>
      <c r="X75" s="66" t="s">
        <v>600</v>
      </c>
      <c r="Y75" s="1" t="s">
        <v>557</v>
      </c>
      <c r="Z75" s="63">
        <v>798.39</v>
      </c>
      <c r="AA75" s="1" t="s">
        <v>410</v>
      </c>
      <c r="AC75" s="1" t="s">
        <v>429</v>
      </c>
      <c r="AD75" s="1" t="s">
        <v>18</v>
      </c>
      <c r="AF75" s="1">
        <f>Table1[[#This Row],[C:C]]*1.1</f>
        <v>0</v>
      </c>
      <c r="AI75" s="1">
        <f>IFERROR(VLOOKUP(X75,#REF!,8,FALSE),0)</f>
        <v>0</v>
      </c>
      <c r="AN75" s="1" t="str">
        <f>PROD_ID_TABLE[[#This Row],[PROD ID]]</f>
        <v>E COLOR-FACHALKIT</v>
      </c>
      <c r="AO75" s="1" t="str">
        <f t="shared" si="15"/>
        <v>POLY-CRETE COLOR-FASTCHARCOALKIT</v>
      </c>
      <c r="AP75" s="3">
        <f t="shared" si="16"/>
        <v>154.78</v>
      </c>
      <c r="AQ75" s="1" t="str">
        <f t="shared" si="17"/>
        <v>KIT</v>
      </c>
      <c r="AS75" s="1" t="str">
        <f t="shared" si="18"/>
        <v>CHARCOAL</v>
      </c>
      <c r="AT75" t="s">
        <v>447</v>
      </c>
      <c r="AU75" t="s">
        <v>457</v>
      </c>
      <c r="AV75" s="1" t="str">
        <f t="shared" si="19"/>
        <v>ACCELERA ONE HARDENER (SEE MIX CHART)1 GAL</v>
      </c>
      <c r="AW75" s="134">
        <v>362.52</v>
      </c>
      <c r="AY75" t="str">
        <f t="shared" si="20"/>
        <v>E COLOR-FACHALKIT</v>
      </c>
      <c r="AZ75" s="1" t="str">
        <f t="shared" si="21"/>
        <v>E COLOR-FA</v>
      </c>
      <c r="BA75" t="str">
        <f t="shared" si="22"/>
        <v>CHAL</v>
      </c>
      <c r="BB75" s="1" t="str">
        <f t="shared" si="13"/>
        <v>KIT</v>
      </c>
      <c r="BC75" s="1">
        <f t="shared" si="14"/>
        <v>154.78</v>
      </c>
      <c r="BD75" s="62" t="s">
        <v>360</v>
      </c>
      <c r="BE75" s="55" t="s">
        <v>318</v>
      </c>
      <c r="BF75" s="55" t="s">
        <v>397</v>
      </c>
      <c r="BG75" s="55" t="s">
        <v>368</v>
      </c>
      <c r="BJ75"/>
      <c r="BK75"/>
      <c r="BM75"/>
    </row>
    <row r="76" spans="1:65" x14ac:dyDescent="0.35">
      <c r="A76" s="1" t="s">
        <v>941</v>
      </c>
      <c r="B76" s="1" t="s">
        <v>920</v>
      </c>
      <c r="D76" s="1" t="s">
        <v>920</v>
      </c>
      <c r="I76" s="1" t="s">
        <v>986</v>
      </c>
      <c r="J76" s="1" t="str">
        <f t="shared" si="23"/>
        <v>RS88 (12 TUBES / CASE)STANDARD GRAYCASE</v>
      </c>
      <c r="K76" s="1" t="s">
        <v>720</v>
      </c>
      <c r="L76" s="1" t="s">
        <v>521</v>
      </c>
      <c r="M76" s="1" t="s">
        <v>878</v>
      </c>
      <c r="X76" s="66" t="s">
        <v>601</v>
      </c>
      <c r="Y76" s="1" t="s">
        <v>715</v>
      </c>
      <c r="Z76" s="63">
        <v>777.14</v>
      </c>
      <c r="AA76" s="1" t="s">
        <v>547</v>
      </c>
      <c r="AC76" s="1" t="s">
        <v>315</v>
      </c>
      <c r="AD76" s="1" t="s">
        <v>18</v>
      </c>
      <c r="AF76" s="1">
        <f>Table1[[#This Row],[C:C]]*1.1</f>
        <v>0</v>
      </c>
      <c r="AI76" s="1">
        <f>IFERROR(VLOOKUP(X76,#REF!,8,FALSE),0)</f>
        <v>0</v>
      </c>
      <c r="AN76" s="1" t="str">
        <f>PROD_ID_TABLE[[#This Row],[PROD ID]]</f>
        <v>E COLOR-FACHUTKIT</v>
      </c>
      <c r="AO76" s="1" t="str">
        <f t="shared" si="15"/>
        <v>POLY-CRETE COLOR-FASTCHESTNUTKIT</v>
      </c>
      <c r="AP76" s="3">
        <f t="shared" si="16"/>
        <v>154.78</v>
      </c>
      <c r="AQ76" s="1" t="str">
        <f t="shared" si="17"/>
        <v>KIT</v>
      </c>
      <c r="AS76" s="1" t="str">
        <f t="shared" si="18"/>
        <v>CHESTNUT</v>
      </c>
      <c r="AT76" t="s">
        <v>448</v>
      </c>
      <c r="AU76" t="s">
        <v>406</v>
      </c>
      <c r="AV76" s="1" t="str">
        <f t="shared" si="19"/>
        <v>ACCELERA 5 66% SOLIDS 1:12 GAL</v>
      </c>
      <c r="AW76" s="134">
        <v>168.31</v>
      </c>
      <c r="AY76" t="str">
        <f t="shared" si="20"/>
        <v>E COLOR-FACHUTKIT</v>
      </c>
      <c r="AZ76" s="1" t="str">
        <f t="shared" si="21"/>
        <v>E COLOR-FA</v>
      </c>
      <c r="BA76" t="str">
        <f t="shared" si="22"/>
        <v>CHUT</v>
      </c>
      <c r="BB76" s="1" t="str">
        <f t="shared" si="13"/>
        <v>KIT</v>
      </c>
      <c r="BC76" s="1">
        <f t="shared" si="14"/>
        <v>154.78</v>
      </c>
      <c r="BD76" s="62" t="s">
        <v>360</v>
      </c>
      <c r="BE76" s="55" t="s">
        <v>392</v>
      </c>
      <c r="BF76" s="55" t="s">
        <v>397</v>
      </c>
      <c r="BG76" s="55" t="s">
        <v>368</v>
      </c>
      <c r="BJ76"/>
      <c r="BK76"/>
      <c r="BM76"/>
    </row>
    <row r="77" spans="1:65" x14ac:dyDescent="0.35">
      <c r="A77" s="1" t="s">
        <v>942</v>
      </c>
      <c r="B77" s="1" t="s">
        <v>920</v>
      </c>
      <c r="C77" s="1" t="s">
        <v>920</v>
      </c>
      <c r="D77" s="1" t="s">
        <v>920</v>
      </c>
      <c r="I77" s="1" t="s">
        <v>987</v>
      </c>
      <c r="J77" s="1" t="str">
        <f t="shared" si="23"/>
        <v>RS88 (12 TUBES / CASE)CHATEAU GRAYCASE</v>
      </c>
      <c r="K77" s="1" t="s">
        <v>720</v>
      </c>
      <c r="L77" s="1" t="s">
        <v>523</v>
      </c>
      <c r="M77" s="1" t="s">
        <v>878</v>
      </c>
      <c r="P77" s="1" t="s">
        <v>896</v>
      </c>
      <c r="Q77" s="1">
        <v>0.5</v>
      </c>
      <c r="R77" s="1">
        <f>5/Q77</f>
        <v>10</v>
      </c>
      <c r="S77" s="1">
        <v>210</v>
      </c>
      <c r="X77" s="66" t="s">
        <v>602</v>
      </c>
      <c r="Y77" s="1" t="s">
        <v>715</v>
      </c>
      <c r="Z77" s="63">
        <v>777.49</v>
      </c>
      <c r="AA77" s="1" t="s">
        <v>547</v>
      </c>
      <c r="AC77" s="1" t="s">
        <v>334</v>
      </c>
      <c r="AD77" s="1" t="s">
        <v>18</v>
      </c>
      <c r="AF77" s="1">
        <f>Table1[[#This Row],[C:C]]*1.1</f>
        <v>0</v>
      </c>
      <c r="AI77" s="1">
        <f>IFERROR(VLOOKUP(X77,#REF!,8,FALSE),0)</f>
        <v>0</v>
      </c>
      <c r="AN77" s="1" t="str">
        <f>PROD_ID_TABLE[[#This Row],[PROD ID]]</f>
        <v>E COLOR-FADAAYKIT</v>
      </c>
      <c r="AO77" s="1" t="str">
        <f t="shared" si="15"/>
        <v>POLY-CRETE COLOR-FASTDARK GRAYKIT</v>
      </c>
      <c r="AP77" s="3">
        <f t="shared" si="16"/>
        <v>154.78</v>
      </c>
      <c r="AQ77" s="1" t="str">
        <f t="shared" si="17"/>
        <v>KIT</v>
      </c>
      <c r="AS77" s="1" t="str">
        <f t="shared" si="18"/>
        <v>DARK GRAY</v>
      </c>
      <c r="AT77" t="s">
        <v>448</v>
      </c>
      <c r="AU77" t="s">
        <v>410</v>
      </c>
      <c r="AV77" s="1" t="str">
        <f t="shared" si="19"/>
        <v>ACCELERA 5 66% SOLIDS 1:110 GAL</v>
      </c>
      <c r="AW77" s="134">
        <v>800.36</v>
      </c>
      <c r="AY77" t="str">
        <f t="shared" si="20"/>
        <v>E COLOR-FADAAYKIT</v>
      </c>
      <c r="AZ77" s="1" t="str">
        <f t="shared" si="21"/>
        <v>E COLOR-FA</v>
      </c>
      <c r="BA77" t="str">
        <f t="shared" si="22"/>
        <v>DAAY</v>
      </c>
      <c r="BB77" s="1" t="str">
        <f t="shared" si="13"/>
        <v>KIT</v>
      </c>
      <c r="BC77" s="1">
        <f t="shared" si="14"/>
        <v>154.78</v>
      </c>
      <c r="BD77" s="62" t="s">
        <v>360</v>
      </c>
      <c r="BE77" s="55" t="s">
        <v>394</v>
      </c>
      <c r="BF77" s="55" t="s">
        <v>397</v>
      </c>
      <c r="BG77" s="55" t="s">
        <v>368</v>
      </c>
      <c r="BJ77"/>
      <c r="BK77"/>
      <c r="BM77"/>
    </row>
    <row r="78" spans="1:65" x14ac:dyDescent="0.35">
      <c r="A78" s="1" t="s">
        <v>943</v>
      </c>
      <c r="B78" s="1" t="s">
        <v>920</v>
      </c>
      <c r="D78" s="1" t="s">
        <v>920</v>
      </c>
      <c r="I78" s="587" t="s">
        <v>987</v>
      </c>
      <c r="J78" s="1" t="str">
        <f t="shared" ref="J78:J91" si="24">_xlfn.CONCAT(K78:M78)</f>
        <v>RS88 (12 TUBES / CASE)BRICKPAVER REDCASE</v>
      </c>
      <c r="K78" s="1" t="s">
        <v>720</v>
      </c>
      <c r="L78" s="1" t="s">
        <v>1048</v>
      </c>
      <c r="M78" s="1" t="s">
        <v>878</v>
      </c>
      <c r="P78" s="1" t="s">
        <v>897</v>
      </c>
      <c r="Q78" s="1">
        <v>0.5</v>
      </c>
      <c r="R78" s="1">
        <f>5/Q78</f>
        <v>10</v>
      </c>
      <c r="S78" s="1">
        <v>210</v>
      </c>
      <c r="X78" s="66" t="s">
        <v>604</v>
      </c>
      <c r="Y78" s="1" t="s">
        <v>559</v>
      </c>
      <c r="Z78" s="63">
        <v>934.96</v>
      </c>
      <c r="AA78" s="1" t="s">
        <v>549</v>
      </c>
      <c r="AC78" s="1" t="s">
        <v>429</v>
      </c>
      <c r="AD78" s="1" t="s">
        <v>18</v>
      </c>
      <c r="AF78" s="1">
        <f>Table1[[#This Row],[C:C]]*1.1</f>
        <v>0</v>
      </c>
      <c r="AI78" s="1">
        <f>IFERROR(VLOOKUP(X78,#REF!,8,FALSE),0)</f>
        <v>0</v>
      </c>
      <c r="AN78" s="1" t="str">
        <f>PROD_ID_TABLE[[#This Row],[PROD ID]]</f>
        <v>E COLOR-FAGRENKIT</v>
      </c>
      <c r="AO78" s="1" t="str">
        <f t="shared" si="15"/>
        <v>POLY-CRETE COLOR-FASTGREENKIT</v>
      </c>
      <c r="AP78" s="3">
        <f t="shared" si="16"/>
        <v>154.78</v>
      </c>
      <c r="AQ78" s="1" t="str">
        <f t="shared" si="17"/>
        <v>KIT</v>
      </c>
      <c r="AS78" s="1" t="str">
        <f t="shared" si="18"/>
        <v>GREEN</v>
      </c>
      <c r="AT78" t="s">
        <v>449</v>
      </c>
      <c r="AU78" t="s">
        <v>453</v>
      </c>
      <c r="AV78" s="1" t="str">
        <f t="shared" si="19"/>
        <v>CEMLACK UM.  URETHANE CEMENT PATCH 1:1:144 LBS</v>
      </c>
      <c r="AW78" s="134">
        <v>47.67</v>
      </c>
      <c r="AY78" t="str">
        <f t="shared" si="20"/>
        <v>E COLOR-FAGRENKIT</v>
      </c>
      <c r="AZ78" s="1" t="str">
        <f t="shared" si="21"/>
        <v>E COLOR-FA</v>
      </c>
      <c r="BA78" t="str">
        <f t="shared" si="22"/>
        <v>GREN</v>
      </c>
      <c r="BB78" s="1" t="str">
        <f t="shared" si="13"/>
        <v>KIT</v>
      </c>
      <c r="BC78" s="1">
        <f t="shared" si="14"/>
        <v>154.78</v>
      </c>
      <c r="BD78" s="62" t="s">
        <v>360</v>
      </c>
      <c r="BE78" s="55" t="s">
        <v>395</v>
      </c>
      <c r="BF78" s="55" t="s">
        <v>397</v>
      </c>
      <c r="BG78" s="55" t="s">
        <v>368</v>
      </c>
      <c r="BJ78"/>
      <c r="BK78"/>
      <c r="BM78"/>
    </row>
    <row r="79" spans="1:65" x14ac:dyDescent="0.35">
      <c r="A79" s="1" t="s">
        <v>944</v>
      </c>
      <c r="B79" s="1" t="s">
        <v>920</v>
      </c>
      <c r="D79" s="1" t="s">
        <v>920</v>
      </c>
      <c r="I79" s="587" t="s">
        <v>987</v>
      </c>
      <c r="J79" s="1" t="str">
        <f t="shared" si="24"/>
        <v>RS88 (12 TUBES / CASE)OTHERCASE</v>
      </c>
      <c r="K79" s="1" t="s">
        <v>720</v>
      </c>
      <c r="L79" s="1" t="s">
        <v>1049</v>
      </c>
      <c r="M79" s="1" t="s">
        <v>878</v>
      </c>
      <c r="P79" s="1" t="s">
        <v>898</v>
      </c>
      <c r="Q79" s="1">
        <v>1</v>
      </c>
      <c r="R79" s="1">
        <f>R78</f>
        <v>10</v>
      </c>
      <c r="S79" s="1">
        <f>T79*R79</f>
        <v>75.8</v>
      </c>
      <c r="T79" s="1">
        <v>7.58</v>
      </c>
      <c r="X79" s="66" t="s">
        <v>575</v>
      </c>
      <c r="Y79" s="1" t="s">
        <v>527</v>
      </c>
      <c r="Z79" s="63">
        <v>241.04</v>
      </c>
      <c r="AA79" s="1" t="s">
        <v>528</v>
      </c>
      <c r="AC79" s="1" t="s">
        <v>429</v>
      </c>
      <c r="AD79" s="1" t="s">
        <v>18</v>
      </c>
      <c r="AF79" s="1">
        <f>Table1[[#This Row],[C:C]]*1.1</f>
        <v>0</v>
      </c>
      <c r="AI79" s="1">
        <f>IFERROR(VLOOKUP(X79,#REF!,8,FALSE),0)</f>
        <v>0</v>
      </c>
      <c r="AN79" s="1" t="str">
        <f>PROD_ID_TABLE[[#This Row],[PROD ID]]</f>
        <v>E COLOR-FAGRAYKIT</v>
      </c>
      <c r="AO79" s="1" t="str">
        <f t="shared" si="15"/>
        <v>POLY-CRETE COLOR-FASTGRAYKIT</v>
      </c>
      <c r="AP79" s="3">
        <f t="shared" si="16"/>
        <v>154.78</v>
      </c>
      <c r="AQ79" s="1" t="str">
        <f t="shared" si="17"/>
        <v>KIT</v>
      </c>
      <c r="AS79" s="1" t="str">
        <f t="shared" si="18"/>
        <v>GRAY</v>
      </c>
      <c r="AT79" t="s">
        <v>450</v>
      </c>
      <c r="AU79" t="s">
        <v>408</v>
      </c>
      <c r="AV79" s="1" t="str">
        <f t="shared" si="19"/>
        <v>RESUFLOR PT 250 THICKENED EPOXY 2:115 GAL</v>
      </c>
      <c r="AW79" s="134">
        <v>1053.42</v>
      </c>
      <c r="AY79" t="str">
        <f t="shared" si="20"/>
        <v>E COLOR-FAGRAYKIT</v>
      </c>
      <c r="AZ79" s="1" t="str">
        <f t="shared" si="21"/>
        <v>E COLOR-FA</v>
      </c>
      <c r="BA79" t="str">
        <f t="shared" si="22"/>
        <v>GRAY</v>
      </c>
      <c r="BB79" s="1" t="str">
        <f t="shared" si="13"/>
        <v>KIT</v>
      </c>
      <c r="BC79" s="1">
        <f t="shared" si="14"/>
        <v>154.78</v>
      </c>
      <c r="BD79" s="62" t="s">
        <v>360</v>
      </c>
      <c r="BE79" s="55" t="s">
        <v>317</v>
      </c>
      <c r="BF79" s="55" t="s">
        <v>397</v>
      </c>
      <c r="BG79" s="55" t="s">
        <v>368</v>
      </c>
      <c r="BJ79"/>
      <c r="BK79"/>
      <c r="BM79"/>
    </row>
    <row r="80" spans="1:65" x14ac:dyDescent="0.35">
      <c r="A80" s="1" t="s">
        <v>945</v>
      </c>
      <c r="I80" s="1" t="s">
        <v>284</v>
      </c>
      <c r="J80" s="1" t="str">
        <f t="shared" si="24"/>
        <v>RS88 (12 TUBES / CASE)GRAY AREATUBE</v>
      </c>
      <c r="K80" s="1" t="s">
        <v>720</v>
      </c>
      <c r="L80" s="1" t="s">
        <v>522</v>
      </c>
      <c r="M80" s="1" t="s">
        <v>503</v>
      </c>
      <c r="P80" s="1" t="s">
        <v>899</v>
      </c>
      <c r="Q80" s="1">
        <f>1/12</f>
        <v>8.3333333333333329E-2</v>
      </c>
      <c r="R80" s="1">
        <f>ROUNDUP(Q80*R77,0)</f>
        <v>1</v>
      </c>
      <c r="S80" s="1">
        <f>R80*T80</f>
        <v>25.5</v>
      </c>
      <c r="T80" s="1">
        <v>25.5</v>
      </c>
      <c r="X80" s="66" t="s">
        <v>576</v>
      </c>
      <c r="Y80" s="1" t="s">
        <v>554</v>
      </c>
      <c r="Z80" s="63">
        <v>292.99</v>
      </c>
      <c r="AA80" s="1" t="s">
        <v>528</v>
      </c>
      <c r="AC80" s="1" t="s">
        <v>321</v>
      </c>
      <c r="AD80" s="1" t="s">
        <v>18</v>
      </c>
      <c r="AF80" s="1">
        <f>Table1[[#This Row],[C:C]]*1.1</f>
        <v>0</v>
      </c>
      <c r="AI80" s="1">
        <f>IFERROR(VLOOKUP(X80,#REF!,8,FALSE),0)</f>
        <v>0</v>
      </c>
      <c r="AN80" s="1" t="str">
        <f>PROD_ID_TABLE[[#This Row],[PROD ID]]</f>
        <v>E COLOR-FAREEDKIT</v>
      </c>
      <c r="AO80" s="1" t="str">
        <f t="shared" si="15"/>
        <v>POLY-CRETE COLOR-FASTREDKIT</v>
      </c>
      <c r="AP80" s="3">
        <f t="shared" si="16"/>
        <v>154.78</v>
      </c>
      <c r="AQ80" s="1" t="str">
        <f t="shared" si="17"/>
        <v>KIT</v>
      </c>
      <c r="AS80" s="1" t="str">
        <f t="shared" si="18"/>
        <v>RED</v>
      </c>
      <c r="AT80" t="s">
        <v>451</v>
      </c>
      <c r="AU80" t="s">
        <v>459</v>
      </c>
      <c r="AV80" s="1" t="str">
        <f t="shared" si="19"/>
        <v>RESUFLOR NO SAG10 LBS</v>
      </c>
      <c r="AW80" s="134">
        <v>341.9</v>
      </c>
      <c r="AY80" t="str">
        <f t="shared" si="20"/>
        <v>E COLOR-FAREEDKIT</v>
      </c>
      <c r="AZ80" s="1" t="str">
        <f t="shared" si="21"/>
        <v>E COLOR-FA</v>
      </c>
      <c r="BA80" t="str">
        <f t="shared" si="22"/>
        <v>REED</v>
      </c>
      <c r="BB80" s="1" t="str">
        <f t="shared" si="13"/>
        <v>KIT</v>
      </c>
      <c r="BC80" s="1">
        <f t="shared" si="14"/>
        <v>154.78</v>
      </c>
      <c r="BD80" s="62" t="s">
        <v>360</v>
      </c>
      <c r="BE80" s="55" t="s">
        <v>396</v>
      </c>
      <c r="BF80" s="55" t="s">
        <v>397</v>
      </c>
      <c r="BG80" s="55" t="s">
        <v>368</v>
      </c>
      <c r="BJ80"/>
      <c r="BK80"/>
      <c r="BM80"/>
    </row>
    <row r="81" spans="1:65" x14ac:dyDescent="0.35">
      <c r="A81" s="1" t="s">
        <v>946</v>
      </c>
      <c r="B81" s="1" t="s">
        <v>920</v>
      </c>
      <c r="C81" s="1" t="s">
        <v>920</v>
      </c>
      <c r="I81" s="1" t="s">
        <v>285</v>
      </c>
      <c r="J81" s="1" t="str">
        <f t="shared" si="24"/>
        <v>RS88 (12 TUBES / CASE)STANDARD GRAYTUBE</v>
      </c>
      <c r="K81" s="1" t="s">
        <v>720</v>
      </c>
      <c r="L81" s="1" t="s">
        <v>521</v>
      </c>
      <c r="M81" s="1" t="s">
        <v>503</v>
      </c>
      <c r="P81" s="1" t="s">
        <v>504</v>
      </c>
      <c r="S81" s="1">
        <f>SUM(S77:S80)</f>
        <v>521.29999999999995</v>
      </c>
      <c r="X81" s="66" t="s">
        <v>586</v>
      </c>
      <c r="Y81" s="1" t="s">
        <v>554</v>
      </c>
      <c r="Z81" s="63">
        <v>292.99</v>
      </c>
      <c r="AA81" s="1" t="s">
        <v>528</v>
      </c>
      <c r="AC81" s="1" t="s">
        <v>694</v>
      </c>
      <c r="AD81" s="1" t="s">
        <v>18</v>
      </c>
      <c r="AF81" s="1">
        <f>Table1[[#This Row],[C:C]]*1.1</f>
        <v>0</v>
      </c>
      <c r="AI81" s="1">
        <f>IFERROR(VLOOKUP(X81,#REF!,8,FALSE),0)</f>
        <v>0</v>
      </c>
      <c r="AN81" s="1" t="str">
        <f>PROD_ID_TABLE[[#This Row],[PROD ID]]</f>
        <v>E WR COVE BLUEKIT</v>
      </c>
      <c r="AO81" s="1" t="str">
        <f t="shared" si="15"/>
        <v>POLY-CRETE WR COVE BASE, SLOPE/PATCHINGBLUEKIT</v>
      </c>
      <c r="AP81" s="3">
        <f t="shared" si="16"/>
        <v>57.67</v>
      </c>
      <c r="AQ81" s="1" t="str">
        <f t="shared" si="17"/>
        <v>KIT</v>
      </c>
      <c r="AS81" s="1" t="str">
        <f t="shared" si="18"/>
        <v>BLUE</v>
      </c>
      <c r="AT81" t="s">
        <v>452</v>
      </c>
      <c r="AU81" t="s">
        <v>413</v>
      </c>
      <c r="AV81" s="1" t="str">
        <f t="shared" si="19"/>
        <v>Q-ROCK 16 GRIT50LB BAG</v>
      </c>
      <c r="AW81" s="134">
        <v>16</v>
      </c>
      <c r="AY81" t="str">
        <f t="shared" si="20"/>
        <v>E WR COVE BLUEKIT</v>
      </c>
      <c r="AZ81" s="1" t="str">
        <f t="shared" si="21"/>
        <v xml:space="preserve">E WR COVE </v>
      </c>
      <c r="BA81" t="str">
        <f t="shared" si="22"/>
        <v>BLUE</v>
      </c>
      <c r="BB81" s="1" t="str">
        <f t="shared" si="13"/>
        <v>KIT</v>
      </c>
      <c r="BC81" s="1">
        <f t="shared" si="14"/>
        <v>57.67</v>
      </c>
      <c r="BD81" s="1" t="s">
        <v>361</v>
      </c>
      <c r="BE81" s="14" t="s">
        <v>391</v>
      </c>
      <c r="BF81" s="14" t="s">
        <v>397</v>
      </c>
      <c r="BG81" s="14" t="s">
        <v>368</v>
      </c>
      <c r="BJ81"/>
      <c r="BK81"/>
      <c r="BM81"/>
    </row>
    <row r="82" spans="1:65" x14ac:dyDescent="0.35">
      <c r="A82" s="1" t="s">
        <v>947</v>
      </c>
      <c r="B82" s="1" t="s">
        <v>920</v>
      </c>
      <c r="D82" s="1" t="s">
        <v>920</v>
      </c>
      <c r="I82" s="1" t="s">
        <v>286</v>
      </c>
      <c r="J82" s="1" t="str">
        <f t="shared" si="24"/>
        <v>RS88 (12 TUBES / CASE)CHATEAU GRAYTUBE</v>
      </c>
      <c r="K82" s="1" t="s">
        <v>720</v>
      </c>
      <c r="L82" s="1" t="s">
        <v>523</v>
      </c>
      <c r="M82" s="1" t="s">
        <v>503</v>
      </c>
      <c r="X82" s="66" t="s">
        <v>577</v>
      </c>
      <c r="Y82" s="1" t="s">
        <v>554</v>
      </c>
      <c r="Z82" s="63">
        <v>292.99</v>
      </c>
      <c r="AA82" s="1" t="s">
        <v>528</v>
      </c>
      <c r="AC82" s="1" t="s">
        <v>384</v>
      </c>
      <c r="AD82" s="1" t="s">
        <v>18</v>
      </c>
      <c r="AF82" s="1">
        <f>Table1[[#This Row],[C:C]]*1.1</f>
        <v>0</v>
      </c>
      <c r="AI82" s="1">
        <f>IFERROR(VLOOKUP(X82,#REF!,8,FALSE),0)</f>
        <v>0</v>
      </c>
      <c r="AN82" s="1" t="str">
        <f>PROD_ID_TABLE[[#This Row],[PROD ID]]</f>
        <v>E WR COVE CHALKIT</v>
      </c>
      <c r="AO82" s="1" t="str">
        <f t="shared" si="15"/>
        <v>POLY-CRETE WR COVE BASE, SLOPE/PATCHINGCHARCOALKIT</v>
      </c>
      <c r="AP82" s="3">
        <f t="shared" si="16"/>
        <v>57.67</v>
      </c>
      <c r="AQ82" s="1" t="str">
        <f t="shared" si="17"/>
        <v>KIT</v>
      </c>
      <c r="AS82" s="1" t="str">
        <f t="shared" si="18"/>
        <v>CHARCOAL</v>
      </c>
      <c r="AT82" t="s">
        <v>741</v>
      </c>
      <c r="AU82" t="s">
        <v>414</v>
      </c>
      <c r="AV82" s="1" t="str">
        <f t="shared" ref="AV82:AV87" si="25">AT82&amp;AU82</f>
        <v>1-8IN DECO FLAKE  - 40LB BAG40LB BAG</v>
      </c>
      <c r="AW82" s="134">
        <v>110</v>
      </c>
      <c r="AY82" t="str">
        <f t="shared" si="20"/>
        <v>E WR COVE CHALKIT</v>
      </c>
      <c r="AZ82" s="1" t="str">
        <f t="shared" si="21"/>
        <v xml:space="preserve">E WR COVE </v>
      </c>
      <c r="BA82" t="str">
        <f t="shared" si="22"/>
        <v>CHAL</v>
      </c>
      <c r="BB82" s="1" t="str">
        <f t="shared" si="13"/>
        <v>KIT</v>
      </c>
      <c r="BC82" s="1">
        <f t="shared" si="14"/>
        <v>57.67</v>
      </c>
      <c r="BD82" s="1" t="s">
        <v>361</v>
      </c>
      <c r="BE82" s="14" t="s">
        <v>318</v>
      </c>
      <c r="BF82" s="14" t="s">
        <v>397</v>
      </c>
      <c r="BG82" s="14" t="s">
        <v>368</v>
      </c>
      <c r="BJ82"/>
      <c r="BK82"/>
      <c r="BM82"/>
    </row>
    <row r="83" spans="1:65" x14ac:dyDescent="0.35">
      <c r="A83" s="1" t="s">
        <v>948</v>
      </c>
      <c r="I83" s="587" t="s">
        <v>285</v>
      </c>
      <c r="J83" s="1" t="str">
        <f t="shared" si="24"/>
        <v>RS88 (12 TUBES / CASE)BRICKPAVER REDTUBE</v>
      </c>
      <c r="K83" s="1" t="s">
        <v>720</v>
      </c>
      <c r="L83" s="1" t="s">
        <v>1048</v>
      </c>
      <c r="M83" s="1" t="s">
        <v>503</v>
      </c>
      <c r="P83" s="1" t="s">
        <v>896</v>
      </c>
      <c r="Q83" s="1">
        <v>0.5</v>
      </c>
      <c r="R83" s="1">
        <f>5/Q83</f>
        <v>10</v>
      </c>
      <c r="S83" s="1">
        <v>210</v>
      </c>
      <c r="X83" s="66" t="s">
        <v>579</v>
      </c>
      <c r="Y83" s="1" t="s">
        <v>554</v>
      </c>
      <c r="Z83" s="63">
        <v>292.99</v>
      </c>
      <c r="AA83" s="1" t="s">
        <v>528</v>
      </c>
      <c r="AC83" s="1" t="s">
        <v>688</v>
      </c>
      <c r="AD83" s="1" t="s">
        <v>18</v>
      </c>
      <c r="AF83" s="1">
        <f>Table1[[#This Row],[C:C]]*1.1</f>
        <v>0</v>
      </c>
      <c r="AI83" s="1">
        <f>IFERROR(VLOOKUP(X83,#REF!,8,FALSE),0)</f>
        <v>0</v>
      </c>
      <c r="AN83" s="1" t="str">
        <f>PROD_ID_TABLE[[#This Row],[PROD ID]]</f>
        <v>E WR COVE CHUTKIT</v>
      </c>
      <c r="AO83" s="1" t="str">
        <f t="shared" si="15"/>
        <v>POLY-CRETE WR COVE BASE, SLOPE/PATCHINGCHESTNUTKIT</v>
      </c>
      <c r="AP83" s="3">
        <f t="shared" si="16"/>
        <v>57.67</v>
      </c>
      <c r="AQ83" s="1" t="str">
        <f t="shared" si="17"/>
        <v>KIT</v>
      </c>
      <c r="AS83" s="1" t="str">
        <f t="shared" si="18"/>
        <v>CHESTNUT</v>
      </c>
      <c r="AT83" t="s">
        <v>792</v>
      </c>
      <c r="AU83" t="s">
        <v>793</v>
      </c>
      <c r="AV83" s="1" t="str">
        <f t="shared" si="25"/>
        <v>HPF COLOR QUARTZ25 MESH</v>
      </c>
      <c r="AW83" s="134">
        <v>27.5</v>
      </c>
      <c r="AY83" t="str">
        <f t="shared" si="20"/>
        <v>E WR COVE CHUTKIT</v>
      </c>
      <c r="AZ83" s="1" t="str">
        <f t="shared" si="21"/>
        <v xml:space="preserve">E WR COVE </v>
      </c>
      <c r="BA83" t="str">
        <f t="shared" si="22"/>
        <v>CHUT</v>
      </c>
      <c r="BB83" s="1" t="str">
        <f t="shared" si="13"/>
        <v>KIT</v>
      </c>
      <c r="BC83" s="1">
        <f t="shared" si="14"/>
        <v>57.67</v>
      </c>
      <c r="BD83" s="1" t="s">
        <v>361</v>
      </c>
      <c r="BE83" s="14" t="s">
        <v>392</v>
      </c>
      <c r="BF83" s="14" t="s">
        <v>397</v>
      </c>
      <c r="BG83" s="14" t="s">
        <v>368</v>
      </c>
      <c r="BJ83"/>
      <c r="BK83"/>
      <c r="BM83"/>
    </row>
    <row r="84" spans="1:65" x14ac:dyDescent="0.35">
      <c r="A84" s="1" t="s">
        <v>949</v>
      </c>
      <c r="B84" s="1" t="s">
        <v>920</v>
      </c>
      <c r="C84" s="1" t="s">
        <v>920</v>
      </c>
      <c r="D84" s="1" t="s">
        <v>920</v>
      </c>
      <c r="I84" s="587" t="s">
        <v>286</v>
      </c>
      <c r="J84" s="1" t="str">
        <f t="shared" si="24"/>
        <v>RS88 (12 TUBES / CASE)OTHERTUBE</v>
      </c>
      <c r="K84" s="1" t="s">
        <v>720</v>
      </c>
      <c r="L84" s="1" t="s">
        <v>1049</v>
      </c>
      <c r="M84" s="1" t="s">
        <v>503</v>
      </c>
      <c r="P84" s="1" t="s">
        <v>897</v>
      </c>
      <c r="Q84" s="1">
        <v>0.5</v>
      </c>
      <c r="R84" s="1">
        <f>5/Q84</f>
        <v>10</v>
      </c>
      <c r="S84" s="1">
        <v>210</v>
      </c>
      <c r="X84" s="66" t="s">
        <v>580</v>
      </c>
      <c r="Y84" s="1" t="s">
        <v>554</v>
      </c>
      <c r="Z84" s="63">
        <v>292.99</v>
      </c>
      <c r="AA84" s="1" t="s">
        <v>528</v>
      </c>
      <c r="AC84" s="1" t="s">
        <v>689</v>
      </c>
      <c r="AD84" s="1" t="s">
        <v>18</v>
      </c>
      <c r="AF84" s="1">
        <f>Table1[[#This Row],[C:C]]*1.1</f>
        <v>0</v>
      </c>
      <c r="AI84" s="1">
        <f>IFERROR(VLOOKUP(X84,#REF!,8,FALSE),0)</f>
        <v>0</v>
      </c>
      <c r="AN84" s="1" t="str">
        <f>PROD_ID_TABLE[[#This Row],[PROD ID]]</f>
        <v>E WR COVE COAYKIT</v>
      </c>
      <c r="AO84" s="1" t="str">
        <f t="shared" si="15"/>
        <v>POLY-CRETE WR COVE BASE, SLOPE/PATCHINGCONCRETE GRAYKIT</v>
      </c>
      <c r="AP84" s="3">
        <f t="shared" si="16"/>
        <v>57.67</v>
      </c>
      <c r="AQ84" s="1" t="str">
        <f t="shared" si="17"/>
        <v>KIT</v>
      </c>
      <c r="AS84" s="1" t="str">
        <f t="shared" si="18"/>
        <v>CONCRETE GRAY</v>
      </c>
      <c r="AT84" t="s">
        <v>792</v>
      </c>
      <c r="AU84" t="s">
        <v>794</v>
      </c>
      <c r="AV84" s="1" t="str">
        <f t="shared" si="25"/>
        <v>HPF COLOR QUARTZ40 MESH</v>
      </c>
      <c r="AW84" s="134">
        <v>27.5</v>
      </c>
      <c r="AY84" t="str">
        <f t="shared" si="20"/>
        <v>E WR COVE COAYKIT</v>
      </c>
      <c r="AZ84" s="1" t="str">
        <f t="shared" si="21"/>
        <v xml:space="preserve">E WR COVE </v>
      </c>
      <c r="BA84" t="str">
        <f t="shared" si="22"/>
        <v>COAY</v>
      </c>
      <c r="BB84" s="1" t="str">
        <f t="shared" si="13"/>
        <v>KIT</v>
      </c>
      <c r="BC84" s="1">
        <f t="shared" si="14"/>
        <v>57.67</v>
      </c>
      <c r="BD84" s="1" t="s">
        <v>361</v>
      </c>
      <c r="BE84" s="14" t="s">
        <v>393</v>
      </c>
      <c r="BF84" s="14" t="s">
        <v>397</v>
      </c>
      <c r="BG84" s="14" t="s">
        <v>368</v>
      </c>
      <c r="BJ84"/>
      <c r="BK84"/>
      <c r="BM84"/>
    </row>
    <row r="85" spans="1:65" x14ac:dyDescent="0.35">
      <c r="A85" s="1" t="s">
        <v>950</v>
      </c>
      <c r="I85" s="1" t="s">
        <v>192</v>
      </c>
      <c r="J85" s="1" t="str">
        <f t="shared" si="24"/>
        <v>SGC MMA PRIMERN/A5 GAL</v>
      </c>
      <c r="K85" s="1" t="s">
        <v>484</v>
      </c>
      <c r="L85" s="1" t="s">
        <v>398</v>
      </c>
      <c r="M85" s="1" t="s">
        <v>412</v>
      </c>
      <c r="P85" s="1" t="s">
        <v>904</v>
      </c>
      <c r="Q85" s="1">
        <v>1</v>
      </c>
      <c r="R85" s="1">
        <f>R84</f>
        <v>10</v>
      </c>
      <c r="S85" s="1">
        <f>T85*R85</f>
        <v>102</v>
      </c>
      <c r="T85" s="1">
        <v>10.199999999999999</v>
      </c>
      <c r="X85" s="66" t="s">
        <v>583</v>
      </c>
      <c r="Y85" s="1" t="s">
        <v>554</v>
      </c>
      <c r="Z85" s="63">
        <v>292.99</v>
      </c>
      <c r="AA85" s="1" t="s">
        <v>528</v>
      </c>
      <c r="AC85" s="1" t="s">
        <v>399</v>
      </c>
      <c r="AD85" s="1" t="s">
        <v>18</v>
      </c>
      <c r="AF85" s="1">
        <f>Table1[[#This Row],[C:C]]*1.1</f>
        <v>0</v>
      </c>
      <c r="AI85" s="1">
        <f>IFERROR(VLOOKUP(X85,#REF!,8,FALSE),0)</f>
        <v>0</v>
      </c>
      <c r="AN85" s="1" t="str">
        <f>PROD_ID_TABLE[[#This Row],[PROD ID]]</f>
        <v>E WR COVE DAAYKIT</v>
      </c>
      <c r="AO85" s="1" t="str">
        <f t="shared" si="15"/>
        <v>POLY-CRETE WR COVE BASE, SLOPE/PATCHINGDARK GRAYKIT</v>
      </c>
      <c r="AP85" s="3">
        <f t="shared" si="16"/>
        <v>57.67</v>
      </c>
      <c r="AQ85" s="1" t="str">
        <f t="shared" si="17"/>
        <v>KIT</v>
      </c>
      <c r="AS85" s="1" t="str">
        <f t="shared" si="18"/>
        <v>DARK GRAY</v>
      </c>
      <c r="AT85" t="s">
        <v>795</v>
      </c>
      <c r="AU85" t="s">
        <v>414</v>
      </c>
      <c r="AV85" s="1" t="str">
        <f t="shared" si="25"/>
        <v>1-4IN DECO FLAKE - 40LB BAG40LB BAG</v>
      </c>
      <c r="AW85" s="134">
        <v>110</v>
      </c>
      <c r="AY85" t="str">
        <f t="shared" si="20"/>
        <v>E WR COVE DAAYKIT</v>
      </c>
      <c r="AZ85" s="1" t="str">
        <f t="shared" si="21"/>
        <v xml:space="preserve">E WR COVE </v>
      </c>
      <c r="BA85" t="str">
        <f t="shared" si="22"/>
        <v>DAAY</v>
      </c>
      <c r="BB85" s="1" t="str">
        <f t="shared" si="13"/>
        <v>KIT</v>
      </c>
      <c r="BC85" s="1">
        <f t="shared" si="14"/>
        <v>57.67</v>
      </c>
      <c r="BD85" s="1" t="s">
        <v>361</v>
      </c>
      <c r="BE85" s="14" t="s">
        <v>394</v>
      </c>
      <c r="BF85" s="14" t="s">
        <v>397</v>
      </c>
      <c r="BG85" s="14" t="s">
        <v>368</v>
      </c>
      <c r="BJ85"/>
      <c r="BK85"/>
      <c r="BM85"/>
    </row>
    <row r="86" spans="1:65" x14ac:dyDescent="0.35">
      <c r="A86" s="1" t="s">
        <v>951</v>
      </c>
      <c r="B86" s="1" t="s">
        <v>920</v>
      </c>
      <c r="D86" s="1" t="s">
        <v>920</v>
      </c>
      <c r="I86" s="1" t="s">
        <v>1050</v>
      </c>
      <c r="J86" s="1" t="str">
        <f t="shared" si="24"/>
        <v>SGC MMA PRIMERN/A50 GAL</v>
      </c>
      <c r="K86" s="1" t="s">
        <v>484</v>
      </c>
      <c r="L86" s="1" t="s">
        <v>398</v>
      </c>
      <c r="M86" s="1" t="s">
        <v>501</v>
      </c>
      <c r="P86" s="1" t="s">
        <v>899</v>
      </c>
      <c r="Q86" s="1">
        <v>0</v>
      </c>
      <c r="R86" s="1">
        <f>ROUNDUP(Q86*R83,0)</f>
        <v>0</v>
      </c>
      <c r="S86" s="1">
        <f>R86*T86</f>
        <v>0</v>
      </c>
      <c r="T86" s="1">
        <v>25.5</v>
      </c>
      <c r="X86" s="66" t="s">
        <v>585</v>
      </c>
      <c r="Y86" s="1" t="s">
        <v>554</v>
      </c>
      <c r="Z86" s="63">
        <v>292.99</v>
      </c>
      <c r="AA86" s="1" t="s">
        <v>528</v>
      </c>
      <c r="AC86" s="1" t="s">
        <v>693</v>
      </c>
      <c r="AD86" s="1" t="s">
        <v>18</v>
      </c>
      <c r="AF86" s="1">
        <f>Table1[[#This Row],[C:C]]*1.1</f>
        <v>0</v>
      </c>
      <c r="AI86" s="1">
        <f>IFERROR(VLOOKUP(X86,#REF!,8,FALSE),0)</f>
        <v>0</v>
      </c>
      <c r="AN86" s="1" t="str">
        <f>PROD_ID_TABLE[[#This Row],[PROD ID]]</f>
        <v>E WR COVE GRENKIT</v>
      </c>
      <c r="AO86" s="1" t="str">
        <f t="shared" si="15"/>
        <v>POLY-CRETE WR COVE BASE, SLOPE/PATCHINGGREENKIT</v>
      </c>
      <c r="AP86" s="3">
        <f t="shared" si="16"/>
        <v>57.67</v>
      </c>
      <c r="AQ86" s="1" t="str">
        <f t="shared" si="17"/>
        <v>KIT</v>
      </c>
      <c r="AS86" s="1" t="str">
        <f t="shared" si="18"/>
        <v>GREEN</v>
      </c>
      <c r="AT86" t="s">
        <v>796</v>
      </c>
      <c r="AU86" t="s">
        <v>413</v>
      </c>
      <c r="AV86" s="1" t="str">
        <f t="shared" si="25"/>
        <v>24 MESH ALUMINUM OXIDE50LB BAG</v>
      </c>
      <c r="AW86" s="134">
        <v>235.8</v>
      </c>
      <c r="AY86" t="str">
        <f t="shared" si="20"/>
        <v>E WR COVE GRENKIT</v>
      </c>
      <c r="AZ86" s="1" t="str">
        <f t="shared" si="21"/>
        <v xml:space="preserve">E WR COVE </v>
      </c>
      <c r="BA86" t="str">
        <f t="shared" si="22"/>
        <v>GREN</v>
      </c>
      <c r="BB86" s="1" t="str">
        <f t="shared" si="13"/>
        <v>KIT</v>
      </c>
      <c r="BC86" s="1">
        <f t="shared" si="14"/>
        <v>57.67</v>
      </c>
      <c r="BD86" s="1" t="s">
        <v>361</v>
      </c>
      <c r="BE86" s="14" t="s">
        <v>395</v>
      </c>
      <c r="BF86" s="14" t="s">
        <v>397</v>
      </c>
      <c r="BG86" s="14" t="s">
        <v>368</v>
      </c>
      <c r="BJ86"/>
      <c r="BK86"/>
      <c r="BM86"/>
    </row>
    <row r="87" spans="1:65" x14ac:dyDescent="0.35">
      <c r="A87" s="1" t="s">
        <v>952</v>
      </c>
      <c r="B87" s="1" t="s">
        <v>920</v>
      </c>
      <c r="I87" s="1" t="s">
        <v>274</v>
      </c>
      <c r="J87" s="1" t="str">
        <f t="shared" si="24"/>
        <v>RIO MMA BONDING ADDITIVEN/A5 GAL</v>
      </c>
      <c r="K87" s="1" t="s">
        <v>485</v>
      </c>
      <c r="L87" s="1" t="s">
        <v>398</v>
      </c>
      <c r="M87" s="1" t="s">
        <v>412</v>
      </c>
      <c r="P87" s="1" t="s">
        <v>505</v>
      </c>
      <c r="S87" s="1">
        <f>SUM(S83:S86)</f>
        <v>522</v>
      </c>
      <c r="X87" s="66" t="s">
        <v>587</v>
      </c>
      <c r="Y87" s="1" t="s">
        <v>554</v>
      </c>
      <c r="Z87" s="63">
        <v>292.99</v>
      </c>
      <c r="AA87" s="1" t="s">
        <v>528</v>
      </c>
      <c r="AC87" s="1" t="s">
        <v>695</v>
      </c>
      <c r="AD87" s="1" t="s">
        <v>18</v>
      </c>
      <c r="AF87" s="1">
        <f>Table1[[#This Row],[C:C]]*1.1</f>
        <v>0</v>
      </c>
      <c r="AI87" s="1">
        <f>IFERROR(VLOOKUP(X87,#REF!,8,FALSE),0)</f>
        <v>0</v>
      </c>
      <c r="AN87" s="1" t="str">
        <f>PROD_ID_TABLE[[#This Row],[PROD ID]]</f>
        <v>E WR COVE GRAYKIT</v>
      </c>
      <c r="AO87" s="1" t="str">
        <f t="shared" si="15"/>
        <v>POLY-CRETE WR COVE BASE, SLOPE/PATCHINGGRAYKIT</v>
      </c>
      <c r="AP87" s="3">
        <f t="shared" si="16"/>
        <v>57.67</v>
      </c>
      <c r="AQ87" s="1" t="str">
        <f t="shared" si="17"/>
        <v>KIT</v>
      </c>
      <c r="AS87" s="1" t="str">
        <f t="shared" si="18"/>
        <v>GRAY</v>
      </c>
      <c r="AT87" t="s">
        <v>797</v>
      </c>
      <c r="AU87" t="s">
        <v>413</v>
      </c>
      <c r="AV87" s="1" t="str">
        <f t="shared" si="25"/>
        <v>36 MESH ALUMINUM OXIDE50LB BAG</v>
      </c>
      <c r="AW87" s="134">
        <v>235.8</v>
      </c>
      <c r="AY87" t="str">
        <f t="shared" si="20"/>
        <v>E WR COVE GRAYKIT</v>
      </c>
      <c r="AZ87" s="1" t="str">
        <f t="shared" si="21"/>
        <v xml:space="preserve">E WR COVE </v>
      </c>
      <c r="BA87" t="str">
        <f t="shared" si="22"/>
        <v>GRAY</v>
      </c>
      <c r="BB87" s="1" t="str">
        <f t="shared" si="13"/>
        <v>KIT</v>
      </c>
      <c r="BC87" s="1">
        <f t="shared" si="14"/>
        <v>57.67</v>
      </c>
      <c r="BD87" s="1" t="s">
        <v>361</v>
      </c>
      <c r="BE87" s="14" t="s">
        <v>317</v>
      </c>
      <c r="BF87" s="14" t="s">
        <v>397</v>
      </c>
      <c r="BG87" s="14" t="s">
        <v>368</v>
      </c>
      <c r="BJ87"/>
      <c r="BK87"/>
      <c r="BM87"/>
    </row>
    <row r="88" spans="1:65" ht="15" thickBot="1" x14ac:dyDescent="0.4">
      <c r="A88" s="1" t="s">
        <v>953</v>
      </c>
      <c r="B88" s="1" t="s">
        <v>920</v>
      </c>
      <c r="I88" s="1" t="s">
        <v>190</v>
      </c>
      <c r="J88" s="1" t="str">
        <f t="shared" si="24"/>
        <v>600 UV (SSP JS-600 ALIPHATIC POLYUREA)STANDARD GRAY1 GAL BOX</v>
      </c>
      <c r="K88" s="1" t="s">
        <v>1047</v>
      </c>
      <c r="L88" s="1" t="s">
        <v>521</v>
      </c>
      <c r="M88" s="1" t="s">
        <v>718</v>
      </c>
      <c r="X88" s="66" t="s">
        <v>588</v>
      </c>
      <c r="Y88" s="1" t="s">
        <v>554</v>
      </c>
      <c r="Z88" s="63">
        <v>292.99</v>
      </c>
      <c r="AA88" s="1" t="s">
        <v>528</v>
      </c>
      <c r="AC88" s="1" t="s">
        <v>696</v>
      </c>
      <c r="AD88" s="1" t="s">
        <v>18</v>
      </c>
      <c r="AF88" s="1">
        <f>Table1[[#This Row],[C:C]]*1.1</f>
        <v>0</v>
      </c>
      <c r="AI88" s="1">
        <f>IFERROR(VLOOKUP(X88,#REF!,8,FALSE),0)</f>
        <v>0</v>
      </c>
      <c r="AN88" s="1" t="str">
        <f>PROD_ID_TABLE[[#This Row],[PROD ID]]</f>
        <v>E WR COVE REEDKIT</v>
      </c>
      <c r="AO88" s="1" t="str">
        <f t="shared" si="15"/>
        <v>POLY-CRETE WR COVE BASE, SLOPE/PATCHINGREDKIT</v>
      </c>
      <c r="AP88" s="3">
        <f t="shared" si="16"/>
        <v>57.67</v>
      </c>
      <c r="AQ88" s="1" t="str">
        <f t="shared" si="17"/>
        <v>KIT</v>
      </c>
      <c r="AS88" s="1" t="str">
        <f t="shared" si="18"/>
        <v>RED</v>
      </c>
      <c r="AT88" t="s">
        <v>720</v>
      </c>
      <c r="AU88" t="s">
        <v>503</v>
      </c>
      <c r="AV88" s="1" t="str">
        <f t="shared" ref="AV88:AV106" si="26">AT88&amp;AU88</f>
        <v>RS88 (12 TUBES / CASE)TUBE</v>
      </c>
      <c r="AW88" s="63">
        <v>38.5</v>
      </c>
      <c r="AY88" t="str">
        <f t="shared" si="20"/>
        <v>E WR COVE REEDKIT</v>
      </c>
      <c r="AZ88" s="1" t="str">
        <f t="shared" si="21"/>
        <v xml:space="preserve">E WR COVE </v>
      </c>
      <c r="BA88" t="str">
        <f t="shared" si="22"/>
        <v>REED</v>
      </c>
      <c r="BB88" s="1" t="str">
        <f t="shared" si="13"/>
        <v>KIT</v>
      </c>
      <c r="BC88" s="1">
        <f t="shared" si="14"/>
        <v>57.67</v>
      </c>
      <c r="BD88" s="1" t="s">
        <v>361</v>
      </c>
      <c r="BE88" s="14" t="s">
        <v>396</v>
      </c>
      <c r="BF88" s="14" t="s">
        <v>397</v>
      </c>
      <c r="BG88" s="14" t="s">
        <v>368</v>
      </c>
      <c r="BJ88"/>
      <c r="BK88"/>
      <c r="BM88"/>
    </row>
    <row r="89" spans="1:65" ht="15" thickBot="1" x14ac:dyDescent="0.4">
      <c r="A89" s="1" t="s">
        <v>954</v>
      </c>
      <c r="B89" s="1" t="s">
        <v>920</v>
      </c>
      <c r="C89" s="1" t="s">
        <v>920</v>
      </c>
      <c r="D89" s="1" t="s">
        <v>920</v>
      </c>
      <c r="I89" s="1" t="s">
        <v>194</v>
      </c>
      <c r="J89" s="1" t="str">
        <f t="shared" si="24"/>
        <v>600 UV (SSP JS-600 ALIPHATIC POLYUREA)GRAY AREA1 GAL BOX</v>
      </c>
      <c r="K89" s="1" t="s">
        <v>1047</v>
      </c>
      <c r="L89" s="1" t="s">
        <v>522</v>
      </c>
      <c r="M89" s="1" t="s">
        <v>718</v>
      </c>
      <c r="P89" s="1" t="s">
        <v>896</v>
      </c>
      <c r="Q89" s="1">
        <v>0.5</v>
      </c>
      <c r="R89" s="1">
        <f>5/Q89</f>
        <v>10</v>
      </c>
      <c r="S89" s="1">
        <v>210</v>
      </c>
      <c r="X89" s="66" t="s">
        <v>591</v>
      </c>
      <c r="Y89" s="1" t="s">
        <v>554</v>
      </c>
      <c r="Z89" s="63">
        <v>292.99</v>
      </c>
      <c r="AA89" s="1" t="s">
        <v>528</v>
      </c>
      <c r="AC89" s="1" t="s">
        <v>699</v>
      </c>
      <c r="AD89" s="1" t="s">
        <v>18</v>
      </c>
      <c r="AF89" s="1">
        <f>Table1[[#This Row],[C:C]]*1.1</f>
        <v>0</v>
      </c>
      <c r="AI89" s="1">
        <f>IFERROR(VLOOKUP(X89,#REF!,8,FALSE),0)</f>
        <v>0</v>
      </c>
      <c r="AN89" s="1" t="str">
        <f>PROD_ID_TABLE[[#This Row],[PROD ID]]</f>
        <v>E HF ACCELN//A1 Q</v>
      </c>
      <c r="AO89" s="1" t="str">
        <f t="shared" si="15"/>
        <v>POLY-CRETE HF ACCELERATOR LOW TEMPERATURE AIDN/A1 Qt</v>
      </c>
      <c r="AP89" s="3">
        <f t="shared" si="16"/>
        <v>43.8</v>
      </c>
      <c r="AQ89" s="1" t="str">
        <f t="shared" si="17"/>
        <v>1 Qt</v>
      </c>
      <c r="AS89" s="1" t="str">
        <f t="shared" si="18"/>
        <v>N/A</v>
      </c>
      <c r="AT89" t="s">
        <v>720</v>
      </c>
      <c r="AU89" t="s">
        <v>878</v>
      </c>
      <c r="AV89" s="1" t="str">
        <f t="shared" si="26"/>
        <v>RS88 (12 TUBES / CASE)CASE</v>
      </c>
      <c r="AW89" s="63">
        <v>462</v>
      </c>
      <c r="AY89" t="str">
        <f t="shared" si="20"/>
        <v>E HF ACCELN//A1 Q</v>
      </c>
      <c r="AZ89" s="1" t="str">
        <f t="shared" si="21"/>
        <v>E HF ACCEL</v>
      </c>
      <c r="BA89" t="str">
        <f t="shared" si="22"/>
        <v>N//A</v>
      </c>
      <c r="BB89" s="1" t="str">
        <f t="shared" si="13"/>
        <v>1 Q</v>
      </c>
      <c r="BC89" s="1">
        <f t="shared" si="14"/>
        <v>43.8</v>
      </c>
      <c r="BD89" s="57" t="s">
        <v>362</v>
      </c>
      <c r="BE89" s="56" t="s">
        <v>398</v>
      </c>
      <c r="BF89" s="56" t="s">
        <v>787</v>
      </c>
      <c r="BG89" s="56" t="s">
        <v>368</v>
      </c>
      <c r="BH89" s="53" t="s">
        <v>309</v>
      </c>
      <c r="BJ89"/>
      <c r="BK89"/>
      <c r="BM89"/>
    </row>
    <row r="90" spans="1:65" x14ac:dyDescent="0.35">
      <c r="A90" s="1" t="s">
        <v>955</v>
      </c>
      <c r="B90" s="1" t="s">
        <v>920</v>
      </c>
      <c r="I90" s="1" t="s">
        <v>283</v>
      </c>
      <c r="J90" s="1" t="str">
        <f t="shared" si="24"/>
        <v>600 UV (SSP JS-600 ALIPHATIC POLYUREA)CHATEAU GRAY1 GAL BOX</v>
      </c>
      <c r="K90" s="1" t="s">
        <v>1047</v>
      </c>
      <c r="L90" s="1" t="s">
        <v>523</v>
      </c>
      <c r="M90" s="1" t="s">
        <v>718</v>
      </c>
      <c r="P90" s="1" t="s">
        <v>897</v>
      </c>
      <c r="Q90" s="1">
        <v>0.5</v>
      </c>
      <c r="R90" s="1">
        <f>5/Q90</f>
        <v>10</v>
      </c>
      <c r="S90" s="1">
        <v>210</v>
      </c>
      <c r="X90" s="66" t="s">
        <v>589</v>
      </c>
      <c r="Y90" s="1" t="s">
        <v>554</v>
      </c>
      <c r="Z90" s="63">
        <v>292.99</v>
      </c>
      <c r="AA90" s="1" t="s">
        <v>528</v>
      </c>
      <c r="AC90" s="1" t="s">
        <v>697</v>
      </c>
      <c r="AD90" s="1" t="s">
        <v>18</v>
      </c>
      <c r="AF90" s="1">
        <f>Table1[[#This Row],[C:C]]*1.1</f>
        <v>0</v>
      </c>
      <c r="AI90" s="1">
        <f>IFERROR(VLOOKUP(X90,#REF!,8,FALSE),0)</f>
        <v>0</v>
      </c>
      <c r="AN90" s="1" t="str">
        <f>PROD_ID_TABLE[[#This Row],[PROD ID]]</f>
        <v xml:space="preserve"> BOND ENHAN//AKIT</v>
      </c>
      <c r="AO90" s="1" t="str">
        <f t="shared" si="15"/>
        <v>CRYLAFLOR BOND ENHANCER TO P-101N/AKIT</v>
      </c>
      <c r="AP90" s="3">
        <f t="shared" si="16"/>
        <v>30</v>
      </c>
      <c r="AQ90" s="1" t="str">
        <f t="shared" si="17"/>
        <v>KIT</v>
      </c>
      <c r="AS90" s="1" t="str">
        <f t="shared" si="18"/>
        <v>N/A</v>
      </c>
      <c r="AT90" t="s">
        <v>719</v>
      </c>
      <c r="AU90" t="s">
        <v>503</v>
      </c>
      <c r="AV90" s="1" t="str">
        <f t="shared" si="26"/>
        <v>NP-1 TUBES (30 TUBE/CASE)TUBE</v>
      </c>
      <c r="AW90" s="63">
        <v>8.2899999999999991</v>
      </c>
      <c r="AY90" t="str">
        <f t="shared" si="20"/>
        <v xml:space="preserve"> BOND ENHAN//AKIT</v>
      </c>
      <c r="AZ90" s="1" t="str">
        <f t="shared" si="21"/>
        <v xml:space="preserve"> BOND ENHA</v>
      </c>
      <c r="BA90" t="str">
        <f t="shared" si="22"/>
        <v>N//A</v>
      </c>
      <c r="BB90" s="1" t="str">
        <f t="shared" si="13"/>
        <v>KIT</v>
      </c>
      <c r="BC90" s="1">
        <f t="shared" si="14"/>
        <v>30</v>
      </c>
      <c r="BD90" s="50" t="s">
        <v>376</v>
      </c>
      <c r="BE90" s="49" t="s">
        <v>398</v>
      </c>
      <c r="BF90" s="49" t="s">
        <v>397</v>
      </c>
      <c r="BG90" s="49" t="s">
        <v>309</v>
      </c>
      <c r="BH90" s="39" t="s">
        <v>323</v>
      </c>
      <c r="BJ90"/>
      <c r="BK90"/>
      <c r="BM90"/>
    </row>
    <row r="91" spans="1:65" x14ac:dyDescent="0.35">
      <c r="A91" s="1" t="s">
        <v>956</v>
      </c>
      <c r="I91" s="1" t="s">
        <v>283</v>
      </c>
      <c r="J91" s="1" t="str">
        <f t="shared" si="24"/>
        <v>600 UV (SSP JS-600 ALIPHATIC POLYUREA)OTHER1 GAL BOX</v>
      </c>
      <c r="K91" s="1" t="s">
        <v>1047</v>
      </c>
      <c r="L91" s="1" t="s">
        <v>1049</v>
      </c>
      <c r="M91" s="1" t="s">
        <v>718</v>
      </c>
      <c r="P91" s="1" t="s">
        <v>907</v>
      </c>
      <c r="Q91" s="1">
        <v>1</v>
      </c>
      <c r="R91" s="1">
        <f>R90</f>
        <v>10</v>
      </c>
      <c r="S91" s="1">
        <f>T91*R91</f>
        <v>107.5</v>
      </c>
      <c r="T91" s="1">
        <v>10.75</v>
      </c>
      <c r="X91" s="66" t="s">
        <v>592</v>
      </c>
      <c r="Y91" s="1" t="s">
        <v>554</v>
      </c>
      <c r="Z91" s="63">
        <v>292.99</v>
      </c>
      <c r="AA91" s="1" t="s">
        <v>528</v>
      </c>
      <c r="AC91" s="1" t="s">
        <v>700</v>
      </c>
      <c r="AD91" s="1" t="s">
        <v>18</v>
      </c>
      <c r="AF91" s="1">
        <f>Table1[[#This Row],[C:C]]*1.1</f>
        <v>0</v>
      </c>
      <c r="AI91" s="1">
        <f>IFERROR(VLOOKUP(X91,#REF!,8,FALSE),0)</f>
        <v>0</v>
      </c>
      <c r="AN91" s="1" t="str">
        <f>PROD_ID_TABLE[[#This Row],[PROD ID]]</f>
        <v xml:space="preserve"> P-101 PRICLAR5 G</v>
      </c>
      <c r="AO91" s="1" t="str">
        <f t="shared" si="15"/>
        <v>CRYLAFLOR P-101 PRIMERCLEAR5 GAL KIT</v>
      </c>
      <c r="AP91" s="3">
        <f t="shared" si="16"/>
        <v>323</v>
      </c>
      <c r="AQ91" s="1" t="str">
        <f t="shared" si="17"/>
        <v>5 GAL KIT</v>
      </c>
      <c r="AS91" s="1" t="str">
        <f t="shared" si="18"/>
        <v>CLEAR</v>
      </c>
      <c r="AT91" t="s">
        <v>719</v>
      </c>
      <c r="AU91" t="s">
        <v>878</v>
      </c>
      <c r="AV91" s="1" t="str">
        <f t="shared" si="26"/>
        <v>NP-1 TUBES (30 TUBE/CASE)CASE</v>
      </c>
      <c r="AW91" s="63">
        <v>210</v>
      </c>
      <c r="AY91" t="str">
        <f t="shared" si="20"/>
        <v xml:space="preserve"> P-101 PRICLAR5 G</v>
      </c>
      <c r="AZ91" s="1" t="str">
        <f t="shared" si="21"/>
        <v xml:space="preserve"> P-101 PRI</v>
      </c>
      <c r="BA91" t="str">
        <f t="shared" si="22"/>
        <v>CLAR</v>
      </c>
      <c r="BB91" s="1" t="str">
        <f t="shared" si="13"/>
        <v>5 G</v>
      </c>
      <c r="BC91" s="1">
        <f t="shared" si="14"/>
        <v>323</v>
      </c>
      <c r="BD91" s="62" t="s">
        <v>369</v>
      </c>
      <c r="BE91" s="55" t="s">
        <v>315</v>
      </c>
      <c r="BF91" s="55" t="s">
        <v>1072</v>
      </c>
      <c r="BG91" s="55" t="s">
        <v>309</v>
      </c>
      <c r="BH91" s="39" t="s">
        <v>317</v>
      </c>
      <c r="BJ91"/>
      <c r="BK91"/>
      <c r="BM91"/>
    </row>
    <row r="92" spans="1:65" x14ac:dyDescent="0.35">
      <c r="A92" s="1" t="s">
        <v>957</v>
      </c>
      <c r="B92" s="1" t="s">
        <v>920</v>
      </c>
      <c r="C92" s="1" t="s">
        <v>920</v>
      </c>
      <c r="P92" s="1" t="s">
        <v>899</v>
      </c>
      <c r="Q92" s="1">
        <f>3/12</f>
        <v>0.25</v>
      </c>
      <c r="R92" s="1">
        <f>ROUNDUP(Q92*R89,0)</f>
        <v>3</v>
      </c>
      <c r="S92" s="1">
        <f>R92*T92</f>
        <v>76.5</v>
      </c>
      <c r="T92" s="1">
        <v>25.5</v>
      </c>
      <c r="X92" s="66" t="s">
        <v>584</v>
      </c>
      <c r="Y92" s="1" t="s">
        <v>554</v>
      </c>
      <c r="Z92" s="63">
        <v>292.99</v>
      </c>
      <c r="AA92" s="1" t="s">
        <v>528</v>
      </c>
      <c r="AC92" s="1" t="s">
        <v>692</v>
      </c>
      <c r="AD92" s="1" t="s">
        <v>18</v>
      </c>
      <c r="AF92" s="1">
        <f>Table1[[#This Row],[C:C]]*1.1</f>
        <v>0</v>
      </c>
      <c r="AI92" s="1">
        <f>IFERROR(VLOOKUP(X92,#REF!,8,FALSE),0)</f>
        <v>0</v>
      </c>
      <c r="AN92" s="1" t="str">
        <f>PROD_ID_TABLE[[#This Row],[PROD ID]]</f>
        <v xml:space="preserve"> P-101 PRIBEGE5 G</v>
      </c>
      <c r="AO92" s="1" t="str">
        <f t="shared" si="15"/>
        <v>CRYLAFLOR P-101 PRIMERBEIGE5 GAL KIT</v>
      </c>
      <c r="AP92" s="3">
        <f t="shared" si="16"/>
        <v>323</v>
      </c>
      <c r="AQ92" s="1" t="str">
        <f t="shared" si="17"/>
        <v>5 GAL KIT</v>
      </c>
      <c r="AS92" s="1" t="str">
        <f t="shared" si="18"/>
        <v>BEIGE</v>
      </c>
      <c r="AT92" t="s">
        <v>891</v>
      </c>
      <c r="AU92" t="s">
        <v>503</v>
      </c>
      <c r="AV92" s="1" t="str">
        <f t="shared" si="26"/>
        <v>RS65 (12 TUBES / CASE)TUBE</v>
      </c>
      <c r="AW92" s="63">
        <v>38.5</v>
      </c>
      <c r="AY92" t="str">
        <f t="shared" si="20"/>
        <v xml:space="preserve"> P-101 PRIBEGE5 G</v>
      </c>
      <c r="AZ92" s="1" t="str">
        <f t="shared" si="21"/>
        <v xml:space="preserve"> P-101 PRI</v>
      </c>
      <c r="BA92" t="str">
        <f t="shared" si="22"/>
        <v>BEGE</v>
      </c>
      <c r="BB92" s="1" t="str">
        <f t="shared" si="13"/>
        <v>5 G</v>
      </c>
      <c r="BC92" s="1">
        <f t="shared" si="14"/>
        <v>323</v>
      </c>
      <c r="BD92" s="62" t="s">
        <v>369</v>
      </c>
      <c r="BE92" s="55" t="s">
        <v>399</v>
      </c>
      <c r="BF92" s="55" t="s">
        <v>1072</v>
      </c>
      <c r="BG92" s="55" t="s">
        <v>309</v>
      </c>
      <c r="BH92" s="39" t="s">
        <v>395</v>
      </c>
      <c r="BI92" s="1" t="str" cm="1">
        <f t="array" ref="BI92">IF(C52="","",_xlfn.SWITCH(C52,P!$BL$17,P!$BE$91:$BE$98,P!$BL$18,P!$BE$99:$BE$111,P!$BL$19,P!$BE$112:$BE$125,P!$BL$20,P!$BE$126:$BE$139,P!$BL$21,P!$BE$140:$BE$145,P!$BL$22,P!$BE$146,P!$BL$23,P!$BE$147:$BE$152,P!$BE$153))</f>
        <v/>
      </c>
      <c r="BJ92"/>
      <c r="BK92"/>
      <c r="BM92"/>
    </row>
    <row r="93" spans="1:65" x14ac:dyDescent="0.35">
      <c r="A93" s="1" t="s">
        <v>958</v>
      </c>
      <c r="P93" s="1" t="s">
        <v>507</v>
      </c>
      <c r="S93" s="1">
        <f>SUM(S89:S92)</f>
        <v>604</v>
      </c>
      <c r="X93" s="66" t="s">
        <v>582</v>
      </c>
      <c r="Y93" s="1" t="s">
        <v>554</v>
      </c>
      <c r="Z93" s="63">
        <v>292.99</v>
      </c>
      <c r="AA93" s="1" t="s">
        <v>528</v>
      </c>
      <c r="AC93" s="1" t="s">
        <v>691</v>
      </c>
      <c r="AD93" s="1" t="s">
        <v>18</v>
      </c>
      <c r="AF93" s="1">
        <f>Table1[[#This Row],[C:C]]*1.1</f>
        <v>0</v>
      </c>
      <c r="AI93" s="1">
        <f>IFERROR(VLOOKUP(X93,#REF!,8,FALSE),0)</f>
        <v>0</v>
      </c>
      <c r="AN93" s="1" t="str">
        <f>PROD_ID_TABLE[[#This Row],[PROD ID]]</f>
        <v xml:space="preserve"> P-101 PRIBROW5 G</v>
      </c>
      <c r="AO93" s="1" t="str">
        <f t="shared" si="15"/>
        <v>CRYLAFLOR P-101 PRIMERBRIGHT YELLOW5 GAL KIT</v>
      </c>
      <c r="AP93" s="3">
        <f t="shared" si="16"/>
        <v>323</v>
      </c>
      <c r="AQ93" s="1" t="str">
        <f t="shared" si="17"/>
        <v>5 GAL KIT</v>
      </c>
      <c r="AS93" s="1" t="str">
        <f t="shared" si="18"/>
        <v>BRIGHT YELLOW</v>
      </c>
      <c r="AT93" t="s">
        <v>891</v>
      </c>
      <c r="AU93" t="s">
        <v>878</v>
      </c>
      <c r="AV93" s="1" t="str">
        <f t="shared" si="26"/>
        <v>RS65 (12 TUBES / CASE)CASE</v>
      </c>
      <c r="AW93" s="63">
        <v>462</v>
      </c>
      <c r="AY93" t="str">
        <f t="shared" si="20"/>
        <v xml:space="preserve"> P-101 PRIBROW5 G</v>
      </c>
      <c r="AZ93" s="1" t="str">
        <f t="shared" si="21"/>
        <v xml:space="preserve"> P-101 PRI</v>
      </c>
      <c r="BA93" t="str">
        <f t="shared" si="22"/>
        <v>BROW</v>
      </c>
      <c r="BB93" s="1" t="str">
        <f t="shared" si="13"/>
        <v>5 G</v>
      </c>
      <c r="BC93" s="1">
        <f t="shared" si="14"/>
        <v>323</v>
      </c>
      <c r="BD93" s="62" t="s">
        <v>369</v>
      </c>
      <c r="BE93" s="55" t="s">
        <v>400</v>
      </c>
      <c r="BF93" s="55" t="s">
        <v>1072</v>
      </c>
      <c r="BG93" s="55" t="s">
        <v>309</v>
      </c>
      <c r="BH93" s="39" t="s">
        <v>387</v>
      </c>
      <c r="BJ93"/>
      <c r="BK93"/>
      <c r="BM93"/>
    </row>
    <row r="94" spans="1:65" x14ac:dyDescent="0.35">
      <c r="A94" s="1" t="s">
        <v>959</v>
      </c>
      <c r="B94" s="1" t="s">
        <v>920</v>
      </c>
      <c r="C94" s="1" t="s">
        <v>920</v>
      </c>
      <c r="X94" s="66" t="s">
        <v>578</v>
      </c>
      <c r="Y94" s="1" t="s">
        <v>554</v>
      </c>
      <c r="Z94" s="63">
        <v>292.99</v>
      </c>
      <c r="AA94" s="1" t="s">
        <v>528</v>
      </c>
      <c r="AC94" s="1" t="s">
        <v>687</v>
      </c>
      <c r="AD94" s="1" t="s">
        <v>18</v>
      </c>
      <c r="AF94" s="1">
        <f>Table1[[#This Row],[C:C]]*1.1</f>
        <v>0</v>
      </c>
      <c r="AI94" s="1">
        <f>IFERROR(VLOOKUP(X94,#REF!,8,FALSE),0)</f>
        <v>0</v>
      </c>
      <c r="AN94" s="1" t="str">
        <f>PROD_ID_TABLE[[#This Row],[PROD ID]]</f>
        <v xml:space="preserve"> P-101 PRICOAY5 G</v>
      </c>
      <c r="AO94" s="1" t="str">
        <f t="shared" si="15"/>
        <v>CRYLAFLOR P-101 PRIMERCONCRETE GRAY5 GAL KIT</v>
      </c>
      <c r="AP94" s="3">
        <f t="shared" si="16"/>
        <v>323</v>
      </c>
      <c r="AQ94" s="1" t="str">
        <f t="shared" si="17"/>
        <v>5 GAL KIT</v>
      </c>
      <c r="AS94" s="1" t="str">
        <f t="shared" si="18"/>
        <v>CONCRETE GRAY</v>
      </c>
      <c r="AT94" s="1" t="s">
        <v>344</v>
      </c>
      <c r="AU94" s="1" t="s">
        <v>1039</v>
      </c>
      <c r="AV94" s="1" t="str">
        <f t="shared" si="26"/>
        <v>RESUPRIME 3831 MVB MOISTURE EPOXY PRIMER110 GAL</v>
      </c>
      <c r="AW94" s="134">
        <v>5826.15</v>
      </c>
      <c r="AY94" t="str">
        <f t="shared" si="20"/>
        <v xml:space="preserve"> P-101 PRICOAY5 G</v>
      </c>
      <c r="AZ94" s="1" t="str">
        <f t="shared" si="21"/>
        <v xml:space="preserve"> P-101 PRI</v>
      </c>
      <c r="BA94" t="str">
        <f t="shared" si="22"/>
        <v>COAY</v>
      </c>
      <c r="BB94" s="1" t="str">
        <f t="shared" si="13"/>
        <v>5 G</v>
      </c>
      <c r="BC94" s="1">
        <f t="shared" si="14"/>
        <v>323</v>
      </c>
      <c r="BD94" s="62" t="s">
        <v>369</v>
      </c>
      <c r="BE94" s="55" t="s">
        <v>393</v>
      </c>
      <c r="BF94" s="55" t="s">
        <v>1072</v>
      </c>
      <c r="BG94" s="55" t="s">
        <v>309</v>
      </c>
      <c r="BH94" s="39" t="s">
        <v>399</v>
      </c>
      <c r="BJ94"/>
      <c r="BK94"/>
      <c r="BM94"/>
    </row>
    <row r="95" spans="1:65" x14ac:dyDescent="0.35">
      <c r="A95" s="1" t="s">
        <v>960</v>
      </c>
      <c r="B95" s="1" t="s">
        <v>920</v>
      </c>
      <c r="C95" s="1" t="s">
        <v>920</v>
      </c>
      <c r="D95" s="1" t="s">
        <v>920</v>
      </c>
      <c r="X95" s="66" t="s">
        <v>581</v>
      </c>
      <c r="Y95" s="1" t="s">
        <v>554</v>
      </c>
      <c r="Z95" s="63">
        <v>292.99</v>
      </c>
      <c r="AA95" s="1" t="s">
        <v>528</v>
      </c>
      <c r="AC95" s="1" t="s">
        <v>690</v>
      </c>
      <c r="AD95" s="1" t="s">
        <v>18</v>
      </c>
      <c r="AF95" s="1">
        <f>Table1[[#This Row],[C:C]]*1.1</f>
        <v>0</v>
      </c>
      <c r="AI95" s="1">
        <f>IFERROR(VLOOKUP(X95,#REF!,8,FALSE),0)</f>
        <v>0</v>
      </c>
      <c r="AN95" s="1" t="str">
        <f>PROD_ID_TABLE[[#This Row],[PROD ID]]</f>
        <v xml:space="preserve"> P-101 PRICHAY5 G</v>
      </c>
      <c r="AO95" s="1" t="str">
        <f t="shared" si="15"/>
        <v>CRYLAFLOR P-101 PRIMERCHARCOAL GRAY5 GAL KIT</v>
      </c>
      <c r="AP95" s="3">
        <f t="shared" si="16"/>
        <v>323</v>
      </c>
      <c r="AQ95" s="1" t="str">
        <f t="shared" si="17"/>
        <v>5 GAL KIT</v>
      </c>
      <c r="AS95" s="1" t="str">
        <f t="shared" si="18"/>
        <v>CHARCOAL GRAY</v>
      </c>
      <c r="AT95" s="1" t="s">
        <v>345</v>
      </c>
      <c r="AU95" s="1" t="s">
        <v>1040</v>
      </c>
      <c r="AV95" s="1" t="str">
        <f t="shared" si="26"/>
        <v>RESUFLOR 3760 MPE MULTI-PURPOSE EPOXY165 GAL</v>
      </c>
      <c r="AW95" s="134">
        <v>16242.6</v>
      </c>
      <c r="AY95" t="str">
        <f t="shared" si="20"/>
        <v xml:space="preserve"> P-101 PRICHAY5 G</v>
      </c>
      <c r="AZ95" s="1" t="str">
        <f t="shared" si="21"/>
        <v xml:space="preserve"> P-101 PRI</v>
      </c>
      <c r="BA95" t="str">
        <f t="shared" si="22"/>
        <v>CHAY</v>
      </c>
      <c r="BB95" s="1" t="str">
        <f t="shared" si="13"/>
        <v>5 G</v>
      </c>
      <c r="BC95" s="1">
        <f t="shared" si="14"/>
        <v>323</v>
      </c>
      <c r="BD95" s="62" t="s">
        <v>369</v>
      </c>
      <c r="BE95" s="55" t="s">
        <v>401</v>
      </c>
      <c r="BF95" s="55" t="s">
        <v>1072</v>
      </c>
      <c r="BG95" s="55" t="s">
        <v>309</v>
      </c>
      <c r="BH95" s="39" t="s">
        <v>322</v>
      </c>
      <c r="BJ95"/>
      <c r="BK95"/>
      <c r="BM95"/>
    </row>
    <row r="96" spans="1:65" x14ac:dyDescent="0.35">
      <c r="A96" s="1" t="s">
        <v>961</v>
      </c>
      <c r="B96" s="1" t="s">
        <v>920</v>
      </c>
      <c r="C96" s="1" t="s">
        <v>920</v>
      </c>
      <c r="X96" s="66" t="s">
        <v>607</v>
      </c>
      <c r="Y96" s="1" t="s">
        <v>562</v>
      </c>
      <c r="Z96" s="63">
        <v>82.22</v>
      </c>
      <c r="AA96" s="1" t="s">
        <v>397</v>
      </c>
      <c r="AC96" s="1" t="s">
        <v>399</v>
      </c>
      <c r="AD96" s="1" t="s">
        <v>18</v>
      </c>
      <c r="AF96" s="1">
        <f>Table1[[#This Row],[C:C]]*1.1</f>
        <v>0</v>
      </c>
      <c r="AI96" s="1">
        <f>IFERROR(VLOOKUP(X96,#REF!,8,FALSE),0)</f>
        <v>0</v>
      </c>
      <c r="AN96" s="1" t="str">
        <f>PROD_ID_TABLE[[#This Row],[PROD ID]]</f>
        <v xml:space="preserve"> P-101 PRILIAY5 G</v>
      </c>
      <c r="AO96" s="1" t="str">
        <f t="shared" si="15"/>
        <v>CRYLAFLOR P-101 PRIMERLIGHT GRAY5 GAL KIT</v>
      </c>
      <c r="AP96" s="3">
        <f t="shared" si="16"/>
        <v>323</v>
      </c>
      <c r="AQ96" s="1" t="str">
        <f t="shared" si="17"/>
        <v>5 GAL KIT</v>
      </c>
      <c r="AS96" s="1" t="str">
        <f t="shared" si="18"/>
        <v>LIGHT GRAY</v>
      </c>
      <c r="AT96" s="1" t="s">
        <v>346</v>
      </c>
      <c r="AU96" s="1" t="s">
        <v>1041</v>
      </c>
      <c r="AV96" s="1" t="str">
        <f t="shared" si="26"/>
        <v>RESUFLOR 3746 HIGH PERFORMANCE EPOXY159 GAL</v>
      </c>
      <c r="AW96" s="134">
        <v>6920.76</v>
      </c>
      <c r="AY96" t="str">
        <f t="shared" si="20"/>
        <v xml:space="preserve"> P-101 PRILIAY5 G</v>
      </c>
      <c r="AZ96" s="1" t="str">
        <f t="shared" si="21"/>
        <v xml:space="preserve"> P-101 PRI</v>
      </c>
      <c r="BA96" t="str">
        <f t="shared" si="22"/>
        <v>LIAY</v>
      </c>
      <c r="BB96" s="1" t="str">
        <f t="shared" si="13"/>
        <v>5 G</v>
      </c>
      <c r="BC96" s="1">
        <f t="shared" si="14"/>
        <v>323</v>
      </c>
      <c r="BD96" s="62" t="s">
        <v>369</v>
      </c>
      <c r="BE96" s="55" t="s">
        <v>384</v>
      </c>
      <c r="BF96" s="55" t="s">
        <v>1072</v>
      </c>
      <c r="BG96" s="55" t="s">
        <v>309</v>
      </c>
      <c r="BH96" s="39" t="s">
        <v>393</v>
      </c>
      <c r="BJ96"/>
      <c r="BK96"/>
      <c r="BM96"/>
    </row>
    <row r="97" spans="1:65" x14ac:dyDescent="0.35">
      <c r="A97" s="1" t="s">
        <v>962</v>
      </c>
      <c r="C97" s="1" t="s">
        <v>920</v>
      </c>
      <c r="D97" s="1" t="s">
        <v>920</v>
      </c>
      <c r="F97" s="1" t="s">
        <v>920</v>
      </c>
      <c r="X97" s="66" t="s">
        <v>608</v>
      </c>
      <c r="Y97" s="1" t="s">
        <v>562</v>
      </c>
      <c r="Z97" s="63">
        <v>82.22</v>
      </c>
      <c r="AA97" s="1" t="s">
        <v>397</v>
      </c>
      <c r="AC97" s="1" t="s">
        <v>698</v>
      </c>
      <c r="AD97" s="1" t="s">
        <v>18</v>
      </c>
      <c r="AF97" s="1">
        <f>Table1[[#This Row],[C:C]]*1.1</f>
        <v>0</v>
      </c>
      <c r="AI97" s="1">
        <f>IFERROR(VLOOKUP(X97,#REF!,8,FALSE),0)</f>
        <v>0</v>
      </c>
      <c r="AN97" s="1" t="str">
        <f>PROD_ID_TABLE[[#This Row],[PROD ID]]</f>
        <v xml:space="preserve"> P-101 PRIMEAY5 G</v>
      </c>
      <c r="AO97" s="1" t="str">
        <f t="shared" si="15"/>
        <v>CRYLAFLOR P-101 PRIMERMED. GRAY5 GAL KIT</v>
      </c>
      <c r="AP97" s="3">
        <f t="shared" si="16"/>
        <v>323</v>
      </c>
      <c r="AQ97" s="1" t="str">
        <f t="shared" si="17"/>
        <v>5 GAL KIT</v>
      </c>
      <c r="AS97" s="1" t="str">
        <f t="shared" si="18"/>
        <v>MED. GRAY</v>
      </c>
      <c r="AT97" s="1" t="s">
        <v>349</v>
      </c>
      <c r="AU97" s="587" t="s">
        <v>1042</v>
      </c>
      <c r="AV97" s="1" t="str">
        <f t="shared" si="26"/>
        <v>RESUTILE 4640 HTS 100 HS HIGH TRAFFIC URETHANE ENAMEL1.2 GAL</v>
      </c>
      <c r="AW97" s="134">
        <v>478.45</v>
      </c>
      <c r="AY97" t="str">
        <f t="shared" si="20"/>
        <v xml:space="preserve"> P-101 PRIMEAY5 G</v>
      </c>
      <c r="AZ97" s="1" t="str">
        <f t="shared" si="21"/>
        <v xml:space="preserve"> P-101 PRI</v>
      </c>
      <c r="BA97" t="str">
        <f t="shared" si="22"/>
        <v>MEAY</v>
      </c>
      <c r="BB97" s="1" t="str">
        <f t="shared" si="13"/>
        <v>5 G</v>
      </c>
      <c r="BC97" s="1">
        <f t="shared" si="14"/>
        <v>323</v>
      </c>
      <c r="BD97" s="62" t="s">
        <v>369</v>
      </c>
      <c r="BE97" s="55" t="s">
        <v>402</v>
      </c>
      <c r="BF97" s="55" t="s">
        <v>1072</v>
      </c>
      <c r="BG97" s="55" t="s">
        <v>309</v>
      </c>
      <c r="BH97" s="39" t="s">
        <v>402</v>
      </c>
      <c r="BI97" s="1">
        <v>101</v>
      </c>
      <c r="BJ97"/>
      <c r="BK97"/>
      <c r="BM97"/>
    </row>
    <row r="98" spans="1:65" x14ac:dyDescent="0.35">
      <c r="A98" s="1" t="s">
        <v>963</v>
      </c>
      <c r="B98" s="1" t="s">
        <v>920</v>
      </c>
      <c r="D98" s="1" t="s">
        <v>920</v>
      </c>
      <c r="X98" s="66" t="s">
        <v>609</v>
      </c>
      <c r="Y98" s="1" t="s">
        <v>562</v>
      </c>
      <c r="Z98" s="63">
        <v>82.22</v>
      </c>
      <c r="AA98" s="1" t="s">
        <v>397</v>
      </c>
      <c r="AC98" s="1" t="s">
        <v>702</v>
      </c>
      <c r="AD98" s="1" t="s">
        <v>18</v>
      </c>
      <c r="AF98" s="1">
        <f>Table1[[#This Row],[C:C]]*1.1</f>
        <v>0</v>
      </c>
      <c r="AI98" s="1">
        <f>IFERROR(VLOOKUP(X98,#REF!,8,FALSE),0)</f>
        <v>0</v>
      </c>
      <c r="AN98" s="1" t="str">
        <f>PROD_ID_TABLE[[#This Row],[PROD ID]]</f>
        <v xml:space="preserve"> P-101 PRISLAY5 G</v>
      </c>
      <c r="AO98" s="1" t="str">
        <f t="shared" si="15"/>
        <v>CRYLAFLOR P-101 PRIMERSLATE GRAY5 GAL KIT</v>
      </c>
      <c r="AP98" s="3">
        <f t="shared" si="16"/>
        <v>323</v>
      </c>
      <c r="AQ98" s="1" t="str">
        <f t="shared" si="17"/>
        <v>5 GAL KIT</v>
      </c>
      <c r="AS98" s="1" t="str">
        <f t="shared" si="18"/>
        <v>SLATE GRAY</v>
      </c>
      <c r="AT98" s="1" t="s">
        <v>369</v>
      </c>
      <c r="AU98" s="1" t="s">
        <v>1043</v>
      </c>
      <c r="AV98" s="1" t="str">
        <f t="shared" si="26"/>
        <v>CRYLAFLOR P-101 PRIMER50 Gal KIT</v>
      </c>
      <c r="AW98" s="134">
        <v>2702.39</v>
      </c>
      <c r="AY98" t="str">
        <f t="shared" si="20"/>
        <v xml:space="preserve"> P-101 PRISLAY5 G</v>
      </c>
      <c r="AZ98" s="1" t="str">
        <f t="shared" si="21"/>
        <v xml:space="preserve"> P-101 PRI</v>
      </c>
      <c r="BA98" t="str">
        <f t="shared" si="22"/>
        <v>SLAY</v>
      </c>
      <c r="BB98" s="1" t="str">
        <f t="shared" si="13"/>
        <v>5 G</v>
      </c>
      <c r="BC98" s="1">
        <f t="shared" si="14"/>
        <v>323</v>
      </c>
      <c r="BD98" s="62" t="s">
        <v>369</v>
      </c>
      <c r="BE98" s="55" t="s">
        <v>403</v>
      </c>
      <c r="BF98" s="55" t="s">
        <v>1072</v>
      </c>
      <c r="BG98" s="55" t="s">
        <v>309</v>
      </c>
      <c r="BH98" s="39" t="s">
        <v>403</v>
      </c>
      <c r="BJ98"/>
      <c r="BK98"/>
      <c r="BM98"/>
    </row>
    <row r="99" spans="1:65" x14ac:dyDescent="0.35">
      <c r="A99" s="1" t="s">
        <v>964</v>
      </c>
      <c r="B99" s="1" t="s">
        <v>920</v>
      </c>
      <c r="C99" s="1" t="s">
        <v>920</v>
      </c>
      <c r="X99" s="66" t="s">
        <v>610</v>
      </c>
      <c r="Y99" s="1" t="s">
        <v>562</v>
      </c>
      <c r="Z99" s="63">
        <v>82.22</v>
      </c>
      <c r="AA99" s="1" t="s">
        <v>397</v>
      </c>
      <c r="AC99" s="1" t="s">
        <v>703</v>
      </c>
      <c r="AD99" s="1" t="s">
        <v>18</v>
      </c>
      <c r="AF99" s="1">
        <f>Table1[[#This Row],[C:C]]*1.1</f>
        <v>0</v>
      </c>
      <c r="AI99" s="1">
        <f>IFERROR(VLOOKUP(X99,#REF!,8,FALSE),0)</f>
        <v>0</v>
      </c>
      <c r="AN99" s="1" t="str">
        <f>PROD_ID_TABLE[[#This Row],[PROD ID]]</f>
        <v xml:space="preserve"> G-201 BINCLAR5 G</v>
      </c>
      <c r="AO99" s="1" t="str">
        <f t="shared" si="15"/>
        <v>CRYLAFLOR G-201 BINDERCLEAR5 GAL KIT</v>
      </c>
      <c r="AP99" s="3">
        <f t="shared" si="16"/>
        <v>341.92</v>
      </c>
      <c r="AQ99" s="1" t="str">
        <f t="shared" si="17"/>
        <v>5 GAL KIT</v>
      </c>
      <c r="AS99" s="1" t="str">
        <f t="shared" si="18"/>
        <v>CLEAR</v>
      </c>
      <c r="AT99" s="1" t="s">
        <v>370</v>
      </c>
      <c r="AU99" s="1" t="s">
        <v>1043</v>
      </c>
      <c r="AV99" s="1" t="str">
        <f t="shared" si="26"/>
        <v>CRYLAFLOR G-201 BINDER50 Gal KIT</v>
      </c>
      <c r="AW99" s="134">
        <v>3294.42</v>
      </c>
      <c r="AY99" t="str">
        <f t="shared" si="20"/>
        <v xml:space="preserve"> G-201 BINCLAR5 G</v>
      </c>
      <c r="AZ99" s="1" t="str">
        <f t="shared" si="21"/>
        <v xml:space="preserve"> G-201 BIN</v>
      </c>
      <c r="BA99" t="str">
        <f t="shared" si="22"/>
        <v>CLAR</v>
      </c>
      <c r="BB99" s="1" t="str">
        <f t="shared" si="13"/>
        <v>5 G</v>
      </c>
      <c r="BC99" s="1">
        <f t="shared" si="14"/>
        <v>341.92</v>
      </c>
      <c r="BD99" s="1" t="s">
        <v>370</v>
      </c>
      <c r="BE99" s="14" t="s">
        <v>315</v>
      </c>
      <c r="BF99" s="55" t="s">
        <v>1072</v>
      </c>
      <c r="BG99" s="14" t="s">
        <v>309</v>
      </c>
      <c r="BH99" s="39" t="s">
        <v>315</v>
      </c>
      <c r="BJ99"/>
      <c r="BK99"/>
      <c r="BM99"/>
    </row>
    <row r="100" spans="1:65" x14ac:dyDescent="0.35">
      <c r="A100" s="1" t="s">
        <v>965</v>
      </c>
      <c r="B100" s="1" t="s">
        <v>920</v>
      </c>
      <c r="D100" s="1" t="s">
        <v>920</v>
      </c>
      <c r="X100" s="66" t="s">
        <v>685</v>
      </c>
      <c r="Y100" s="1" t="s">
        <v>573</v>
      </c>
      <c r="Z100" s="63">
        <v>21.14</v>
      </c>
      <c r="AA100" s="1" t="s">
        <v>499</v>
      </c>
      <c r="AC100" s="1" t="s">
        <v>429</v>
      </c>
      <c r="AD100" s="1" t="s">
        <v>18</v>
      </c>
      <c r="AF100" s="1">
        <f>Table1[[#This Row],[C:C]]*1.1</f>
        <v>0</v>
      </c>
      <c r="AI100" s="1">
        <f>IFERROR(VLOOKUP(X100,#REF!,8,FALSE),0)</f>
        <v>0</v>
      </c>
      <c r="AN100" s="1" t="str">
        <f>PROD_ID_TABLE[[#This Row],[PROD ID]]</f>
        <v xml:space="preserve"> G-201 BINBEGE5 G</v>
      </c>
      <c r="AO100" s="1" t="str">
        <f t="shared" si="15"/>
        <v>CRYLAFLOR G-201 BINDERBEIGE5 GAL KIT</v>
      </c>
      <c r="AP100" s="3">
        <f t="shared" si="16"/>
        <v>341.92</v>
      </c>
      <c r="AQ100" s="1" t="str">
        <f t="shared" si="17"/>
        <v>5 GAL KIT</v>
      </c>
      <c r="AS100" s="1" t="str">
        <f t="shared" si="18"/>
        <v>BEIGE</v>
      </c>
      <c r="AT100" s="1" t="s">
        <v>371</v>
      </c>
      <c r="AU100" s="1" t="s">
        <v>1043</v>
      </c>
      <c r="AV100" s="1" t="str">
        <f t="shared" si="26"/>
        <v>CRYLAFLOR T-301 TOPCOAT50 Gal KIT</v>
      </c>
      <c r="AW100" s="134">
        <v>3206.15</v>
      </c>
      <c r="AY100" t="str">
        <f t="shared" si="20"/>
        <v xml:space="preserve"> G-201 BINBEGE5 G</v>
      </c>
      <c r="AZ100" s="1" t="str">
        <f t="shared" si="21"/>
        <v xml:space="preserve"> G-201 BIN</v>
      </c>
      <c r="BA100" t="str">
        <f t="shared" si="22"/>
        <v>BEGE</v>
      </c>
      <c r="BB100" s="1" t="str">
        <f t="shared" si="13"/>
        <v>5 G</v>
      </c>
      <c r="BC100" s="1">
        <f t="shared" si="14"/>
        <v>341.92</v>
      </c>
      <c r="BD100" s="1" t="s">
        <v>370</v>
      </c>
      <c r="BE100" s="14" t="s">
        <v>399</v>
      </c>
      <c r="BF100" s="55" t="s">
        <v>1072</v>
      </c>
      <c r="BG100" s="14" t="s">
        <v>309</v>
      </c>
      <c r="BH100" s="39" t="s">
        <v>384</v>
      </c>
      <c r="BJ100"/>
      <c r="BK100"/>
      <c r="BM100"/>
    </row>
    <row r="101" spans="1:65" x14ac:dyDescent="0.35">
      <c r="A101" s="1" t="s">
        <v>966</v>
      </c>
      <c r="D101" s="1" t="s">
        <v>920</v>
      </c>
      <c r="X101" s="66" t="s">
        <v>590</v>
      </c>
      <c r="Y101" s="1" t="s">
        <v>554</v>
      </c>
      <c r="Z101" s="63">
        <v>292.99</v>
      </c>
      <c r="AA101" s="1" t="s">
        <v>528</v>
      </c>
      <c r="AC101" s="1" t="s">
        <v>698</v>
      </c>
      <c r="AD101" s="1" t="s">
        <v>18</v>
      </c>
      <c r="AF101" s="1">
        <f>Table1[[#This Row],[C:C]]*1.1</f>
        <v>0</v>
      </c>
      <c r="AI101" s="1">
        <f>IFERROR(VLOOKUP(X101,#REF!,8,FALSE),0)</f>
        <v>0</v>
      </c>
      <c r="AN101" s="1" t="str">
        <f>PROD_ID_TABLE[[#This Row],[PROD ID]]</f>
        <v xml:space="preserve"> G-201 BINBROW5 G</v>
      </c>
      <c r="AO101" s="1" t="str">
        <f t="shared" si="15"/>
        <v>CRYLAFLOR G-201 BINDERBRIGHT YELLOW5 GAL KIT</v>
      </c>
      <c r="AP101" s="3">
        <f t="shared" si="16"/>
        <v>341.92</v>
      </c>
      <c r="AQ101" s="1" t="str">
        <f t="shared" si="17"/>
        <v>5 GAL KIT</v>
      </c>
      <c r="AS101" s="1" t="str">
        <f t="shared" si="18"/>
        <v>BRIGHT YELLOW</v>
      </c>
      <c r="AT101" s="1" t="s">
        <v>372</v>
      </c>
      <c r="AU101" s="1" t="s">
        <v>1043</v>
      </c>
      <c r="AV101" s="1" t="str">
        <f t="shared" si="26"/>
        <v>CRYLAFLOR T-303 FLEXIBLE TOPCOAT50 Gal KIT</v>
      </c>
      <c r="AW101" s="134">
        <v>3999.45</v>
      </c>
      <c r="AY101" t="str">
        <f t="shared" si="20"/>
        <v xml:space="preserve"> G-201 BINBROW5 G</v>
      </c>
      <c r="AZ101" s="1" t="str">
        <f t="shared" si="21"/>
        <v xml:space="preserve"> G-201 BIN</v>
      </c>
      <c r="BA101" t="str">
        <f t="shared" si="22"/>
        <v>BROW</v>
      </c>
      <c r="BB101" s="1" t="str">
        <f t="shared" si="13"/>
        <v>5 G</v>
      </c>
      <c r="BC101" s="1">
        <f t="shared" si="14"/>
        <v>341.92</v>
      </c>
      <c r="BD101" s="1" t="s">
        <v>370</v>
      </c>
      <c r="BE101" s="14" t="s">
        <v>400</v>
      </c>
      <c r="BF101" s="55" t="s">
        <v>1072</v>
      </c>
      <c r="BG101" s="14" t="s">
        <v>309</v>
      </c>
      <c r="BH101" s="39" t="s">
        <v>400</v>
      </c>
      <c r="BJ101"/>
      <c r="BK101"/>
      <c r="BM101"/>
    </row>
    <row r="102" spans="1:65" x14ac:dyDescent="0.35">
      <c r="A102" s="1" t="s">
        <v>967</v>
      </c>
      <c r="X102" s="66" t="s">
        <v>684</v>
      </c>
      <c r="Y102" s="1" t="s">
        <v>572</v>
      </c>
      <c r="Z102" s="63">
        <v>15.04</v>
      </c>
      <c r="AA102" s="1" t="s">
        <v>499</v>
      </c>
      <c r="AC102" s="1" t="s">
        <v>429</v>
      </c>
      <c r="AD102" s="1" t="s">
        <v>18</v>
      </c>
      <c r="AF102" s="1">
        <f>Table1[[#This Row],[C:C]]*1.1</f>
        <v>0</v>
      </c>
      <c r="AI102" s="1">
        <f>IFERROR(VLOOKUP(X102,#REF!,8,FALSE),0)</f>
        <v>0</v>
      </c>
      <c r="AN102" s="1" t="str">
        <f>PROD_ID_TABLE[[#This Row],[PROD ID]]</f>
        <v xml:space="preserve"> G-201 BINCOAY5 G</v>
      </c>
      <c r="AO102" s="1" t="str">
        <f t="shared" si="15"/>
        <v>CRYLAFLOR G-201 BINDERCONCRETE GRAY5 GAL KIT</v>
      </c>
      <c r="AP102" s="3">
        <f t="shared" si="16"/>
        <v>341.92</v>
      </c>
      <c r="AQ102" s="1" t="str">
        <f t="shared" si="17"/>
        <v>5 GAL KIT</v>
      </c>
      <c r="AS102" s="1" t="str">
        <f t="shared" si="18"/>
        <v>CONCRETE GRAY</v>
      </c>
      <c r="AT102" s="1" t="s">
        <v>373</v>
      </c>
      <c r="AU102" s="1" t="s">
        <v>1044</v>
      </c>
      <c r="AV102" s="1" t="str">
        <f t="shared" si="26"/>
        <v>CRYLAFLOR COVE5 Gal KIT</v>
      </c>
      <c r="AW102" s="134">
        <v>477.86</v>
      </c>
      <c r="AY102" t="str">
        <f t="shared" si="20"/>
        <v xml:space="preserve"> G-201 BINCOAY5 G</v>
      </c>
      <c r="AZ102" s="1" t="str">
        <f t="shared" si="21"/>
        <v xml:space="preserve"> G-201 BIN</v>
      </c>
      <c r="BA102" t="str">
        <f t="shared" si="22"/>
        <v>COAY</v>
      </c>
      <c r="BB102" s="1" t="str">
        <f t="shared" si="13"/>
        <v>5 G</v>
      </c>
      <c r="BC102" s="1">
        <f t="shared" si="14"/>
        <v>341.92</v>
      </c>
      <c r="BD102" s="1" t="s">
        <v>370</v>
      </c>
      <c r="BE102" s="14" t="s">
        <v>393</v>
      </c>
      <c r="BF102" s="55" t="s">
        <v>1072</v>
      </c>
      <c r="BG102" s="14" t="s">
        <v>309</v>
      </c>
      <c r="BH102" s="39" t="s">
        <v>401</v>
      </c>
      <c r="BI102" s="1">
        <v>201</v>
      </c>
      <c r="BJ102"/>
      <c r="BK102"/>
      <c r="BM102"/>
    </row>
    <row r="103" spans="1:65" x14ac:dyDescent="0.35">
      <c r="A103" s="1" t="s">
        <v>968</v>
      </c>
      <c r="B103" s="1" t="s">
        <v>920</v>
      </c>
      <c r="C103" s="1" t="s">
        <v>920</v>
      </c>
      <c r="D103" s="1" t="s">
        <v>920</v>
      </c>
      <c r="X103" s="66" t="s">
        <v>644</v>
      </c>
      <c r="Y103" s="1" t="s">
        <v>569</v>
      </c>
      <c r="Z103" s="63">
        <v>202.41</v>
      </c>
      <c r="AA103" s="1" t="s">
        <v>397</v>
      </c>
      <c r="AC103" s="1" t="s">
        <v>429</v>
      </c>
      <c r="AD103" s="1" t="s">
        <v>18</v>
      </c>
      <c r="AF103" s="1">
        <f>Table1[[#This Row],[C:C]]*1.1</f>
        <v>0</v>
      </c>
      <c r="AI103" s="1">
        <f>IFERROR(VLOOKUP(X103,#REF!,8,FALSE),0)</f>
        <v>0</v>
      </c>
      <c r="AN103" s="1" t="str">
        <f>PROD_ID_TABLE[[#This Row],[PROD ID]]</f>
        <v xml:space="preserve"> G-201 BINCHAY5 G</v>
      </c>
      <c r="AO103" s="1" t="str">
        <f t="shared" si="15"/>
        <v>CRYLAFLOR G-201 BINDERCHARCOAL GRAY5 GAL KIT</v>
      </c>
      <c r="AP103" s="3">
        <f t="shared" si="16"/>
        <v>341.92</v>
      </c>
      <c r="AQ103" s="1" t="str">
        <f t="shared" si="17"/>
        <v>5 GAL KIT</v>
      </c>
      <c r="AS103" s="1" t="str">
        <f t="shared" si="18"/>
        <v>CHARCOAL GRAY</v>
      </c>
      <c r="AT103" s="1" t="s">
        <v>374</v>
      </c>
      <c r="AU103" s="1" t="s">
        <v>1045</v>
      </c>
      <c r="AV103" s="1" t="str">
        <f t="shared" si="26"/>
        <v>CRYLAFLOR CURE (BPO)55 lb KIT</v>
      </c>
      <c r="AW103" s="134">
        <v>712.09</v>
      </c>
      <c r="AY103" t="str">
        <f t="shared" si="20"/>
        <v xml:space="preserve"> G-201 BINCHAY5 G</v>
      </c>
      <c r="AZ103" s="1" t="str">
        <f t="shared" si="21"/>
        <v xml:space="preserve"> G-201 BIN</v>
      </c>
      <c r="BA103" t="str">
        <f t="shared" si="22"/>
        <v>CHAY</v>
      </c>
      <c r="BB103" s="1" t="str">
        <f t="shared" si="13"/>
        <v>5 G</v>
      </c>
      <c r="BC103" s="1">
        <f t="shared" si="14"/>
        <v>341.92</v>
      </c>
      <c r="BD103" s="1" t="s">
        <v>370</v>
      </c>
      <c r="BE103" s="14" t="s">
        <v>401</v>
      </c>
      <c r="BF103" s="55" t="s">
        <v>1072</v>
      </c>
      <c r="BG103" s="14" t="s">
        <v>309</v>
      </c>
      <c r="BH103" s="39" t="s">
        <v>405</v>
      </c>
      <c r="BI103" s="60">
        <v>301303</v>
      </c>
      <c r="BJ103"/>
      <c r="BK103"/>
      <c r="BM103"/>
    </row>
    <row r="104" spans="1:65" x14ac:dyDescent="0.35">
      <c r="A104" s="1" t="s">
        <v>969</v>
      </c>
      <c r="X104" s="66" t="s">
        <v>611</v>
      </c>
      <c r="Y104" s="1" t="s">
        <v>562</v>
      </c>
      <c r="Z104" s="63">
        <v>82.22</v>
      </c>
      <c r="AA104" s="1" t="s">
        <v>397</v>
      </c>
      <c r="AC104" s="1" t="s">
        <v>694</v>
      </c>
      <c r="AD104" s="1" t="s">
        <v>18</v>
      </c>
      <c r="AF104" s="1">
        <f>Table1[[#This Row],[C:C]]*1.1</f>
        <v>0</v>
      </c>
      <c r="AI104" s="1">
        <f>IFERROR(VLOOKUP(X104,#REF!,8,FALSE),0)</f>
        <v>0</v>
      </c>
      <c r="AN104" s="1" t="str">
        <f>PROD_ID_TABLE[[#This Row],[PROD ID]]</f>
        <v xml:space="preserve"> G-201 BINLIAY5 G</v>
      </c>
      <c r="AO104" s="1" t="str">
        <f t="shared" si="15"/>
        <v>CRYLAFLOR G-201 BINDERLIGHT GRAY5 GAL KIT</v>
      </c>
      <c r="AP104" s="3">
        <f t="shared" si="16"/>
        <v>341.92</v>
      </c>
      <c r="AQ104" s="1" t="str">
        <f t="shared" si="17"/>
        <v>5 GAL KIT</v>
      </c>
      <c r="AS104" s="1" t="str">
        <f t="shared" si="18"/>
        <v>LIGHT GRAY</v>
      </c>
      <c r="AT104" s="1" t="s">
        <v>1046</v>
      </c>
      <c r="AU104" s="1" t="s">
        <v>406</v>
      </c>
      <c r="AV104" s="1" t="str">
        <f t="shared" si="26"/>
        <v>GP 3555 EPOFLEX 1:12 GAL</v>
      </c>
      <c r="AW104" s="134">
        <v>216.57</v>
      </c>
      <c r="AY104" t="str">
        <f t="shared" si="20"/>
        <v xml:space="preserve"> G-201 BINLIAY5 G</v>
      </c>
      <c r="AZ104" s="1" t="str">
        <f t="shared" si="21"/>
        <v xml:space="preserve"> G-201 BIN</v>
      </c>
      <c r="BA104" t="str">
        <f t="shared" si="22"/>
        <v>LIAY</v>
      </c>
      <c r="BB104" s="1" t="str">
        <f t="shared" si="13"/>
        <v>5 G</v>
      </c>
      <c r="BC104" s="1">
        <f t="shared" si="14"/>
        <v>341.92</v>
      </c>
      <c r="BD104" s="1" t="s">
        <v>370</v>
      </c>
      <c r="BE104" s="14" t="s">
        <v>384</v>
      </c>
      <c r="BF104" s="55" t="s">
        <v>1072</v>
      </c>
      <c r="BG104" s="14" t="s">
        <v>309</v>
      </c>
      <c r="BH104" s="39" t="s">
        <v>317</v>
      </c>
      <c r="BJ104"/>
      <c r="BK104"/>
      <c r="BM104"/>
    </row>
    <row r="105" spans="1:65" ht="15" thickBot="1" x14ac:dyDescent="0.4">
      <c r="A105" s="1" t="s">
        <v>914</v>
      </c>
      <c r="B105" s="1" t="s">
        <v>920</v>
      </c>
      <c r="C105" s="1" t="s">
        <v>920</v>
      </c>
      <c r="X105" s="66" t="s">
        <v>617</v>
      </c>
      <c r="Y105" s="1" t="s">
        <v>564</v>
      </c>
      <c r="Z105" s="63">
        <v>105.13</v>
      </c>
      <c r="AA105" s="1" t="s">
        <v>397</v>
      </c>
      <c r="AC105" s="1" t="s">
        <v>703</v>
      </c>
      <c r="AD105" s="1" t="s">
        <v>18</v>
      </c>
      <c r="AF105" s="1">
        <f>Table1[[#This Row],[C:C]]*1.1</f>
        <v>0</v>
      </c>
      <c r="AI105" s="1">
        <f>IFERROR(VLOOKUP(X105,#REF!,8,FALSE),0)</f>
        <v>0</v>
      </c>
      <c r="AN105" s="1" t="str">
        <f>PROD_ID_TABLE[[#This Row],[PROD ID]]</f>
        <v xml:space="preserve"> G-201 BINMEAY5 G</v>
      </c>
      <c r="AO105" s="1" t="str">
        <f t="shared" si="15"/>
        <v>CRYLAFLOR G-201 BINDERMED. GRAY5 GAL KIT</v>
      </c>
      <c r="AP105" s="3">
        <f t="shared" si="16"/>
        <v>341.92</v>
      </c>
      <c r="AQ105" s="1" t="str">
        <f t="shared" si="17"/>
        <v>5 GAL KIT</v>
      </c>
      <c r="AS105" s="1" t="str">
        <f t="shared" si="18"/>
        <v>MED. GRAY</v>
      </c>
      <c r="AT105" s="1" t="s">
        <v>1046</v>
      </c>
      <c r="AU105" s="1" t="s">
        <v>410</v>
      </c>
      <c r="AV105" s="1" t="str">
        <f t="shared" si="26"/>
        <v>GP 3555 EPOFLEX 1:110 GAL</v>
      </c>
      <c r="AW105" s="134">
        <v>946.31</v>
      </c>
      <c r="AY105" t="str">
        <f t="shared" si="20"/>
        <v xml:space="preserve"> G-201 BINMEAY5 G</v>
      </c>
      <c r="AZ105" s="1" t="str">
        <f t="shared" si="21"/>
        <v xml:space="preserve"> G-201 BIN</v>
      </c>
      <c r="BA105" t="str">
        <f t="shared" si="22"/>
        <v>MEAY</v>
      </c>
      <c r="BB105" s="1" t="str">
        <f t="shared" si="13"/>
        <v>5 G</v>
      </c>
      <c r="BC105" s="1">
        <f t="shared" si="14"/>
        <v>341.92</v>
      </c>
      <c r="BD105" s="1" t="s">
        <v>370</v>
      </c>
      <c r="BE105" s="14" t="s">
        <v>402</v>
      </c>
      <c r="BF105" s="55" t="s">
        <v>1072</v>
      </c>
      <c r="BG105" s="14" t="s">
        <v>309</v>
      </c>
      <c r="BH105" s="40" t="s">
        <v>398</v>
      </c>
      <c r="BJ105"/>
      <c r="BK105"/>
      <c r="BM105"/>
    </row>
    <row r="106" spans="1:65" ht="15" thickBot="1" x14ac:dyDescent="0.4">
      <c r="A106" s="1" t="s">
        <v>970</v>
      </c>
      <c r="B106" s="1" t="s">
        <v>920</v>
      </c>
      <c r="C106" s="1" t="s">
        <v>920</v>
      </c>
      <c r="X106" s="66" t="s">
        <v>574</v>
      </c>
      <c r="Y106" s="1" t="s">
        <v>526</v>
      </c>
      <c r="Z106" s="63">
        <v>839.19</v>
      </c>
      <c r="AA106" s="1" t="s">
        <v>408</v>
      </c>
      <c r="AC106" s="1" t="s">
        <v>429</v>
      </c>
      <c r="AD106" s="1" t="s">
        <v>18</v>
      </c>
      <c r="AF106" s="1">
        <f>Table1[[#This Row],[C:C]]*1.1</f>
        <v>0</v>
      </c>
      <c r="AI106" s="1">
        <f>IFERROR(VLOOKUP(X106,#REF!,8,FALSE),0)</f>
        <v>0</v>
      </c>
      <c r="AN106" s="1" t="str">
        <f>PROD_ID_TABLE[[#This Row],[PROD ID]]</f>
        <v xml:space="preserve"> G-201 BINSLAY5 G</v>
      </c>
      <c r="AO106" s="1" t="str">
        <f t="shared" si="15"/>
        <v>CRYLAFLOR G-201 BINDERSLATE GRAY5 GAL KIT</v>
      </c>
      <c r="AP106" s="3">
        <f t="shared" si="16"/>
        <v>341.92</v>
      </c>
      <c r="AQ106" s="1" t="str">
        <f t="shared" si="17"/>
        <v>5 GAL KIT</v>
      </c>
      <c r="AS106" s="1" t="str">
        <f t="shared" si="18"/>
        <v>SLATE GRAY</v>
      </c>
      <c r="AT106" s="1" t="s">
        <v>349</v>
      </c>
      <c r="AU106" s="587">
        <v>1.2</v>
      </c>
      <c r="AV106" s="1" t="str">
        <f t="shared" si="26"/>
        <v>RESUTILE 4640 HTS 100 HS HIGH TRAFFIC URETHANE ENAMEL1.2</v>
      </c>
      <c r="AW106" s="134">
        <v>267.77</v>
      </c>
      <c r="AY106" t="str">
        <f t="shared" si="20"/>
        <v xml:space="preserve"> G-201 BINSLAY5 G</v>
      </c>
      <c r="AZ106" s="1" t="str">
        <f t="shared" si="21"/>
        <v xml:space="preserve"> G-201 BIN</v>
      </c>
      <c r="BA106" t="str">
        <f t="shared" si="22"/>
        <v>SLAY</v>
      </c>
      <c r="BB106" s="1" t="str">
        <f t="shared" si="13"/>
        <v>5 G</v>
      </c>
      <c r="BC106" s="1">
        <f t="shared" si="14"/>
        <v>341.92</v>
      </c>
      <c r="BD106" s="1" t="s">
        <v>370</v>
      </c>
      <c r="BE106" s="14" t="s">
        <v>403</v>
      </c>
      <c r="BF106" s="55" t="s">
        <v>1072</v>
      </c>
      <c r="BG106" s="14" t="s">
        <v>309</v>
      </c>
      <c r="BH106" s="58" t="s">
        <v>397</v>
      </c>
      <c r="BJ106"/>
      <c r="BK106"/>
      <c r="BM106"/>
    </row>
    <row r="107" spans="1:65" x14ac:dyDescent="0.35">
      <c r="A107" s="1" t="s">
        <v>971</v>
      </c>
      <c r="B107" s="1" t="s">
        <v>920</v>
      </c>
      <c r="C107" s="1" t="s">
        <v>920</v>
      </c>
      <c r="X107" s="66" t="s">
        <v>593</v>
      </c>
      <c r="Y107" s="1" t="s">
        <v>554</v>
      </c>
      <c r="Z107" s="63">
        <v>292.99</v>
      </c>
      <c r="AA107" s="1" t="s">
        <v>528</v>
      </c>
      <c r="AC107" s="1" t="s">
        <v>701</v>
      </c>
      <c r="AD107" s="1" t="s">
        <v>18</v>
      </c>
      <c r="AF107" s="1">
        <f>Table1[[#This Row],[C:C]]*1.1</f>
        <v>0</v>
      </c>
      <c r="AI107" s="1">
        <f>IFERROR(VLOOKUP(X107,#REF!,8,FALSE),0)</f>
        <v>0</v>
      </c>
      <c r="AN107" s="1" t="str">
        <f>PROD_ID_TABLE[[#This Row],[PROD ID]]</f>
        <v xml:space="preserve"> G-201 BINBLCK5 G</v>
      </c>
      <c r="AO107" s="1" t="str">
        <f t="shared" si="15"/>
        <v>CRYLAFLOR G-201 BINDERBLACK5 GAL KIT</v>
      </c>
      <c r="AP107" s="3">
        <f t="shared" si="16"/>
        <v>341.92</v>
      </c>
      <c r="AQ107" s="1" t="str">
        <f t="shared" si="17"/>
        <v>5 GAL KIT</v>
      </c>
      <c r="AS107" s="1" t="str">
        <f t="shared" si="18"/>
        <v>BLACK</v>
      </c>
      <c r="AT107" t="s">
        <v>441</v>
      </c>
      <c r="AU107" t="s">
        <v>1056</v>
      </c>
      <c r="AV107" s="1" t="str">
        <f>AT107&amp;AU107</f>
        <v>RESUFLOR 3513 SCRATCH COAT MASTIC (THICK/SLOW)1 pt</v>
      </c>
      <c r="AY107" t="str">
        <f t="shared" si="20"/>
        <v xml:space="preserve"> G-201 BINBLCK5 G</v>
      </c>
      <c r="AZ107" s="1" t="str">
        <f t="shared" si="21"/>
        <v xml:space="preserve"> G-201 BIN</v>
      </c>
      <c r="BA107" t="str">
        <f t="shared" si="22"/>
        <v>BLCK</v>
      </c>
      <c r="BB107" s="1" t="str">
        <f t="shared" si="13"/>
        <v>5 G</v>
      </c>
      <c r="BC107" s="1">
        <f t="shared" si="14"/>
        <v>341.92</v>
      </c>
      <c r="BD107" s="1" t="s">
        <v>370</v>
      </c>
      <c r="BE107" s="14" t="s">
        <v>323</v>
      </c>
      <c r="BF107" s="55" t="s">
        <v>1072</v>
      </c>
      <c r="BG107" s="14" t="s">
        <v>309</v>
      </c>
      <c r="BJ107"/>
      <c r="BK107"/>
      <c r="BM107"/>
    </row>
    <row r="108" spans="1:65" x14ac:dyDescent="0.35">
      <c r="A108" s="1" t="s">
        <v>972</v>
      </c>
      <c r="X108" s="66" t="s">
        <v>622</v>
      </c>
      <c r="Y108" s="1" t="s">
        <v>565</v>
      </c>
      <c r="Z108" s="63">
        <v>91.51</v>
      </c>
      <c r="AA108" s="1" t="s">
        <v>397</v>
      </c>
      <c r="AC108" s="1" t="s">
        <v>694</v>
      </c>
      <c r="AD108" s="1" t="s">
        <v>18</v>
      </c>
      <c r="AF108" s="1">
        <f>Table1[[#This Row],[C:C]]*1.1</f>
        <v>0</v>
      </c>
      <c r="AI108" s="1">
        <f>IFERROR(VLOOKUP(X108,#REF!,8,FALSE),0)</f>
        <v>0</v>
      </c>
      <c r="AN108" s="1" t="str">
        <f>PROD_ID_TABLE[[#This Row],[PROD ID]]</f>
        <v xml:space="preserve"> G-201 BINGREN5 G</v>
      </c>
      <c r="AO108" s="1" t="str">
        <f t="shared" si="15"/>
        <v>CRYLAFLOR G-201 BINDERGREEN5 GAL KIT</v>
      </c>
      <c r="AP108" s="3">
        <f t="shared" si="16"/>
        <v>341.92</v>
      </c>
      <c r="AQ108" s="1" t="str">
        <f t="shared" si="17"/>
        <v>5 GAL KIT</v>
      </c>
      <c r="AS108" s="1" t="str">
        <f t="shared" si="18"/>
        <v>GREEN</v>
      </c>
      <c r="AT108" s="1" t="s">
        <v>369</v>
      </c>
      <c r="AU108" s="1" t="s">
        <v>1075</v>
      </c>
      <c r="AV108" s="1" t="str">
        <f t="shared" ref="AV108:AV116" si="27">AT108&amp;AU108</f>
        <v>CRYLAFLOR P-101 PRIMER50 GAL KIT</v>
      </c>
      <c r="AW108" s="134">
        <v>2702.39</v>
      </c>
      <c r="AY108" t="str">
        <f t="shared" si="20"/>
        <v xml:space="preserve"> G-201 BINGREN5 G</v>
      </c>
      <c r="AZ108" s="1" t="str">
        <f t="shared" si="21"/>
        <v xml:space="preserve"> G-201 BIN</v>
      </c>
      <c r="BA108" t="str">
        <f t="shared" si="22"/>
        <v>GREN</v>
      </c>
      <c r="BB108" s="1" t="str">
        <f t="shared" si="13"/>
        <v>5 G</v>
      </c>
      <c r="BC108" s="1">
        <f t="shared" si="14"/>
        <v>341.92</v>
      </c>
      <c r="BD108" s="1" t="s">
        <v>370</v>
      </c>
      <c r="BE108" s="14" t="s">
        <v>395</v>
      </c>
      <c r="BF108" s="55" t="s">
        <v>1072</v>
      </c>
      <c r="BG108" s="14" t="s">
        <v>309</v>
      </c>
      <c r="BJ108"/>
      <c r="BK108"/>
      <c r="BM108"/>
    </row>
    <row r="109" spans="1:65" x14ac:dyDescent="0.35">
      <c r="A109" s="1" t="s">
        <v>973</v>
      </c>
      <c r="X109" s="66" t="s">
        <v>621</v>
      </c>
      <c r="Y109" s="1" t="s">
        <v>565</v>
      </c>
      <c r="Z109" s="63">
        <v>91.51</v>
      </c>
      <c r="AA109" s="1" t="s">
        <v>397</v>
      </c>
      <c r="AC109" s="1" t="s">
        <v>703</v>
      </c>
      <c r="AD109" s="1" t="s">
        <v>18</v>
      </c>
      <c r="AF109" s="1">
        <f>Table1[[#This Row],[C:C]]*1.1</f>
        <v>0</v>
      </c>
      <c r="AI109" s="1">
        <f>IFERROR(VLOOKUP(X109,#REF!,8,FALSE),0)</f>
        <v>0</v>
      </c>
      <c r="AN109" s="1" t="str">
        <f>PROD_ID_TABLE[[#This Row],[PROD ID]]</f>
        <v xml:space="preserve"> G-201 BINWHTE5 G</v>
      </c>
      <c r="AO109" s="1" t="str">
        <f t="shared" si="15"/>
        <v>CRYLAFLOR G-201 BINDERWHITE5 GAL KIT</v>
      </c>
      <c r="AP109" s="3">
        <f t="shared" si="16"/>
        <v>341.92</v>
      </c>
      <c r="AQ109" s="1" t="str">
        <f t="shared" si="17"/>
        <v>5 GAL KIT</v>
      </c>
      <c r="AS109" s="1" t="str">
        <f t="shared" si="18"/>
        <v>WHITE</v>
      </c>
      <c r="AT109" s="1" t="s">
        <v>370</v>
      </c>
      <c r="AU109" s="1" t="s">
        <v>1075</v>
      </c>
      <c r="AV109" s="1" t="str">
        <f t="shared" si="27"/>
        <v>CRYLAFLOR G-201 BINDER50 GAL KIT</v>
      </c>
      <c r="AW109" s="134">
        <v>3294.42</v>
      </c>
      <c r="AY109" t="str">
        <f t="shared" si="20"/>
        <v xml:space="preserve"> G-201 BINWHTE5 G</v>
      </c>
      <c r="AZ109" s="1" t="str">
        <f t="shared" si="21"/>
        <v xml:space="preserve"> G-201 BIN</v>
      </c>
      <c r="BA109" t="str">
        <f t="shared" si="22"/>
        <v>WHTE</v>
      </c>
      <c r="BB109" s="1" t="str">
        <f t="shared" si="13"/>
        <v>5 G</v>
      </c>
      <c r="BC109" s="1">
        <f t="shared" si="14"/>
        <v>341.92</v>
      </c>
      <c r="BD109" s="1" t="s">
        <v>370</v>
      </c>
      <c r="BE109" s="14" t="s">
        <v>322</v>
      </c>
      <c r="BF109" s="55" t="s">
        <v>1072</v>
      </c>
      <c r="BG109" s="14" t="s">
        <v>309</v>
      </c>
      <c r="BJ109"/>
      <c r="BK109"/>
      <c r="BM109"/>
    </row>
    <row r="110" spans="1:65" x14ac:dyDescent="0.35">
      <c r="A110" s="1" t="s">
        <v>974</v>
      </c>
      <c r="B110" s="1" t="s">
        <v>920</v>
      </c>
      <c r="C110" s="1" t="s">
        <v>920</v>
      </c>
      <c r="X110" s="66" t="s">
        <v>620</v>
      </c>
      <c r="Y110" s="1" t="s">
        <v>565</v>
      </c>
      <c r="Z110" s="63">
        <v>91.51</v>
      </c>
      <c r="AA110" s="1" t="s">
        <v>397</v>
      </c>
      <c r="AC110" s="1" t="s">
        <v>702</v>
      </c>
      <c r="AD110" s="1" t="s">
        <v>18</v>
      </c>
      <c r="AF110" s="1">
        <f>Table1[[#This Row],[C:C]]*1.1</f>
        <v>0</v>
      </c>
      <c r="AI110" s="1">
        <f>IFERROR(VLOOKUP(X110,#REF!,8,FALSE),0)</f>
        <v>0</v>
      </c>
      <c r="AN110" s="1" t="str">
        <f>PROD_ID_TABLE[[#This Row],[PROD ID]]</f>
        <v xml:space="preserve"> G-201 BINSPAL5 G</v>
      </c>
      <c r="AO110" s="1" t="str">
        <f t="shared" si="15"/>
        <v>CRYLAFLOR G-201 BINDERSPECIAL5 GAL KIT</v>
      </c>
      <c r="AP110" s="3">
        <f t="shared" si="16"/>
        <v>341.92</v>
      </c>
      <c r="AQ110" s="1" t="str">
        <f t="shared" si="17"/>
        <v>5 GAL KIT</v>
      </c>
      <c r="AS110" s="1" t="str">
        <f t="shared" si="18"/>
        <v>SPECIAL</v>
      </c>
      <c r="AT110" s="1" t="s">
        <v>371</v>
      </c>
      <c r="AU110" s="1" t="s">
        <v>1075</v>
      </c>
      <c r="AV110" s="1" t="str">
        <f t="shared" si="27"/>
        <v>CRYLAFLOR T-301 TOPCOAT50 GAL KIT</v>
      </c>
      <c r="AW110" s="134">
        <v>3206.15</v>
      </c>
      <c r="AY110" t="str">
        <f t="shared" si="20"/>
        <v xml:space="preserve"> G-201 BINSPAL5 G</v>
      </c>
      <c r="AZ110" s="1" t="str">
        <f t="shared" si="21"/>
        <v xml:space="preserve"> G-201 BIN</v>
      </c>
      <c r="BA110" t="str">
        <f t="shared" si="22"/>
        <v>SPAL</v>
      </c>
      <c r="BB110" s="1" t="str">
        <f t="shared" si="13"/>
        <v>5 G</v>
      </c>
      <c r="BC110" s="1">
        <f t="shared" si="14"/>
        <v>341.92</v>
      </c>
      <c r="BD110" s="1" t="s">
        <v>370</v>
      </c>
      <c r="BE110" s="14" t="s">
        <v>404</v>
      </c>
      <c r="BF110" s="55" t="s">
        <v>1072</v>
      </c>
      <c r="BG110" s="14" t="s">
        <v>309</v>
      </c>
      <c r="BJ110"/>
      <c r="BK110"/>
      <c r="BM110"/>
    </row>
    <row r="111" spans="1:65" x14ac:dyDescent="0.35">
      <c r="A111" s="1" t="s">
        <v>975</v>
      </c>
      <c r="B111" s="1" t="s">
        <v>920</v>
      </c>
      <c r="C111" s="1" t="s">
        <v>920</v>
      </c>
      <c r="X111" s="66" t="s">
        <v>619</v>
      </c>
      <c r="Y111" s="1" t="s">
        <v>565</v>
      </c>
      <c r="Z111" s="63">
        <v>91.51</v>
      </c>
      <c r="AA111" s="1" t="s">
        <v>397</v>
      </c>
      <c r="AC111" s="1" t="s">
        <v>698</v>
      </c>
      <c r="AD111" s="1" t="s">
        <v>18</v>
      </c>
      <c r="AF111" s="1">
        <f>Table1[[#This Row],[C:C]]*1.1</f>
        <v>0</v>
      </c>
      <c r="AI111" s="1">
        <f>IFERROR(VLOOKUP(X111,#REF!,8,FALSE),0)</f>
        <v>0</v>
      </c>
      <c r="AN111" s="1" t="str">
        <f>PROD_ID_TABLE[[#This Row],[PROD ID]]</f>
        <v xml:space="preserve"> G-201 BINTIED5 G</v>
      </c>
      <c r="AO111" s="1" t="str">
        <f t="shared" si="15"/>
        <v>CRYLAFLOR G-201 BINDERTILE RED5 GAL KIT</v>
      </c>
      <c r="AP111" s="3">
        <f t="shared" si="16"/>
        <v>341.92</v>
      </c>
      <c r="AQ111" s="1" t="str">
        <f t="shared" si="17"/>
        <v>5 GAL KIT</v>
      </c>
      <c r="AS111" s="1" t="str">
        <f t="shared" si="18"/>
        <v>TILE RED</v>
      </c>
      <c r="AT111" s="1" t="s">
        <v>372</v>
      </c>
      <c r="AU111" s="1" t="s">
        <v>1075</v>
      </c>
      <c r="AV111" s="1" t="str">
        <f t="shared" si="27"/>
        <v>CRYLAFLOR T-303 FLEXIBLE TOPCOAT50 GAL KIT</v>
      </c>
      <c r="AW111" s="134">
        <v>3999.45</v>
      </c>
      <c r="AY111" t="str">
        <f t="shared" si="20"/>
        <v xml:space="preserve"> G-201 BINTIED5 G</v>
      </c>
      <c r="AZ111" s="1" t="str">
        <f t="shared" si="21"/>
        <v xml:space="preserve"> G-201 BIN</v>
      </c>
      <c r="BA111" t="str">
        <f t="shared" si="22"/>
        <v>TIED</v>
      </c>
      <c r="BB111" s="1" t="str">
        <f t="shared" si="13"/>
        <v>5 G</v>
      </c>
      <c r="BC111" s="1">
        <f t="shared" si="14"/>
        <v>341.92</v>
      </c>
      <c r="BD111" s="1" t="s">
        <v>370</v>
      </c>
      <c r="BE111" s="14" t="s">
        <v>387</v>
      </c>
      <c r="BF111" s="55" t="s">
        <v>1072</v>
      </c>
      <c r="BG111" s="14" t="s">
        <v>309</v>
      </c>
      <c r="BJ111"/>
      <c r="BK111"/>
      <c r="BM111"/>
    </row>
    <row r="112" spans="1:65" x14ac:dyDescent="0.35">
      <c r="A112" s="1" t="s">
        <v>976</v>
      </c>
      <c r="X112" s="66" t="s">
        <v>618</v>
      </c>
      <c r="Y112" s="1" t="s">
        <v>565</v>
      </c>
      <c r="Z112" s="63">
        <v>91.51</v>
      </c>
      <c r="AA112" s="1" t="s">
        <v>397</v>
      </c>
      <c r="AC112" s="1" t="s">
        <v>399</v>
      </c>
      <c r="AD112" s="1" t="s">
        <v>18</v>
      </c>
      <c r="AF112" s="1">
        <f>Table1[[#This Row],[C:C]]*1.1</f>
        <v>0</v>
      </c>
      <c r="AI112" s="1">
        <f>IFERROR(VLOOKUP(X112,#REF!,8,FALSE),0)</f>
        <v>0</v>
      </c>
      <c r="AN112" s="1" t="str">
        <f>PROD_ID_TABLE[[#This Row],[PROD ID]]</f>
        <v xml:space="preserve"> T-301 TOPCLAR5 G</v>
      </c>
      <c r="AO112" s="1" t="str">
        <f t="shared" si="15"/>
        <v>CRYLAFLOR T-301 TOPCOATCLEAR5 GAL KIT</v>
      </c>
      <c r="AP112" s="3">
        <f t="shared" si="16"/>
        <v>329.56</v>
      </c>
      <c r="AQ112" s="1" t="str">
        <f t="shared" si="17"/>
        <v>5 GAL KIT</v>
      </c>
      <c r="AS112" s="1" t="str">
        <f t="shared" si="18"/>
        <v>CLEAR</v>
      </c>
      <c r="AT112" s="1" t="s">
        <v>373</v>
      </c>
      <c r="AU112" s="1" t="s">
        <v>1072</v>
      </c>
      <c r="AV112" s="1" t="str">
        <f t="shared" si="27"/>
        <v>CRYLAFLOR COVE5 GAL KIT</v>
      </c>
      <c r="AW112" s="134">
        <v>477.86</v>
      </c>
      <c r="AY112" t="str">
        <f t="shared" si="20"/>
        <v xml:space="preserve"> T-301 TOPCLAR5 G</v>
      </c>
      <c r="AZ112" s="1" t="str">
        <f t="shared" si="21"/>
        <v xml:space="preserve"> T-301 TOP</v>
      </c>
      <c r="BA112" t="str">
        <f t="shared" si="22"/>
        <v>CLAR</v>
      </c>
      <c r="BB112" s="1" t="str">
        <f t="shared" si="13"/>
        <v>5 G</v>
      </c>
      <c r="BC112" s="1">
        <f t="shared" si="14"/>
        <v>329.56</v>
      </c>
      <c r="BD112" s="62" t="s">
        <v>371</v>
      </c>
      <c r="BE112" s="55" t="s">
        <v>315</v>
      </c>
      <c r="BF112" s="55" t="s">
        <v>1072</v>
      </c>
      <c r="BG112" s="55" t="s">
        <v>309</v>
      </c>
      <c r="BJ112"/>
      <c r="BK112"/>
      <c r="BM112"/>
    </row>
    <row r="113" spans="1:65" x14ac:dyDescent="0.35">
      <c r="A113" s="1" t="s">
        <v>977</v>
      </c>
      <c r="B113" s="1" t="s">
        <v>920</v>
      </c>
      <c r="C113" s="1" t="s">
        <v>920</v>
      </c>
      <c r="X113" s="66" t="s">
        <v>616</v>
      </c>
      <c r="Y113" s="1" t="s">
        <v>563</v>
      </c>
      <c r="Z113" s="63">
        <v>156.69999999999999</v>
      </c>
      <c r="AA113" s="1" t="s">
        <v>397</v>
      </c>
      <c r="AC113" s="1" t="s">
        <v>694</v>
      </c>
      <c r="AD113" s="1" t="s">
        <v>18</v>
      </c>
      <c r="AF113" s="1">
        <f>Table1[[#This Row],[C:C]]*1.1</f>
        <v>0</v>
      </c>
      <c r="AI113" s="1">
        <f>IFERROR(VLOOKUP(X113,#REF!,8,FALSE),0)</f>
        <v>0</v>
      </c>
      <c r="AN113" s="1" t="str">
        <f>PROD_ID_TABLE[[#This Row],[PROD ID]]</f>
        <v xml:space="preserve"> T-301 TOPBEGE5 G</v>
      </c>
      <c r="AO113" s="1" t="str">
        <f t="shared" si="15"/>
        <v>CRYLAFLOR T-301 TOPCOATBEIGE5 GAL KIT</v>
      </c>
      <c r="AP113" s="3">
        <f t="shared" si="16"/>
        <v>329.56</v>
      </c>
      <c r="AQ113" s="1" t="str">
        <f t="shared" si="17"/>
        <v>5 GAL KIT</v>
      </c>
      <c r="AS113" s="1" t="str">
        <f t="shared" si="18"/>
        <v>BEIGE</v>
      </c>
      <c r="AT113" s="1" t="s">
        <v>374</v>
      </c>
      <c r="AU113" s="1" t="s">
        <v>1076</v>
      </c>
      <c r="AV113" s="1" t="str">
        <f t="shared" si="27"/>
        <v>CRYLAFLOR CURE (BPO)55 LB KIT</v>
      </c>
      <c r="AW113" s="134">
        <v>712.09</v>
      </c>
      <c r="AY113" t="str">
        <f t="shared" si="20"/>
        <v xml:space="preserve"> T-301 TOPBEGE5 G</v>
      </c>
      <c r="AZ113" s="1" t="str">
        <f t="shared" si="21"/>
        <v xml:space="preserve"> T-301 TOP</v>
      </c>
      <c r="BA113" t="str">
        <f t="shared" si="22"/>
        <v>BEGE</v>
      </c>
      <c r="BB113" s="1" t="str">
        <f t="shared" si="13"/>
        <v>5 G</v>
      </c>
      <c r="BC113" s="1">
        <f t="shared" si="14"/>
        <v>329.56</v>
      </c>
      <c r="BD113" s="62" t="s">
        <v>371</v>
      </c>
      <c r="BE113" s="55" t="s">
        <v>399</v>
      </c>
      <c r="BF113" s="55" t="s">
        <v>1072</v>
      </c>
      <c r="BG113" s="55" t="s">
        <v>309</v>
      </c>
      <c r="BJ113"/>
      <c r="BK113"/>
      <c r="BM113"/>
    </row>
    <row r="114" spans="1:65" x14ac:dyDescent="0.35">
      <c r="X114" s="66" t="s">
        <v>615</v>
      </c>
      <c r="Y114" s="1" t="s">
        <v>563</v>
      </c>
      <c r="Z114" s="63">
        <v>156.69999999999999</v>
      </c>
      <c r="AA114" s="1" t="s">
        <v>397</v>
      </c>
      <c r="AC114" s="1" t="s">
        <v>703</v>
      </c>
      <c r="AD114" s="1" t="s">
        <v>18</v>
      </c>
      <c r="AF114" s="1">
        <f>Table1[[#This Row],[C:C]]*1.1</f>
        <v>0</v>
      </c>
      <c r="AI114" s="1">
        <f>IFERROR(VLOOKUP(X114,#REF!,8,FALSE),0)</f>
        <v>0</v>
      </c>
      <c r="AN114" s="1" t="str">
        <f>PROD_ID_TABLE[[#This Row],[PROD ID]]</f>
        <v xml:space="preserve"> T-301 TOPBROW5 G</v>
      </c>
      <c r="AO114" s="1" t="str">
        <f t="shared" si="15"/>
        <v>CRYLAFLOR T-301 TOPCOATBRIGHT YELLOW5 GAL KIT</v>
      </c>
      <c r="AP114" s="3">
        <f t="shared" si="16"/>
        <v>329.56</v>
      </c>
      <c r="AQ114" s="1" t="str">
        <f t="shared" si="17"/>
        <v>5 GAL KIT</v>
      </c>
      <c r="AS114" s="1" t="str">
        <f t="shared" si="18"/>
        <v>BRIGHT YELLOW</v>
      </c>
      <c r="AT114" s="1" t="s">
        <v>1077</v>
      </c>
      <c r="AU114" s="1" t="s">
        <v>408</v>
      </c>
      <c r="AV114" s="1" t="str">
        <f t="shared" si="27"/>
        <v>RESUFLOR 3760 RCE RAPID CURE EPOXY15 GAL</v>
      </c>
      <c r="AW114" s="134">
        <v>962.2</v>
      </c>
      <c r="AY114" t="str">
        <f t="shared" si="20"/>
        <v xml:space="preserve"> T-301 TOPBROW5 G</v>
      </c>
      <c r="AZ114" s="1" t="str">
        <f t="shared" si="21"/>
        <v xml:space="preserve"> T-301 TOP</v>
      </c>
      <c r="BA114" t="str">
        <f t="shared" si="22"/>
        <v>BROW</v>
      </c>
      <c r="BB114" s="1" t="str">
        <f t="shared" si="13"/>
        <v>5 G</v>
      </c>
      <c r="BC114" s="1">
        <f t="shared" si="14"/>
        <v>329.56</v>
      </c>
      <c r="BD114" s="62" t="s">
        <v>371</v>
      </c>
      <c r="BE114" s="55" t="s">
        <v>400</v>
      </c>
      <c r="BF114" s="55" t="s">
        <v>1072</v>
      </c>
      <c r="BG114" s="55" t="s">
        <v>309</v>
      </c>
      <c r="BJ114" s="1" t="str" cm="1">
        <f t="array" ref="BJ114">_xlfn.SWITCH(B70,P!$BL$17,P!$BE$91:$BE$98,P!$BL$18,P!$BE$99:$BE$111,P!$BL$20,P!$BE$112:$BE$125,P!$BL$19,P!$BE$112:$BE$125,P!$BL$21,P!$BE$140:$BE$145,P!$BL$22,P!$BE$140:$BE$145,P!$BL$23,P!$BE$147:$BE$152,P!$BE$90)</f>
        <v>N/A</v>
      </c>
      <c r="BK114"/>
      <c r="BM114"/>
    </row>
    <row r="115" spans="1:65" x14ac:dyDescent="0.35">
      <c r="X115" s="66" t="s">
        <v>614</v>
      </c>
      <c r="Y115" s="1" t="s">
        <v>563</v>
      </c>
      <c r="Z115" s="63">
        <v>156.69999999999999</v>
      </c>
      <c r="AA115" s="1" t="s">
        <v>397</v>
      </c>
      <c r="AC115" s="1" t="s">
        <v>702</v>
      </c>
      <c r="AD115" s="1" t="s">
        <v>18</v>
      </c>
      <c r="AF115" s="1">
        <f>Table1[[#This Row],[C:C]]*1.1</f>
        <v>0</v>
      </c>
      <c r="AI115" s="1">
        <f>IFERROR(VLOOKUP(X115,#REF!,8,FALSE),0)</f>
        <v>0</v>
      </c>
      <c r="AN115" s="1" t="str">
        <f>PROD_ID_TABLE[[#This Row],[PROD ID]]</f>
        <v xml:space="preserve"> T-301 TOPCOAY5 G</v>
      </c>
      <c r="AO115" s="1" t="str">
        <f t="shared" si="15"/>
        <v>CRYLAFLOR T-301 TOPCOATCONCRETE GRAY5 GAL KIT</v>
      </c>
      <c r="AP115" s="3">
        <f t="shared" si="16"/>
        <v>329.56</v>
      </c>
      <c r="AQ115" s="1" t="str">
        <f t="shared" si="17"/>
        <v>5 GAL KIT</v>
      </c>
      <c r="AS115" s="1" t="str">
        <f t="shared" si="18"/>
        <v>CONCRETE GRAY</v>
      </c>
      <c r="AT115" s="1" t="s">
        <v>1077</v>
      </c>
      <c r="AU115" s="1" t="s">
        <v>1040</v>
      </c>
      <c r="AV115" s="1" t="str">
        <f t="shared" si="27"/>
        <v>RESUFLOR 3760 RCE RAPID CURE EPOXY165 GAL</v>
      </c>
      <c r="AW115" s="134">
        <v>10260</v>
      </c>
      <c r="AY115" t="str">
        <f t="shared" si="20"/>
        <v xml:space="preserve"> T-301 TOPCOAY5 G</v>
      </c>
      <c r="AZ115" s="1" t="str">
        <f t="shared" si="21"/>
        <v xml:space="preserve"> T-301 TOP</v>
      </c>
      <c r="BA115" t="str">
        <f t="shared" si="22"/>
        <v>COAY</v>
      </c>
      <c r="BB115" s="1" t="str">
        <f t="shared" si="13"/>
        <v>5 G</v>
      </c>
      <c r="BC115" s="1">
        <f t="shared" si="14"/>
        <v>329.56</v>
      </c>
      <c r="BD115" s="62" t="s">
        <v>371</v>
      </c>
      <c r="BE115" s="55" t="s">
        <v>393</v>
      </c>
      <c r="BF115" s="55" t="s">
        <v>1072</v>
      </c>
      <c r="BG115" s="55" t="s">
        <v>309</v>
      </c>
      <c r="BK115"/>
      <c r="BM115"/>
    </row>
    <row r="116" spans="1:65" x14ac:dyDescent="0.35">
      <c r="X116" s="66" t="s">
        <v>612</v>
      </c>
      <c r="Y116" s="1" t="s">
        <v>563</v>
      </c>
      <c r="Z116" s="63">
        <v>156.69999999999999</v>
      </c>
      <c r="AA116" s="1" t="s">
        <v>397</v>
      </c>
      <c r="AC116" s="1" t="s">
        <v>399</v>
      </c>
      <c r="AD116" s="1" t="s">
        <v>18</v>
      </c>
      <c r="AF116" s="1">
        <f>Table1[[#This Row],[C:C]]*1.1</f>
        <v>0</v>
      </c>
      <c r="AI116" s="1">
        <f>IFERROR(VLOOKUP(X116,#REF!,8,FALSE),0)</f>
        <v>0</v>
      </c>
      <c r="AN116" s="1" t="str">
        <f>PROD_ID_TABLE[[#This Row],[PROD ID]]</f>
        <v xml:space="preserve"> T-301 TOPCHAY5 G</v>
      </c>
      <c r="AO116" s="1" t="str">
        <f t="shared" si="15"/>
        <v>CRYLAFLOR T-301 TOPCOATCHARCOAL GRAY5 GAL KIT</v>
      </c>
      <c r="AP116" s="3">
        <f t="shared" si="16"/>
        <v>329.56</v>
      </c>
      <c r="AQ116" s="1" t="str">
        <f t="shared" si="17"/>
        <v>5 GAL KIT</v>
      </c>
      <c r="AS116" s="1" t="str">
        <f t="shared" si="18"/>
        <v>CHARCOAL GRAY</v>
      </c>
      <c r="AT116" s="1" t="s">
        <v>346</v>
      </c>
      <c r="AU116" s="1" t="s">
        <v>1041</v>
      </c>
      <c r="AV116" s="1" t="str">
        <f t="shared" si="27"/>
        <v>RESUFLOR 3746 HIGH PERFORMANCE EPOXY159 GAL</v>
      </c>
      <c r="AW116" s="134">
        <v>6920.76</v>
      </c>
      <c r="AY116" t="str">
        <f t="shared" si="20"/>
        <v xml:space="preserve"> T-301 TOPCHAY5 G</v>
      </c>
      <c r="AZ116" s="1" t="str">
        <f t="shared" si="21"/>
        <v xml:space="preserve"> T-301 TOP</v>
      </c>
      <c r="BA116" t="str">
        <f t="shared" si="22"/>
        <v>CHAY</v>
      </c>
      <c r="BB116" s="1" t="str">
        <f t="shared" si="13"/>
        <v>5 G</v>
      </c>
      <c r="BC116" s="1">
        <f t="shared" si="14"/>
        <v>329.56</v>
      </c>
      <c r="BD116" s="62" t="s">
        <v>371</v>
      </c>
      <c r="BE116" s="55" t="s">
        <v>401</v>
      </c>
      <c r="BF116" s="55" t="s">
        <v>1072</v>
      </c>
      <c r="BG116" s="55" t="s">
        <v>309</v>
      </c>
      <c r="BK116"/>
      <c r="BM116"/>
    </row>
    <row r="117" spans="1:65" x14ac:dyDescent="0.35">
      <c r="X117" s="66" t="s">
        <v>613</v>
      </c>
      <c r="Y117" s="1" t="s">
        <v>563</v>
      </c>
      <c r="Z117" s="63">
        <v>156.69999999999999</v>
      </c>
      <c r="AA117" s="1" t="s">
        <v>397</v>
      </c>
      <c r="AC117" s="1" t="s">
        <v>698</v>
      </c>
      <c r="AD117" s="1" t="s">
        <v>18</v>
      </c>
      <c r="AF117" s="1">
        <f>Table1[[#This Row],[C:C]]*1.1</f>
        <v>0</v>
      </c>
      <c r="AI117" s="1">
        <f>IFERROR(VLOOKUP(X117,#REF!,8,FALSE),0)</f>
        <v>0</v>
      </c>
      <c r="AN117" s="1" t="str">
        <f>PROD_ID_TABLE[[#This Row],[PROD ID]]</f>
        <v xml:space="preserve"> T-301 TOPLIAY5 G</v>
      </c>
      <c r="AO117" s="1" t="str">
        <f t="shared" si="15"/>
        <v>CRYLAFLOR T-301 TOPCOATLIGHT GRAY5 GAL KIT</v>
      </c>
      <c r="AP117" s="3">
        <f t="shared" si="16"/>
        <v>329.56</v>
      </c>
      <c r="AQ117" s="1" t="str">
        <f t="shared" si="17"/>
        <v>5 GAL KIT</v>
      </c>
      <c r="AS117" s="1" t="str">
        <f t="shared" si="18"/>
        <v>LIGHT GRAY</v>
      </c>
      <c r="AT117"/>
      <c r="AU117"/>
      <c r="AV117"/>
      <c r="AY117" t="str">
        <f t="shared" si="20"/>
        <v xml:space="preserve"> T-301 TOPLIAY5 G</v>
      </c>
      <c r="AZ117" s="1" t="str">
        <f t="shared" si="21"/>
        <v xml:space="preserve"> T-301 TOP</v>
      </c>
      <c r="BA117" t="str">
        <f t="shared" si="22"/>
        <v>LIAY</v>
      </c>
      <c r="BB117" s="1" t="str">
        <f t="shared" si="13"/>
        <v>5 G</v>
      </c>
      <c r="BC117" s="1">
        <f t="shared" si="14"/>
        <v>329.56</v>
      </c>
      <c r="BD117" s="62" t="s">
        <v>371</v>
      </c>
      <c r="BE117" s="55" t="s">
        <v>384</v>
      </c>
      <c r="BF117" s="55" t="s">
        <v>1072</v>
      </c>
      <c r="BG117" s="55" t="s">
        <v>309</v>
      </c>
      <c r="BK117"/>
      <c r="BM117"/>
    </row>
    <row r="118" spans="1:65" x14ac:dyDescent="0.35">
      <c r="X118" s="66" t="s">
        <v>603</v>
      </c>
      <c r="Y118" s="1" t="s">
        <v>558</v>
      </c>
      <c r="Z118" s="63">
        <v>830.73</v>
      </c>
      <c r="AA118" s="1" t="s">
        <v>548</v>
      </c>
      <c r="AC118" s="1" t="s">
        <v>429</v>
      </c>
      <c r="AD118" s="1" t="s">
        <v>18</v>
      </c>
      <c r="AF118" s="1">
        <f>Table1[[#This Row],[C:C]]*1.1</f>
        <v>0</v>
      </c>
      <c r="AI118" s="1">
        <f>IFERROR(VLOOKUP(X118,#REF!,8,FALSE),0)</f>
        <v>0</v>
      </c>
      <c r="AN118" s="1" t="str">
        <f>PROD_ID_TABLE[[#This Row],[PROD ID]]</f>
        <v xml:space="preserve"> T-301 TOPMEAY5 G</v>
      </c>
      <c r="AO118" s="1" t="str">
        <f t="shared" si="15"/>
        <v>CRYLAFLOR T-301 TOPCOATMED. GRAY5 GAL KIT</v>
      </c>
      <c r="AP118" s="3">
        <f t="shared" si="16"/>
        <v>329.56</v>
      </c>
      <c r="AQ118" s="1" t="str">
        <f t="shared" si="17"/>
        <v>5 GAL KIT</v>
      </c>
      <c r="AS118" s="1" t="str">
        <f t="shared" si="18"/>
        <v>MED. GRAY</v>
      </c>
      <c r="AT118"/>
      <c r="AU118"/>
      <c r="AV118"/>
      <c r="AY118" t="str">
        <f t="shared" si="20"/>
        <v xml:space="preserve"> T-301 TOPMEAY5 G</v>
      </c>
      <c r="AZ118" s="1" t="str">
        <f t="shared" si="21"/>
        <v xml:space="preserve"> T-301 TOP</v>
      </c>
      <c r="BA118" t="str">
        <f t="shared" si="22"/>
        <v>MEAY</v>
      </c>
      <c r="BB118" s="1" t="str">
        <f t="shared" si="13"/>
        <v>5 G</v>
      </c>
      <c r="BC118" s="1">
        <f t="shared" si="14"/>
        <v>329.56</v>
      </c>
      <c r="BD118" s="62" t="s">
        <v>371</v>
      </c>
      <c r="BE118" s="55" t="s">
        <v>402</v>
      </c>
      <c r="BF118" s="55" t="s">
        <v>1072</v>
      </c>
      <c r="BG118" s="55" t="s">
        <v>309</v>
      </c>
      <c r="BI118" s="1" t="s">
        <v>404</v>
      </c>
      <c r="BK118"/>
      <c r="BM118"/>
    </row>
    <row r="119" spans="1:65" x14ac:dyDescent="0.35">
      <c r="X119" s="66" t="s">
        <v>594</v>
      </c>
      <c r="Y119" s="1" t="s">
        <v>555</v>
      </c>
      <c r="Z119" s="63">
        <v>356.95</v>
      </c>
      <c r="AA119" s="1" t="s">
        <v>528</v>
      </c>
      <c r="AC119" s="1" t="s">
        <v>321</v>
      </c>
      <c r="AD119" s="1" t="s">
        <v>18</v>
      </c>
      <c r="AF119" s="1">
        <f>Table1[[#This Row],[C:C]]*1.1</f>
        <v>0</v>
      </c>
      <c r="AI119" s="1">
        <f>IFERROR(VLOOKUP(X119,#REF!,8,FALSE),0)</f>
        <v>0</v>
      </c>
      <c r="AN119" s="1" t="str">
        <f>PROD_ID_TABLE[[#This Row],[PROD ID]]</f>
        <v xml:space="preserve"> T-301 TOPSLAY5 G</v>
      </c>
      <c r="AO119" s="1" t="str">
        <f t="shared" si="15"/>
        <v>CRYLAFLOR T-301 TOPCOATSLATE GRAY5 GAL KIT</v>
      </c>
      <c r="AP119" s="3">
        <f t="shared" si="16"/>
        <v>329.56</v>
      </c>
      <c r="AQ119" s="1" t="str">
        <f t="shared" si="17"/>
        <v>5 GAL KIT</v>
      </c>
      <c r="AS119" s="1" t="str">
        <f t="shared" si="18"/>
        <v>SLATE GRAY</v>
      </c>
      <c r="AT119"/>
      <c r="AU119"/>
      <c r="AV119"/>
      <c r="AY119" t="str">
        <f t="shared" si="20"/>
        <v xml:space="preserve"> T-301 TOPSLAY5 G</v>
      </c>
      <c r="AZ119" s="1" t="str">
        <f t="shared" si="21"/>
        <v xml:space="preserve"> T-301 TOP</v>
      </c>
      <c r="BA119" t="str">
        <f t="shared" si="22"/>
        <v>SLAY</v>
      </c>
      <c r="BB119" s="1" t="str">
        <f t="shared" si="13"/>
        <v>5 G</v>
      </c>
      <c r="BC119" s="1">
        <f t="shared" si="14"/>
        <v>329.56</v>
      </c>
      <c r="BD119" s="62" t="s">
        <v>371</v>
      </c>
      <c r="BE119" s="55" t="s">
        <v>403</v>
      </c>
      <c r="BF119" s="55" t="s">
        <v>1072</v>
      </c>
      <c r="BG119" s="55" t="s">
        <v>309</v>
      </c>
      <c r="BK119"/>
      <c r="BM119"/>
    </row>
    <row r="120" spans="1:65" x14ac:dyDescent="0.35">
      <c r="X120" s="66" t="s">
        <v>596</v>
      </c>
      <c r="Y120" s="1" t="s">
        <v>555</v>
      </c>
      <c r="Z120" s="63">
        <v>356.95</v>
      </c>
      <c r="AA120" s="1" t="s">
        <v>528</v>
      </c>
      <c r="AC120" s="1" t="s">
        <v>687</v>
      </c>
      <c r="AD120" s="1" t="s">
        <v>18</v>
      </c>
      <c r="AF120" s="1">
        <f>Table1[[#This Row],[C:C]]*1.1</f>
        <v>0</v>
      </c>
      <c r="AI120" s="1">
        <f>IFERROR(VLOOKUP(X120,#REF!,8,FALSE),0)</f>
        <v>0</v>
      </c>
      <c r="AN120" s="1" t="str">
        <f>PROD_ID_TABLE[[#This Row],[PROD ID]]</f>
        <v xml:space="preserve"> T-301 TOPBLCK5 G</v>
      </c>
      <c r="AO120" s="1" t="str">
        <f t="shared" si="15"/>
        <v>CRYLAFLOR T-301 TOPCOATBLACK5 GAL KIT</v>
      </c>
      <c r="AP120" s="3">
        <f t="shared" si="16"/>
        <v>329.56</v>
      </c>
      <c r="AQ120" s="1" t="str">
        <f t="shared" si="17"/>
        <v>5 GAL KIT</v>
      </c>
      <c r="AS120" s="1" t="str">
        <f t="shared" si="18"/>
        <v>BLACK</v>
      </c>
      <c r="AT120"/>
      <c r="AU120"/>
      <c r="AV120"/>
      <c r="AY120" t="str">
        <f t="shared" si="20"/>
        <v xml:space="preserve"> T-301 TOPBLCK5 G</v>
      </c>
      <c r="AZ120" s="1" t="str">
        <f t="shared" si="21"/>
        <v xml:space="preserve"> T-301 TOP</v>
      </c>
      <c r="BA120" t="str">
        <f t="shared" si="22"/>
        <v>BLCK</v>
      </c>
      <c r="BB120" s="1" t="str">
        <f t="shared" si="13"/>
        <v>5 G</v>
      </c>
      <c r="BC120" s="1">
        <f t="shared" si="14"/>
        <v>329.56</v>
      </c>
      <c r="BD120" s="62" t="s">
        <v>371</v>
      </c>
      <c r="BE120" s="55" t="s">
        <v>323</v>
      </c>
      <c r="BF120" s="55" t="s">
        <v>1072</v>
      </c>
      <c r="BG120" s="55" t="s">
        <v>309</v>
      </c>
      <c r="BJ120"/>
      <c r="BK120"/>
      <c r="BM120"/>
    </row>
    <row r="121" spans="1:65" x14ac:dyDescent="0.35">
      <c r="X121" s="66" t="s">
        <v>597</v>
      </c>
      <c r="Y121" s="1" t="s">
        <v>555</v>
      </c>
      <c r="Z121" s="63">
        <v>356.95</v>
      </c>
      <c r="AA121" s="1" t="s">
        <v>528</v>
      </c>
      <c r="AC121" s="1" t="s">
        <v>688</v>
      </c>
      <c r="AD121" s="1" t="s">
        <v>18</v>
      </c>
      <c r="AF121" s="1">
        <f>Table1[[#This Row],[C:C]]*1.1</f>
        <v>0</v>
      </c>
      <c r="AI121" s="1">
        <f>IFERROR(VLOOKUP(X121,#REF!,8,FALSE),0)</f>
        <v>0</v>
      </c>
      <c r="AN121" s="1" t="str">
        <f>PROD_ID_TABLE[[#This Row],[PROD ID]]</f>
        <v xml:space="preserve"> T-301 TOPGREN5 G</v>
      </c>
      <c r="AO121" s="1" t="str">
        <f t="shared" si="15"/>
        <v>CRYLAFLOR T-301 TOPCOATGREEN5 GAL KIT</v>
      </c>
      <c r="AP121" s="3">
        <f t="shared" si="16"/>
        <v>329.56</v>
      </c>
      <c r="AQ121" s="1" t="str">
        <f t="shared" si="17"/>
        <v>5 GAL KIT</v>
      </c>
      <c r="AS121" s="1" t="str">
        <f t="shared" si="18"/>
        <v>GREEN</v>
      </c>
      <c r="AT121"/>
      <c r="AU121"/>
      <c r="AV121"/>
      <c r="AY121" t="str">
        <f t="shared" si="20"/>
        <v xml:space="preserve"> T-301 TOPGREN5 G</v>
      </c>
      <c r="AZ121" s="1" t="str">
        <f t="shared" si="21"/>
        <v xml:space="preserve"> T-301 TOP</v>
      </c>
      <c r="BA121" t="str">
        <f t="shared" si="22"/>
        <v>GREN</v>
      </c>
      <c r="BB121" s="1" t="str">
        <f t="shared" si="13"/>
        <v>5 G</v>
      </c>
      <c r="BC121" s="1">
        <f t="shared" si="14"/>
        <v>329.56</v>
      </c>
      <c r="BD121" s="62" t="s">
        <v>371</v>
      </c>
      <c r="BE121" s="55" t="s">
        <v>395</v>
      </c>
      <c r="BF121" s="55" t="s">
        <v>1072</v>
      </c>
      <c r="BG121" s="55" t="s">
        <v>309</v>
      </c>
      <c r="BJ121"/>
      <c r="BK121"/>
      <c r="BM121"/>
    </row>
    <row r="122" spans="1:65" x14ac:dyDescent="0.35">
      <c r="X122" s="66" t="s">
        <v>598</v>
      </c>
      <c r="Y122" s="1" t="s">
        <v>555</v>
      </c>
      <c r="Z122" s="63">
        <v>356.95</v>
      </c>
      <c r="AA122" s="1" t="s">
        <v>528</v>
      </c>
      <c r="AC122" s="1" t="s">
        <v>689</v>
      </c>
      <c r="AD122" s="1" t="s">
        <v>18</v>
      </c>
      <c r="AF122" s="1">
        <f>Table1[[#This Row],[C:C]]*1.1</f>
        <v>0</v>
      </c>
      <c r="AI122" s="1">
        <f>IFERROR(VLOOKUP(X122,#REF!,8,FALSE),0)</f>
        <v>0</v>
      </c>
      <c r="AN122" s="1" t="str">
        <f>PROD_ID_TABLE[[#This Row],[PROD ID]]</f>
        <v xml:space="preserve"> T-301 TOPWHTE5 G</v>
      </c>
      <c r="AO122" s="1" t="str">
        <f t="shared" si="15"/>
        <v>CRYLAFLOR T-301 TOPCOATWHITE5 GAL KIT</v>
      </c>
      <c r="AP122" s="3">
        <f t="shared" si="16"/>
        <v>329.56</v>
      </c>
      <c r="AQ122" s="1" t="str">
        <f t="shared" si="17"/>
        <v>5 GAL KIT</v>
      </c>
      <c r="AS122" s="1" t="str">
        <f t="shared" si="18"/>
        <v>WHITE</v>
      </c>
      <c r="AT122"/>
      <c r="AU122"/>
      <c r="AV122"/>
      <c r="AY122" t="str">
        <f t="shared" si="20"/>
        <v xml:space="preserve"> T-301 TOPWHTE5 G</v>
      </c>
      <c r="AZ122" s="1" t="str">
        <f t="shared" si="21"/>
        <v xml:space="preserve"> T-301 TOP</v>
      </c>
      <c r="BA122" t="str">
        <f t="shared" si="22"/>
        <v>WHTE</v>
      </c>
      <c r="BB122" s="1" t="str">
        <f t="shared" si="13"/>
        <v>5 G</v>
      </c>
      <c r="BC122" s="1">
        <f t="shared" si="14"/>
        <v>329.56</v>
      </c>
      <c r="BD122" s="62" t="s">
        <v>371</v>
      </c>
      <c r="BE122" s="55" t="s">
        <v>322</v>
      </c>
      <c r="BF122" s="55" t="s">
        <v>1072</v>
      </c>
      <c r="BG122" s="55" t="s">
        <v>309</v>
      </c>
      <c r="BJ122"/>
      <c r="BK122"/>
      <c r="BM122"/>
    </row>
    <row r="123" spans="1:65" x14ac:dyDescent="0.35">
      <c r="X123" s="66" t="s">
        <v>599</v>
      </c>
      <c r="Y123" s="1" t="s">
        <v>555</v>
      </c>
      <c r="Z123" s="63">
        <v>356.95</v>
      </c>
      <c r="AA123" s="1" t="s">
        <v>528</v>
      </c>
      <c r="AC123" s="1" t="s">
        <v>690</v>
      </c>
      <c r="AD123" s="1" t="s">
        <v>18</v>
      </c>
      <c r="AF123" s="1">
        <f>Table1[[#This Row],[C:C]]*1.1</f>
        <v>0</v>
      </c>
      <c r="AI123" s="1">
        <f>IFERROR(VLOOKUP(X123,#REF!,8,FALSE),0)</f>
        <v>0</v>
      </c>
      <c r="AN123" s="1" t="str">
        <f>PROD_ID_TABLE[[#This Row],[PROD ID]]</f>
        <v xml:space="preserve"> T-301 TOPSPAL5 G</v>
      </c>
      <c r="AO123" s="1" t="str">
        <f t="shared" si="15"/>
        <v>CRYLAFLOR T-301 TOPCOATSPECIAL5 GAL KIT</v>
      </c>
      <c r="AP123" s="3">
        <f t="shared" si="16"/>
        <v>329.56</v>
      </c>
      <c r="AQ123" s="1" t="str">
        <f t="shared" si="17"/>
        <v>5 GAL KIT</v>
      </c>
      <c r="AS123" s="1" t="str">
        <f t="shared" si="18"/>
        <v>SPECIAL</v>
      </c>
      <c r="AT123"/>
      <c r="AU123"/>
      <c r="AV123"/>
      <c r="AY123" t="str">
        <f t="shared" si="20"/>
        <v xml:space="preserve"> T-301 TOPSPAL5 G</v>
      </c>
      <c r="AZ123" s="1" t="str">
        <f t="shared" si="21"/>
        <v xml:space="preserve"> T-301 TOP</v>
      </c>
      <c r="BA123" t="str">
        <f t="shared" si="22"/>
        <v>SPAL</v>
      </c>
      <c r="BB123" s="1" t="str">
        <f t="shared" si="13"/>
        <v>5 G</v>
      </c>
      <c r="BC123" s="1">
        <f t="shared" si="14"/>
        <v>329.56</v>
      </c>
      <c r="BD123" s="62" t="s">
        <v>371</v>
      </c>
      <c r="BE123" s="55" t="s">
        <v>404</v>
      </c>
      <c r="BF123" s="55" t="s">
        <v>1072</v>
      </c>
      <c r="BG123" s="55" t="s">
        <v>309</v>
      </c>
      <c r="BJ123"/>
      <c r="BK123"/>
      <c r="BM123"/>
    </row>
    <row r="124" spans="1:65" x14ac:dyDescent="0.35">
      <c r="X124" s="66" t="s">
        <v>595</v>
      </c>
      <c r="Y124" s="1" t="s">
        <v>555</v>
      </c>
      <c r="Z124" s="63">
        <v>356.95</v>
      </c>
      <c r="AA124" s="1" t="s">
        <v>528</v>
      </c>
      <c r="AC124" s="1" t="s">
        <v>384</v>
      </c>
      <c r="AD124" s="1" t="s">
        <v>18</v>
      </c>
      <c r="AF124" s="1">
        <f>Table1[[#This Row],[C:C]]*1.1</f>
        <v>0</v>
      </c>
      <c r="AI124" s="1">
        <f>IFERROR(VLOOKUP(X124,#REF!,8,FALSE),0)</f>
        <v>0</v>
      </c>
      <c r="AN124" s="1" t="str">
        <f>PROD_ID_TABLE[[#This Row],[PROD ID]]</f>
        <v xml:space="preserve"> T-301 TOPTIED5 G</v>
      </c>
      <c r="AO124" s="1" t="str">
        <f t="shared" si="15"/>
        <v>CRYLAFLOR T-301 TOPCOATTILE RED5 GAL KIT</v>
      </c>
      <c r="AP124" s="3">
        <f t="shared" si="16"/>
        <v>329.56</v>
      </c>
      <c r="AQ124" s="1" t="str">
        <f t="shared" si="17"/>
        <v>5 GAL KIT</v>
      </c>
      <c r="AS124" s="1" t="str">
        <f t="shared" si="18"/>
        <v>TILE RED</v>
      </c>
      <c r="AT124"/>
      <c r="AU124"/>
      <c r="AV124"/>
      <c r="AY124" t="str">
        <f t="shared" si="20"/>
        <v xml:space="preserve"> T-301 TOPTIED5 G</v>
      </c>
      <c r="AZ124" s="1" t="str">
        <f t="shared" si="21"/>
        <v xml:space="preserve"> T-301 TOP</v>
      </c>
      <c r="BA124" t="str">
        <f t="shared" si="22"/>
        <v>TIED</v>
      </c>
      <c r="BB124" s="1" t="str">
        <f t="shared" si="13"/>
        <v>5 G</v>
      </c>
      <c r="BC124" s="1">
        <f t="shared" si="14"/>
        <v>329.56</v>
      </c>
      <c r="BD124" s="62" t="s">
        <v>371</v>
      </c>
      <c r="BE124" s="55" t="s">
        <v>387</v>
      </c>
      <c r="BF124" s="55" t="s">
        <v>1072</v>
      </c>
      <c r="BG124" s="55" t="s">
        <v>309</v>
      </c>
      <c r="BJ124"/>
      <c r="BK124"/>
      <c r="BM124"/>
    </row>
    <row r="125" spans="1:65" x14ac:dyDescent="0.35">
      <c r="X125" s="66" t="s">
        <v>639</v>
      </c>
      <c r="Y125" s="1" t="s">
        <v>567</v>
      </c>
      <c r="Z125" s="63">
        <v>284.63</v>
      </c>
      <c r="AA125" s="1" t="s">
        <v>550</v>
      </c>
      <c r="AC125" s="1" t="s">
        <v>706</v>
      </c>
      <c r="AD125" s="1" t="s">
        <v>18</v>
      </c>
      <c r="AF125" s="1">
        <f>Table1[[#This Row],[C:C]]*1.1</f>
        <v>0</v>
      </c>
      <c r="AI125" s="1">
        <f>IFERROR(VLOOKUP(X125,#REF!,8,FALSE),0)</f>
        <v>0</v>
      </c>
      <c r="AN125" s="1" t="str">
        <f>PROD_ID_TABLE[[#This Row],[PROD ID]]</f>
        <v xml:space="preserve"> T-301 TOPSMUE5 G</v>
      </c>
      <c r="AO125" s="1" t="str">
        <f t="shared" si="15"/>
        <v>CRYLAFLOR T-301 TOPCOATSMOKE BLUE5 GAL KIT</v>
      </c>
      <c r="AP125" s="3">
        <f t="shared" si="16"/>
        <v>329.56</v>
      </c>
      <c r="AQ125" s="1" t="str">
        <f t="shared" si="17"/>
        <v>5 GAL KIT</v>
      </c>
      <c r="AS125" s="1" t="str">
        <f t="shared" si="18"/>
        <v>SMOKE BLUE</v>
      </c>
      <c r="AT125"/>
      <c r="AU125"/>
      <c r="AV125"/>
      <c r="AY125" t="str">
        <f t="shared" si="20"/>
        <v xml:space="preserve"> T-301 TOPSMUE5 G</v>
      </c>
      <c r="AZ125" s="1" t="str">
        <f t="shared" si="21"/>
        <v xml:space="preserve"> T-301 TOP</v>
      </c>
      <c r="BA125" t="str">
        <f t="shared" si="22"/>
        <v>SMUE</v>
      </c>
      <c r="BB125" s="1" t="str">
        <f t="shared" si="13"/>
        <v>5 G</v>
      </c>
      <c r="BC125" s="1">
        <f t="shared" si="14"/>
        <v>329.56</v>
      </c>
      <c r="BD125" s="62" t="s">
        <v>371</v>
      </c>
      <c r="BE125" s="55" t="s">
        <v>405</v>
      </c>
      <c r="BF125" s="55" t="s">
        <v>1072</v>
      </c>
      <c r="BG125" s="55" t="s">
        <v>309</v>
      </c>
      <c r="BJ125"/>
      <c r="BK125"/>
      <c r="BM125"/>
    </row>
    <row r="126" spans="1:65" x14ac:dyDescent="0.35">
      <c r="X126" s="66" t="s">
        <v>640</v>
      </c>
      <c r="Y126" s="1" t="s">
        <v>567</v>
      </c>
      <c r="Z126" s="63">
        <v>284.63</v>
      </c>
      <c r="AA126" s="1" t="s">
        <v>550</v>
      </c>
      <c r="AC126" s="1" t="s">
        <v>709</v>
      </c>
      <c r="AD126" s="1" t="s">
        <v>18</v>
      </c>
      <c r="AF126" s="1">
        <f>Table1[[#This Row],[C:C]]*1.1</f>
        <v>0</v>
      </c>
      <c r="AI126" s="1">
        <f>IFERROR(VLOOKUP(X126,#REF!,8,FALSE),0)</f>
        <v>0</v>
      </c>
      <c r="AN126" s="1" t="str">
        <f>PROD_ID_TABLE[[#This Row],[PROD ID]]</f>
        <v xml:space="preserve"> T-303 FLECLAR5 G</v>
      </c>
      <c r="AO126" s="1" t="str">
        <f t="shared" si="15"/>
        <v>CRYLAFLOR T-303 FLEXIBLE TOPCOATCLEAR5 GAL KIT</v>
      </c>
      <c r="AP126" s="3">
        <f t="shared" si="16"/>
        <v>424.9</v>
      </c>
      <c r="AQ126" s="1" t="str">
        <f t="shared" si="17"/>
        <v>5 GAL KIT</v>
      </c>
      <c r="AS126" s="1" t="str">
        <f t="shared" si="18"/>
        <v>CLEAR</v>
      </c>
      <c r="AT126"/>
      <c r="AU126"/>
      <c r="AV126"/>
      <c r="AY126" t="str">
        <f t="shared" si="20"/>
        <v xml:space="preserve"> T-303 FLECLAR5 G</v>
      </c>
      <c r="AZ126" s="1" t="str">
        <f t="shared" si="21"/>
        <v xml:space="preserve"> T-303 FLE</v>
      </c>
      <c r="BA126" t="str">
        <f t="shared" si="22"/>
        <v>CLAR</v>
      </c>
      <c r="BB126" s="1" t="str">
        <f t="shared" si="13"/>
        <v>5 G</v>
      </c>
      <c r="BC126" s="1">
        <f t="shared" si="14"/>
        <v>424.9</v>
      </c>
      <c r="BD126" s="1" t="s">
        <v>372</v>
      </c>
      <c r="BE126" s="14" t="s">
        <v>315</v>
      </c>
      <c r="BF126" s="55" t="s">
        <v>1072</v>
      </c>
      <c r="BG126" s="14" t="s">
        <v>309</v>
      </c>
      <c r="BJ126"/>
      <c r="BK126"/>
      <c r="BM126"/>
    </row>
    <row r="127" spans="1:65" x14ac:dyDescent="0.35">
      <c r="X127" s="66" t="s">
        <v>636</v>
      </c>
      <c r="Y127" s="1" t="s">
        <v>567</v>
      </c>
      <c r="Z127" s="63">
        <v>284.63</v>
      </c>
      <c r="AA127" s="1" t="s">
        <v>550</v>
      </c>
      <c r="AC127" s="1" t="s">
        <v>711</v>
      </c>
      <c r="AD127" s="1" t="s">
        <v>18</v>
      </c>
      <c r="AF127" s="1">
        <f>Table1[[#This Row],[C:C]]*1.1</f>
        <v>0</v>
      </c>
      <c r="AI127" s="1">
        <f>IFERROR(VLOOKUP(X127,#REF!,8,FALSE),0)</f>
        <v>0</v>
      </c>
      <c r="AN127" s="1" t="str">
        <f>PROD_ID_TABLE[[#This Row],[PROD ID]]</f>
        <v xml:space="preserve"> T-303 FLEBEGE5 G</v>
      </c>
      <c r="AO127" s="1" t="str">
        <f t="shared" si="15"/>
        <v>CRYLAFLOR T-303 FLEXIBLE TOPCOATBEIGE5 GAL KIT</v>
      </c>
      <c r="AP127" s="3">
        <f t="shared" si="16"/>
        <v>424.9</v>
      </c>
      <c r="AQ127" s="1" t="str">
        <f t="shared" si="17"/>
        <v>5 GAL KIT</v>
      </c>
      <c r="AS127" s="1" t="str">
        <f t="shared" si="18"/>
        <v>BEIGE</v>
      </c>
      <c r="AT127"/>
      <c r="AU127"/>
      <c r="AV127"/>
      <c r="AY127" t="str">
        <f t="shared" si="20"/>
        <v xml:space="preserve"> T-303 FLEBEGE5 G</v>
      </c>
      <c r="AZ127" s="1" t="str">
        <f t="shared" si="21"/>
        <v xml:space="preserve"> T-303 FLE</v>
      </c>
      <c r="BA127" t="str">
        <f t="shared" si="22"/>
        <v>BEGE</v>
      </c>
      <c r="BB127" s="1" t="str">
        <f t="shared" si="13"/>
        <v>5 G</v>
      </c>
      <c r="BC127" s="1">
        <f t="shared" si="14"/>
        <v>424.9</v>
      </c>
      <c r="BD127" s="1" t="s">
        <v>372</v>
      </c>
      <c r="BE127" s="14" t="s">
        <v>399</v>
      </c>
      <c r="BF127" s="55" t="s">
        <v>1072</v>
      </c>
      <c r="BG127" s="14" t="s">
        <v>309</v>
      </c>
      <c r="BH127" t="s">
        <v>323</v>
      </c>
      <c r="BI127" s="1" t="s">
        <v>393</v>
      </c>
      <c r="BJ127"/>
      <c r="BK127"/>
      <c r="BM127"/>
    </row>
    <row r="128" spans="1:65" x14ac:dyDescent="0.35">
      <c r="X128" s="66" t="s">
        <v>635</v>
      </c>
      <c r="Y128" s="1" t="s">
        <v>567</v>
      </c>
      <c r="Z128" s="63">
        <v>284.63</v>
      </c>
      <c r="AA128" s="1" t="s">
        <v>550</v>
      </c>
      <c r="AC128" s="1" t="s">
        <v>710</v>
      </c>
      <c r="AD128" s="1" t="s">
        <v>18</v>
      </c>
      <c r="AF128" s="1">
        <f>Table1[[#This Row],[C:C]]*1.1</f>
        <v>0</v>
      </c>
      <c r="AI128" s="1">
        <f>IFERROR(VLOOKUP(X128,#REF!,8,FALSE),0)</f>
        <v>0</v>
      </c>
      <c r="AN128" s="1" t="str">
        <f>PROD_ID_TABLE[[#This Row],[PROD ID]]</f>
        <v xml:space="preserve"> T-303 FLEBROW5 G</v>
      </c>
      <c r="AO128" s="1" t="str">
        <f t="shared" si="15"/>
        <v>CRYLAFLOR T-303 FLEXIBLE TOPCOATBRIGHT YELLOW5 GAL KIT</v>
      </c>
      <c r="AP128" s="3">
        <f t="shared" si="16"/>
        <v>424.9</v>
      </c>
      <c r="AQ128" s="1" t="str">
        <f t="shared" si="17"/>
        <v>5 GAL KIT</v>
      </c>
      <c r="AS128" s="1" t="str">
        <f t="shared" si="18"/>
        <v>BRIGHT YELLOW</v>
      </c>
      <c r="AT128"/>
      <c r="AU128"/>
      <c r="AV128"/>
      <c r="AY128" t="str">
        <f t="shared" si="20"/>
        <v xml:space="preserve"> T-303 FLEBROW5 G</v>
      </c>
      <c r="AZ128" s="1" t="str">
        <f t="shared" si="21"/>
        <v xml:space="preserve"> T-303 FLE</v>
      </c>
      <c r="BA128" t="str">
        <f t="shared" si="22"/>
        <v>BROW</v>
      </c>
      <c r="BB128" s="1" t="str">
        <f t="shared" si="13"/>
        <v>5 G</v>
      </c>
      <c r="BC128" s="1">
        <f t="shared" si="14"/>
        <v>424.9</v>
      </c>
      <c r="BD128" s="1" t="s">
        <v>372</v>
      </c>
      <c r="BE128" s="14" t="s">
        <v>400</v>
      </c>
      <c r="BF128" s="55" t="s">
        <v>1072</v>
      </c>
      <c r="BG128" s="14" t="s">
        <v>309</v>
      </c>
      <c r="BH128" t="s">
        <v>317</v>
      </c>
      <c r="BI128" s="1" t="s">
        <v>402</v>
      </c>
      <c r="BJ128"/>
      <c r="BK128"/>
      <c r="BM128"/>
    </row>
    <row r="129" spans="24:65" x14ac:dyDescent="0.35">
      <c r="X129" s="66" t="s">
        <v>637</v>
      </c>
      <c r="Y129" s="1" t="s">
        <v>567</v>
      </c>
      <c r="Z129" s="63">
        <v>284.63</v>
      </c>
      <c r="AA129" s="1" t="s">
        <v>550</v>
      </c>
      <c r="AC129" s="1" t="s">
        <v>704</v>
      </c>
      <c r="AD129" s="1" t="s">
        <v>18</v>
      </c>
      <c r="AF129" s="1">
        <f>Table1[[#This Row],[C:C]]*1.1</f>
        <v>0</v>
      </c>
      <c r="AI129" s="1">
        <f>IFERROR(VLOOKUP(X129,#REF!,8,FALSE),0)</f>
        <v>0</v>
      </c>
      <c r="AN129" s="1" t="str">
        <f>PROD_ID_TABLE[[#This Row],[PROD ID]]</f>
        <v xml:space="preserve"> T-303 FLECOAY5 G</v>
      </c>
      <c r="AO129" s="1" t="str">
        <f t="shared" si="15"/>
        <v>CRYLAFLOR T-303 FLEXIBLE TOPCOATCONCRETE GRAY5 GAL KIT</v>
      </c>
      <c r="AP129" s="3">
        <f t="shared" si="16"/>
        <v>424.9</v>
      </c>
      <c r="AQ129" s="1" t="str">
        <f t="shared" si="17"/>
        <v>5 GAL KIT</v>
      </c>
      <c r="AS129" s="1" t="str">
        <f t="shared" si="18"/>
        <v>CONCRETE GRAY</v>
      </c>
      <c r="AT129"/>
      <c r="AU129"/>
      <c r="AV129"/>
      <c r="AY129" t="str">
        <f t="shared" si="20"/>
        <v xml:space="preserve"> T-303 FLECOAY5 G</v>
      </c>
      <c r="AZ129" s="1" t="str">
        <f t="shared" si="21"/>
        <v xml:space="preserve"> T-303 FLE</v>
      </c>
      <c r="BA129" t="str">
        <f t="shared" si="22"/>
        <v>COAY</v>
      </c>
      <c r="BB129" s="1" t="str">
        <f t="shared" si="13"/>
        <v>5 G</v>
      </c>
      <c r="BC129" s="1">
        <f t="shared" si="14"/>
        <v>424.9</v>
      </c>
      <c r="BD129" s="1" t="s">
        <v>372</v>
      </c>
      <c r="BE129" s="14" t="s">
        <v>393</v>
      </c>
      <c r="BF129" s="55" t="s">
        <v>1072</v>
      </c>
      <c r="BG129" s="14" t="s">
        <v>309</v>
      </c>
      <c r="BH129" t="s">
        <v>395</v>
      </c>
      <c r="BI129" s="1" t="s">
        <v>403</v>
      </c>
      <c r="BJ129"/>
      <c r="BK129"/>
      <c r="BM129"/>
    </row>
    <row r="130" spans="24:65" x14ac:dyDescent="0.35">
      <c r="X130" s="66" t="s">
        <v>638</v>
      </c>
      <c r="Y130" s="1" t="s">
        <v>567</v>
      </c>
      <c r="Z130" s="63">
        <v>284.63</v>
      </c>
      <c r="AA130" s="1" t="s">
        <v>550</v>
      </c>
      <c r="AC130" s="1" t="s">
        <v>395</v>
      </c>
      <c r="AD130" s="1" t="s">
        <v>18</v>
      </c>
      <c r="AF130" s="1">
        <f>Table1[[#This Row],[C:C]]*1.1</f>
        <v>0</v>
      </c>
      <c r="AI130" s="1">
        <f>IFERROR(VLOOKUP(X130,#REF!,8,FALSE),0)</f>
        <v>0</v>
      </c>
      <c r="AN130" s="1" t="str">
        <f>PROD_ID_TABLE[[#This Row],[PROD ID]]</f>
        <v xml:space="preserve"> T-303 FLECHAY5 G</v>
      </c>
      <c r="AO130" s="1" t="str">
        <f t="shared" si="15"/>
        <v>CRYLAFLOR T-303 FLEXIBLE TOPCOATCHARCOAL GRAY5 GAL KIT</v>
      </c>
      <c r="AP130" s="3">
        <f t="shared" si="16"/>
        <v>424.9</v>
      </c>
      <c r="AQ130" s="1" t="str">
        <f t="shared" si="17"/>
        <v>5 GAL KIT</v>
      </c>
      <c r="AS130" s="1" t="str">
        <f t="shared" si="18"/>
        <v>CHARCOAL GRAY</v>
      </c>
      <c r="AT130"/>
      <c r="AU130"/>
      <c r="AV130"/>
      <c r="AY130" t="str">
        <f t="shared" si="20"/>
        <v xml:space="preserve"> T-303 FLECHAY5 G</v>
      </c>
      <c r="AZ130" s="1" t="str">
        <f t="shared" si="21"/>
        <v xml:space="preserve"> T-303 FLE</v>
      </c>
      <c r="BA130" t="str">
        <f t="shared" si="22"/>
        <v>CHAY</v>
      </c>
      <c r="BB130" s="1" t="str">
        <f t="shared" ref="BB130:BB193" si="28">LEFT(BF130,3)</f>
        <v>5 G</v>
      </c>
      <c r="BC130" s="1">
        <f t="shared" ref="BC130:BC193" si="29">IFERROR(VLOOKUP(BD130&amp;BF130,AV:AW,2,FALSE),0)</f>
        <v>424.9</v>
      </c>
      <c r="BD130" s="1" t="s">
        <v>372</v>
      </c>
      <c r="BE130" s="14" t="s">
        <v>401</v>
      </c>
      <c r="BF130" s="55" t="s">
        <v>1072</v>
      </c>
      <c r="BG130" s="14" t="s">
        <v>309</v>
      </c>
      <c r="BH130" t="s">
        <v>387</v>
      </c>
      <c r="BI130" s="1" t="s">
        <v>315</v>
      </c>
      <c r="BJ130"/>
      <c r="BK130"/>
      <c r="BM130"/>
    </row>
    <row r="131" spans="24:65" x14ac:dyDescent="0.35">
      <c r="X131" s="66" t="s">
        <v>642</v>
      </c>
      <c r="Y131" s="1" t="s">
        <v>567</v>
      </c>
      <c r="Z131" s="63">
        <v>284.63</v>
      </c>
      <c r="AA131" s="1" t="s">
        <v>550</v>
      </c>
      <c r="AC131" s="1" t="s">
        <v>396</v>
      </c>
      <c r="AD131" s="1" t="s">
        <v>18</v>
      </c>
      <c r="AF131" s="1">
        <f>Table1[[#This Row],[C:C]]*1.1</f>
        <v>0</v>
      </c>
      <c r="AI131" s="1">
        <f>IFERROR(VLOOKUP(X131,#REF!,8,FALSE),0)</f>
        <v>0</v>
      </c>
      <c r="AN131" s="1" t="str">
        <f>PROD_ID_TABLE[[#This Row],[PROD ID]]</f>
        <v xml:space="preserve"> T-303 FLELIAY5 G</v>
      </c>
      <c r="AO131" s="1" t="str">
        <f t="shared" ref="AO131:AO194" si="30">_xlfn.CONCAT(BD131:BF131)</f>
        <v>CRYLAFLOR T-303 FLEXIBLE TOPCOATLIGHT GRAY5 GAL KIT</v>
      </c>
      <c r="AP131" s="3">
        <f t="shared" ref="AP131:AP194" si="31">BC131</f>
        <v>424.9</v>
      </c>
      <c r="AQ131" s="1" t="str">
        <f t="shared" ref="AQ131:AQ194" si="32">BF131</f>
        <v>5 GAL KIT</v>
      </c>
      <c r="AS131" s="1" t="str">
        <f t="shared" ref="AS131:AS194" si="33">BE131</f>
        <v>LIGHT GRAY</v>
      </c>
      <c r="AT131"/>
      <c r="AU131"/>
      <c r="AV131"/>
      <c r="AY131" t="str">
        <f t="shared" ref="AY131:AY194" si="34">_xlfn.CONCAT(AZ131:BB131)</f>
        <v xml:space="preserve"> T-303 FLELIAY5 G</v>
      </c>
      <c r="AZ131" s="1" t="str">
        <f t="shared" ref="AZ131:AZ194" si="35">MID(BD131,10,10)</f>
        <v xml:space="preserve"> T-303 FLE</v>
      </c>
      <c r="BA131" t="str">
        <f t="shared" ref="BA131:BA194" si="36">LEFT(BE131,2)&amp;RIGHT(BE131,2)</f>
        <v>LIAY</v>
      </c>
      <c r="BB131" s="1" t="str">
        <f t="shared" si="28"/>
        <v>5 G</v>
      </c>
      <c r="BC131" s="1">
        <f t="shared" si="29"/>
        <v>424.9</v>
      </c>
      <c r="BD131" s="1" t="s">
        <v>372</v>
      </c>
      <c r="BE131" s="14" t="s">
        <v>384</v>
      </c>
      <c r="BF131" s="55" t="s">
        <v>1072</v>
      </c>
      <c r="BG131" s="14" t="s">
        <v>309</v>
      </c>
      <c r="BH131" s="1" t="s">
        <v>399</v>
      </c>
      <c r="BI131" t="s">
        <v>399</v>
      </c>
      <c r="BJ131" t="s">
        <v>322</v>
      </c>
      <c r="BK131"/>
      <c r="BM131"/>
    </row>
    <row r="132" spans="24:65" x14ac:dyDescent="0.35">
      <c r="X132" s="66" t="s">
        <v>634</v>
      </c>
      <c r="Y132" s="1" t="s">
        <v>567</v>
      </c>
      <c r="Z132" s="63">
        <v>284.63</v>
      </c>
      <c r="AA132" s="1" t="s">
        <v>550</v>
      </c>
      <c r="AC132" s="1" t="s">
        <v>391</v>
      </c>
      <c r="AD132" s="1" t="s">
        <v>18</v>
      </c>
      <c r="AF132" s="1">
        <f>Table1[[#This Row],[C:C]]*1.1</f>
        <v>0</v>
      </c>
      <c r="AI132" s="1">
        <f>IFERROR(VLOOKUP(X132,#REF!,8,FALSE),0)</f>
        <v>0</v>
      </c>
      <c r="AN132" s="1" t="str">
        <f>PROD_ID_TABLE[[#This Row],[PROD ID]]</f>
        <v xml:space="preserve"> T-303 FLEMEAY5 G</v>
      </c>
      <c r="AO132" s="1" t="str">
        <f t="shared" si="30"/>
        <v>CRYLAFLOR T-303 FLEXIBLE TOPCOATMED. GRAY5 GAL KIT</v>
      </c>
      <c r="AP132" s="3">
        <f t="shared" si="31"/>
        <v>424.9</v>
      </c>
      <c r="AQ132" s="1" t="str">
        <f t="shared" si="32"/>
        <v>5 GAL KIT</v>
      </c>
      <c r="AS132" s="1" t="str">
        <f t="shared" si="33"/>
        <v>MED. GRAY</v>
      </c>
      <c r="AT132"/>
      <c r="AU132"/>
      <c r="AV132"/>
      <c r="AY132" t="str">
        <f t="shared" si="34"/>
        <v xml:space="preserve"> T-303 FLEMEAY5 G</v>
      </c>
      <c r="AZ132" s="1" t="str">
        <f t="shared" si="35"/>
        <v xml:space="preserve"> T-303 FLE</v>
      </c>
      <c r="BA132" t="str">
        <f t="shared" si="36"/>
        <v>MEAY</v>
      </c>
      <c r="BB132" s="1" t="str">
        <f t="shared" si="28"/>
        <v>5 G</v>
      </c>
      <c r="BC132" s="1">
        <f t="shared" si="29"/>
        <v>424.9</v>
      </c>
      <c r="BD132" s="1" t="s">
        <v>372</v>
      </c>
      <c r="BE132" s="14" t="s">
        <v>402</v>
      </c>
      <c r="BF132" s="55" t="s">
        <v>1072</v>
      </c>
      <c r="BG132" s="14" t="s">
        <v>309</v>
      </c>
      <c r="BH132" s="1" t="s">
        <v>322</v>
      </c>
      <c r="BK132"/>
      <c r="BM132"/>
    </row>
    <row r="133" spans="24:65" x14ac:dyDescent="0.35">
      <c r="X133" s="66" t="s">
        <v>623</v>
      </c>
      <c r="Y133" s="1" t="s">
        <v>566</v>
      </c>
      <c r="Z133" s="63">
        <v>189.2</v>
      </c>
      <c r="AA133" s="1" t="s">
        <v>397</v>
      </c>
      <c r="AC133" s="1" t="s">
        <v>391</v>
      </c>
      <c r="AD133" s="1" t="s">
        <v>18</v>
      </c>
      <c r="AF133" s="1">
        <f>Table1[[#This Row],[C:C]]*1.1</f>
        <v>0</v>
      </c>
      <c r="AI133" s="1">
        <f>IFERROR(VLOOKUP(X133,#REF!,8,FALSE),0)</f>
        <v>0</v>
      </c>
      <c r="AN133" s="1" t="str">
        <f>PROD_ID_TABLE[[#This Row],[PROD ID]]</f>
        <v xml:space="preserve"> T-303 FLESLAY5 G</v>
      </c>
      <c r="AO133" s="1" t="str">
        <f t="shared" si="30"/>
        <v>CRYLAFLOR T-303 FLEXIBLE TOPCOATSLATE GRAY5 GAL KIT</v>
      </c>
      <c r="AP133" s="3">
        <f t="shared" si="31"/>
        <v>424.9</v>
      </c>
      <c r="AQ133" s="1" t="str">
        <f t="shared" si="32"/>
        <v>5 GAL KIT</v>
      </c>
      <c r="AS133" s="1" t="str">
        <f t="shared" si="33"/>
        <v>SLATE GRAY</v>
      </c>
      <c r="AT133"/>
      <c r="AU133"/>
      <c r="AV133"/>
      <c r="AY133" t="str">
        <f t="shared" si="34"/>
        <v xml:space="preserve"> T-303 FLESLAY5 G</v>
      </c>
      <c r="AZ133" s="1" t="str">
        <f t="shared" si="35"/>
        <v xml:space="preserve"> T-303 FLE</v>
      </c>
      <c r="BA133" t="str">
        <f t="shared" si="36"/>
        <v>SLAY</v>
      </c>
      <c r="BB133" s="1" t="str">
        <f t="shared" si="28"/>
        <v>5 G</v>
      </c>
      <c r="BC133" s="1">
        <f t="shared" si="29"/>
        <v>424.9</v>
      </c>
      <c r="BD133" s="1" t="s">
        <v>372</v>
      </c>
      <c r="BE133" s="14" t="s">
        <v>403</v>
      </c>
      <c r="BF133" s="55" t="s">
        <v>1072</v>
      </c>
      <c r="BG133" s="14" t="s">
        <v>309</v>
      </c>
      <c r="BH133" s="1" t="s">
        <v>393</v>
      </c>
      <c r="BK133"/>
      <c r="BM133"/>
    </row>
    <row r="134" spans="24:65" x14ac:dyDescent="0.35">
      <c r="X134" s="66" t="s">
        <v>629</v>
      </c>
      <c r="Y134" s="1" t="s">
        <v>566</v>
      </c>
      <c r="Z134" s="63">
        <v>189.2</v>
      </c>
      <c r="AA134" s="1" t="s">
        <v>397</v>
      </c>
      <c r="AC134" s="1" t="s">
        <v>400</v>
      </c>
      <c r="AD134" s="1" t="s">
        <v>18</v>
      </c>
      <c r="AF134" s="1">
        <f>Table1[[#This Row],[C:C]]*1.1</f>
        <v>0</v>
      </c>
      <c r="AI134" s="1">
        <f>IFERROR(VLOOKUP(X134,#REF!,8,FALSE),0)</f>
        <v>0</v>
      </c>
      <c r="AN134" s="1" t="str">
        <f>PROD_ID_TABLE[[#This Row],[PROD ID]]</f>
        <v xml:space="preserve"> T-303 FLEBLCK5 G</v>
      </c>
      <c r="AO134" s="1" t="str">
        <f t="shared" si="30"/>
        <v>CRYLAFLOR T-303 FLEXIBLE TOPCOATBLACK5 GAL KIT</v>
      </c>
      <c r="AP134" s="3">
        <f t="shared" si="31"/>
        <v>424.9</v>
      </c>
      <c r="AQ134" s="1" t="str">
        <f t="shared" si="32"/>
        <v>5 GAL KIT</v>
      </c>
      <c r="AS134" s="1" t="str">
        <f t="shared" si="33"/>
        <v>BLACK</v>
      </c>
      <c r="AT134"/>
      <c r="AU134"/>
      <c r="AV134"/>
      <c r="AY134" t="str">
        <f t="shared" si="34"/>
        <v xml:space="preserve"> T-303 FLEBLCK5 G</v>
      </c>
      <c r="AZ134" s="1" t="str">
        <f t="shared" si="35"/>
        <v xml:space="preserve"> T-303 FLE</v>
      </c>
      <c r="BA134" t="str">
        <f t="shared" si="36"/>
        <v>BLCK</v>
      </c>
      <c r="BB134" s="1" t="str">
        <f t="shared" si="28"/>
        <v>5 G</v>
      </c>
      <c r="BC134" s="1">
        <f t="shared" si="29"/>
        <v>424.9</v>
      </c>
      <c r="BD134" s="1" t="s">
        <v>372</v>
      </c>
      <c r="BE134" s="14" t="s">
        <v>323</v>
      </c>
      <c r="BF134" s="55" t="s">
        <v>1072</v>
      </c>
      <c r="BG134" s="14" t="s">
        <v>309</v>
      </c>
      <c r="BH134" s="1" t="s">
        <v>402</v>
      </c>
      <c r="BK134"/>
      <c r="BM134"/>
    </row>
    <row r="135" spans="24:65" x14ac:dyDescent="0.35">
      <c r="X135" s="66" t="s">
        <v>624</v>
      </c>
      <c r="Y135" s="1" t="s">
        <v>566</v>
      </c>
      <c r="Z135" s="63">
        <v>189.2</v>
      </c>
      <c r="AA135" s="1" t="s">
        <v>397</v>
      </c>
      <c r="AC135" s="1" t="s">
        <v>704</v>
      </c>
      <c r="AD135" s="1" t="s">
        <v>18</v>
      </c>
      <c r="AF135" s="1">
        <f>Table1[[#This Row],[C:C]]*1.1</f>
        <v>0</v>
      </c>
      <c r="AI135" s="1">
        <f>IFERROR(VLOOKUP(X135,#REF!,8,FALSE),0)</f>
        <v>0</v>
      </c>
      <c r="AN135" s="1" t="str">
        <f>PROD_ID_TABLE[[#This Row],[PROD ID]]</f>
        <v xml:space="preserve"> T-303 FLEGREN5 G</v>
      </c>
      <c r="AO135" s="1" t="str">
        <f t="shared" si="30"/>
        <v>CRYLAFLOR T-303 FLEXIBLE TOPCOATGREEN5 GAL KIT</v>
      </c>
      <c r="AP135" s="3">
        <f t="shared" si="31"/>
        <v>424.9</v>
      </c>
      <c r="AQ135" s="1" t="str">
        <f t="shared" si="32"/>
        <v>5 GAL KIT</v>
      </c>
      <c r="AS135" s="1" t="str">
        <f t="shared" si="33"/>
        <v>GREEN</v>
      </c>
      <c r="AT135"/>
      <c r="AU135"/>
      <c r="AV135"/>
      <c r="AY135" t="str">
        <f t="shared" si="34"/>
        <v xml:space="preserve"> T-303 FLEGREN5 G</v>
      </c>
      <c r="AZ135" s="1" t="str">
        <f t="shared" si="35"/>
        <v xml:space="preserve"> T-303 FLE</v>
      </c>
      <c r="BA135" t="str">
        <f t="shared" si="36"/>
        <v>GREN</v>
      </c>
      <c r="BB135" s="1" t="str">
        <f t="shared" si="28"/>
        <v>5 G</v>
      </c>
      <c r="BC135" s="1">
        <f t="shared" si="29"/>
        <v>424.9</v>
      </c>
      <c r="BD135" s="1" t="s">
        <v>372</v>
      </c>
      <c r="BE135" s="14" t="s">
        <v>395</v>
      </c>
      <c r="BF135" s="55" t="s">
        <v>1072</v>
      </c>
      <c r="BG135" s="14" t="s">
        <v>309</v>
      </c>
      <c r="BH135" s="1" t="s">
        <v>403</v>
      </c>
      <c r="BK135"/>
      <c r="BM135"/>
    </row>
    <row r="136" spans="24:65" x14ac:dyDescent="0.35">
      <c r="X136" s="66" t="s">
        <v>630</v>
      </c>
      <c r="Y136" s="1" t="s">
        <v>566</v>
      </c>
      <c r="Z136" s="63">
        <v>189.2</v>
      </c>
      <c r="AA136" s="1" t="s">
        <v>397</v>
      </c>
      <c r="AC136" s="1" t="s">
        <v>395</v>
      </c>
      <c r="AD136" s="1" t="s">
        <v>18</v>
      </c>
      <c r="AF136" s="1">
        <f>Table1[[#This Row],[C:C]]*1.1</f>
        <v>0</v>
      </c>
      <c r="AI136" s="1">
        <f>IFERROR(VLOOKUP(X136,#REF!,8,FALSE),0)</f>
        <v>0</v>
      </c>
      <c r="AN136" s="1" t="str">
        <f>PROD_ID_TABLE[[#This Row],[PROD ID]]</f>
        <v xml:space="preserve"> T-303 FLEWHTE5 G</v>
      </c>
      <c r="AO136" s="1" t="str">
        <f t="shared" si="30"/>
        <v>CRYLAFLOR T-303 FLEXIBLE TOPCOATWHITE5 GAL KIT</v>
      </c>
      <c r="AP136" s="3">
        <f t="shared" si="31"/>
        <v>424.9</v>
      </c>
      <c r="AQ136" s="1" t="str">
        <f t="shared" si="32"/>
        <v>5 GAL KIT</v>
      </c>
      <c r="AS136" s="1" t="str">
        <f t="shared" si="33"/>
        <v>WHITE</v>
      </c>
      <c r="AT136"/>
      <c r="AU136"/>
      <c r="AV136"/>
      <c r="AY136" t="str">
        <f t="shared" si="34"/>
        <v xml:space="preserve"> T-303 FLEWHTE5 G</v>
      </c>
      <c r="AZ136" s="1" t="str">
        <f t="shared" si="35"/>
        <v xml:space="preserve"> T-303 FLE</v>
      </c>
      <c r="BA136" t="str">
        <f t="shared" si="36"/>
        <v>WHTE</v>
      </c>
      <c r="BB136" s="1" t="str">
        <f t="shared" si="28"/>
        <v>5 G</v>
      </c>
      <c r="BC136" s="1">
        <f t="shared" si="29"/>
        <v>424.9</v>
      </c>
      <c r="BD136" s="1" t="s">
        <v>372</v>
      </c>
      <c r="BE136" s="14" t="s">
        <v>322</v>
      </c>
      <c r="BF136" s="55" t="s">
        <v>1072</v>
      </c>
      <c r="BG136" s="14" t="s">
        <v>309</v>
      </c>
      <c r="BH136" s="1" t="s">
        <v>315</v>
      </c>
      <c r="BJ136"/>
      <c r="BK136"/>
      <c r="BM136"/>
    </row>
    <row r="137" spans="24:65" x14ac:dyDescent="0.35">
      <c r="X137" s="66" t="s">
        <v>625</v>
      </c>
      <c r="Y137" s="1" t="s">
        <v>566</v>
      </c>
      <c r="Z137" s="63">
        <v>189.2</v>
      </c>
      <c r="AA137" s="1" t="s">
        <v>397</v>
      </c>
      <c r="AC137" s="1" t="s">
        <v>705</v>
      </c>
      <c r="AD137" s="1" t="s">
        <v>18</v>
      </c>
      <c r="AF137" s="1">
        <f>Table1[[#This Row],[C:C]]*1.1</f>
        <v>0</v>
      </c>
      <c r="AI137" s="1">
        <f>IFERROR(VLOOKUP(X137,#REF!,8,FALSE),0)</f>
        <v>0</v>
      </c>
      <c r="AN137" s="1" t="str">
        <f>PROD_ID_TABLE[[#This Row],[PROD ID]]</f>
        <v xml:space="preserve"> T-303 FLESPAL5 G</v>
      </c>
      <c r="AO137" s="1" t="str">
        <f t="shared" si="30"/>
        <v>CRYLAFLOR T-303 FLEXIBLE TOPCOATSPECIAL5 GAL KIT</v>
      </c>
      <c r="AP137" s="3">
        <f t="shared" si="31"/>
        <v>424.9</v>
      </c>
      <c r="AQ137" s="1" t="str">
        <f t="shared" si="32"/>
        <v>5 GAL KIT</v>
      </c>
      <c r="AS137" s="1" t="str">
        <f t="shared" si="33"/>
        <v>SPECIAL</v>
      </c>
      <c r="AT137"/>
      <c r="AU137"/>
      <c r="AV137"/>
      <c r="AY137" t="str">
        <f t="shared" si="34"/>
        <v xml:space="preserve"> T-303 FLESPAL5 G</v>
      </c>
      <c r="AZ137" s="1" t="str">
        <f t="shared" si="35"/>
        <v xml:space="preserve"> T-303 FLE</v>
      </c>
      <c r="BA137" t="str">
        <f t="shared" si="36"/>
        <v>SPAL</v>
      </c>
      <c r="BB137" s="1" t="str">
        <f t="shared" si="28"/>
        <v>5 G</v>
      </c>
      <c r="BC137" s="1">
        <f t="shared" si="29"/>
        <v>424.9</v>
      </c>
      <c r="BD137" s="1" t="s">
        <v>372</v>
      </c>
      <c r="BE137" s="14" t="s">
        <v>404</v>
      </c>
      <c r="BF137" s="55" t="s">
        <v>1072</v>
      </c>
      <c r="BG137" s="14" t="s">
        <v>309</v>
      </c>
      <c r="BH137" s="1" t="s">
        <v>384</v>
      </c>
      <c r="BJ137"/>
      <c r="BK137"/>
      <c r="BM137"/>
    </row>
    <row r="138" spans="24:65" x14ac:dyDescent="0.35">
      <c r="X138" s="66" t="s">
        <v>631</v>
      </c>
      <c r="Y138" s="1" t="s">
        <v>566</v>
      </c>
      <c r="Z138" s="63">
        <v>189.2</v>
      </c>
      <c r="AA138" s="1" t="s">
        <v>397</v>
      </c>
      <c r="AC138" s="1" t="s">
        <v>708</v>
      </c>
      <c r="AD138" s="1" t="s">
        <v>18</v>
      </c>
      <c r="AF138" s="1">
        <f>Table1[[#This Row],[C:C]]*1.1</f>
        <v>0</v>
      </c>
      <c r="AI138" s="1">
        <f>IFERROR(VLOOKUP(X138,#REF!,8,FALSE),0)</f>
        <v>0</v>
      </c>
      <c r="AN138" s="1" t="str">
        <f>PROD_ID_TABLE[[#This Row],[PROD ID]]</f>
        <v xml:space="preserve"> T-303 FLETIED5 G</v>
      </c>
      <c r="AO138" s="1" t="str">
        <f t="shared" si="30"/>
        <v>CRYLAFLOR T-303 FLEXIBLE TOPCOATTILE RED5 GAL KIT</v>
      </c>
      <c r="AP138" s="3">
        <f t="shared" si="31"/>
        <v>424.9</v>
      </c>
      <c r="AQ138" s="1" t="str">
        <f t="shared" si="32"/>
        <v>5 GAL KIT</v>
      </c>
      <c r="AS138" s="1" t="str">
        <f t="shared" si="33"/>
        <v>TILE RED</v>
      </c>
      <c r="AT138"/>
      <c r="AU138"/>
      <c r="AV138"/>
      <c r="AY138" t="str">
        <f t="shared" si="34"/>
        <v xml:space="preserve"> T-303 FLETIED5 G</v>
      </c>
      <c r="AZ138" s="1" t="str">
        <f t="shared" si="35"/>
        <v xml:space="preserve"> T-303 FLE</v>
      </c>
      <c r="BA138" t="str">
        <f t="shared" si="36"/>
        <v>TIED</v>
      </c>
      <c r="BB138" s="1" t="str">
        <f t="shared" si="28"/>
        <v>5 G</v>
      </c>
      <c r="BC138" s="1">
        <f t="shared" si="29"/>
        <v>424.9</v>
      </c>
      <c r="BD138" s="1" t="s">
        <v>372</v>
      </c>
      <c r="BE138" s="14" t="s">
        <v>387</v>
      </c>
      <c r="BF138" s="55" t="s">
        <v>1072</v>
      </c>
      <c r="BG138" s="14" t="s">
        <v>309</v>
      </c>
      <c r="BH138" s="1" t="s">
        <v>400</v>
      </c>
      <c r="BJ138"/>
      <c r="BK138"/>
      <c r="BM138"/>
    </row>
    <row r="139" spans="24:65" x14ac:dyDescent="0.35">
      <c r="X139" s="66" t="s">
        <v>626</v>
      </c>
      <c r="Y139" s="1" t="s">
        <v>566</v>
      </c>
      <c r="Z139" s="63">
        <v>189.2</v>
      </c>
      <c r="AA139" s="1" t="s">
        <v>397</v>
      </c>
      <c r="AC139" s="1" t="s">
        <v>706</v>
      </c>
      <c r="AD139" s="1" t="s">
        <v>18</v>
      </c>
      <c r="AF139" s="1">
        <f>Table1[[#This Row],[C:C]]*1.1</f>
        <v>0</v>
      </c>
      <c r="AI139" s="1">
        <f>IFERROR(VLOOKUP(X139,#REF!,8,FALSE),0)</f>
        <v>0</v>
      </c>
      <c r="AN139" s="1" t="str">
        <f>PROD_ID_TABLE[[#This Row],[PROD ID]]</f>
        <v xml:space="preserve"> T-303 FLESMUE5 G</v>
      </c>
      <c r="AO139" s="1" t="str">
        <f t="shared" si="30"/>
        <v>CRYLAFLOR T-303 FLEXIBLE TOPCOATSMOKE BLUE5 GAL KIT</v>
      </c>
      <c r="AP139" s="3">
        <f t="shared" si="31"/>
        <v>424.9</v>
      </c>
      <c r="AQ139" s="1" t="str">
        <f t="shared" si="32"/>
        <v>5 GAL KIT</v>
      </c>
      <c r="AS139" s="1" t="str">
        <f t="shared" si="33"/>
        <v>SMOKE BLUE</v>
      </c>
      <c r="AT139"/>
      <c r="AU139"/>
      <c r="AV139"/>
      <c r="AY139" t="str">
        <f t="shared" si="34"/>
        <v xml:space="preserve"> T-303 FLESMUE5 G</v>
      </c>
      <c r="AZ139" s="1" t="str">
        <f t="shared" si="35"/>
        <v xml:space="preserve"> T-303 FLE</v>
      </c>
      <c r="BA139" t="str">
        <f t="shared" si="36"/>
        <v>SMUE</v>
      </c>
      <c r="BB139" s="1" t="str">
        <f t="shared" si="28"/>
        <v>5 G</v>
      </c>
      <c r="BC139" s="1">
        <f t="shared" si="29"/>
        <v>424.9</v>
      </c>
      <c r="BD139" s="1" t="s">
        <v>372</v>
      </c>
      <c r="BE139" s="14" t="s">
        <v>405</v>
      </c>
      <c r="BF139" s="55" t="s">
        <v>1072</v>
      </c>
      <c r="BG139" s="14" t="s">
        <v>309</v>
      </c>
      <c r="BH139" s="1" t="s">
        <v>401</v>
      </c>
      <c r="BJ139"/>
      <c r="BK139"/>
      <c r="BM139"/>
    </row>
    <row r="140" spans="24:65" x14ac:dyDescent="0.35">
      <c r="X140" s="66" t="s">
        <v>632</v>
      </c>
      <c r="Y140" s="1" t="s">
        <v>566</v>
      </c>
      <c r="Z140" s="63">
        <v>189.2</v>
      </c>
      <c r="AA140" s="1" t="s">
        <v>397</v>
      </c>
      <c r="AC140" s="1" t="s">
        <v>709</v>
      </c>
      <c r="AD140" s="1" t="s">
        <v>18</v>
      </c>
      <c r="AF140" s="1">
        <f>Table1[[#This Row],[C:C]]*1.1</f>
        <v>0</v>
      </c>
      <c r="AI140" s="1">
        <f>IFERROR(VLOOKUP(X140,#REF!,8,FALSE),0)</f>
        <v>0</v>
      </c>
      <c r="AN140" s="1" t="str">
        <f>PROD_ID_TABLE[[#This Row],[PROD ID]]</f>
        <v xml:space="preserve"> COVECLAR1 G</v>
      </c>
      <c r="AO140" s="1" t="str">
        <f t="shared" si="30"/>
        <v>CRYLAFLOR COVECLEAR1 GAL KIT</v>
      </c>
      <c r="AP140" s="3">
        <f t="shared" si="31"/>
        <v>117.7</v>
      </c>
      <c r="AQ140" s="1" t="str">
        <f t="shared" si="32"/>
        <v>1 GAL KIT</v>
      </c>
      <c r="AS140" s="1" t="str">
        <f t="shared" si="33"/>
        <v>CLEAR</v>
      </c>
      <c r="AT140"/>
      <c r="AU140"/>
      <c r="AV140"/>
      <c r="AY140" t="str">
        <f t="shared" si="34"/>
        <v xml:space="preserve"> COVECLAR1 G</v>
      </c>
      <c r="AZ140" s="1" t="str">
        <f t="shared" si="35"/>
        <v xml:space="preserve"> COVE</v>
      </c>
      <c r="BA140" t="str">
        <f t="shared" si="36"/>
        <v>CLAR</v>
      </c>
      <c r="BB140" s="1" t="str">
        <f t="shared" si="28"/>
        <v>1 G</v>
      </c>
      <c r="BC140" s="1">
        <f t="shared" si="29"/>
        <v>117.7</v>
      </c>
      <c r="BD140" s="62" t="s">
        <v>373</v>
      </c>
      <c r="BE140" s="55" t="s">
        <v>315</v>
      </c>
      <c r="BF140" s="55" t="s">
        <v>1073</v>
      </c>
      <c r="BG140" s="55" t="s">
        <v>309</v>
      </c>
      <c r="BJ140"/>
      <c r="BK140"/>
      <c r="BM140"/>
    </row>
    <row r="141" spans="24:65" x14ac:dyDescent="0.35">
      <c r="X141" s="66" t="s">
        <v>627</v>
      </c>
      <c r="Y141" s="1" t="s">
        <v>566</v>
      </c>
      <c r="Z141" s="63">
        <v>189.2</v>
      </c>
      <c r="AA141" s="1" t="s">
        <v>397</v>
      </c>
      <c r="AC141" s="1" t="s">
        <v>707</v>
      </c>
      <c r="AD141" s="1" t="s">
        <v>18</v>
      </c>
      <c r="AF141" s="1">
        <f>Table1[[#This Row],[C:C]]*1.1</f>
        <v>0</v>
      </c>
      <c r="AI141" s="1">
        <f>IFERROR(VLOOKUP(X141,#REF!,8,FALSE),0)</f>
        <v>0</v>
      </c>
      <c r="AN141" s="1" t="str">
        <f>PROD_ID_TABLE[[#This Row],[PROD ID]]</f>
        <v xml:space="preserve"> COVECOAY1 G</v>
      </c>
      <c r="AO141" s="1" t="str">
        <f t="shared" si="30"/>
        <v>CRYLAFLOR COVECONCRETE GRAY1 GAL KIT</v>
      </c>
      <c r="AP141" s="3">
        <f t="shared" si="31"/>
        <v>117.7</v>
      </c>
      <c r="AQ141" s="1" t="str">
        <f t="shared" si="32"/>
        <v>1 GAL KIT</v>
      </c>
      <c r="AS141" s="1" t="str">
        <f t="shared" si="33"/>
        <v>CONCRETE GRAY</v>
      </c>
      <c r="AT141"/>
      <c r="AU141"/>
      <c r="AV141"/>
      <c r="AY141" t="str">
        <f t="shared" si="34"/>
        <v xml:space="preserve"> COVECOAY1 G</v>
      </c>
      <c r="AZ141" s="1" t="str">
        <f t="shared" si="35"/>
        <v xml:space="preserve"> COVE</v>
      </c>
      <c r="BA141" t="str">
        <f t="shared" si="36"/>
        <v>COAY</v>
      </c>
      <c r="BB141" s="1" t="str">
        <f t="shared" si="28"/>
        <v>1 G</v>
      </c>
      <c r="BC141" s="1">
        <f t="shared" si="29"/>
        <v>117.7</v>
      </c>
      <c r="BD141" s="62" t="s">
        <v>373</v>
      </c>
      <c r="BE141" s="55" t="s">
        <v>393</v>
      </c>
      <c r="BF141" s="55" t="s">
        <v>1073</v>
      </c>
      <c r="BG141" s="55" t="s">
        <v>309</v>
      </c>
      <c r="BJ141"/>
      <c r="BK141"/>
      <c r="BM141"/>
    </row>
    <row r="142" spans="24:65" x14ac:dyDescent="0.35">
      <c r="X142" s="66" t="s">
        <v>633</v>
      </c>
      <c r="Y142" s="1" t="s">
        <v>566</v>
      </c>
      <c r="Z142" s="63">
        <v>189.2</v>
      </c>
      <c r="AA142" s="1" t="s">
        <v>397</v>
      </c>
      <c r="AC142" s="1" t="s">
        <v>396</v>
      </c>
      <c r="AD142" s="1" t="s">
        <v>18</v>
      </c>
      <c r="AF142" s="1">
        <f>Table1[[#This Row],[C:C]]*1.1</f>
        <v>0</v>
      </c>
      <c r="AI142" s="1">
        <f>IFERROR(VLOOKUP(X142,#REF!,8,FALSE),0)</f>
        <v>0</v>
      </c>
      <c r="AN142" s="1" t="str">
        <f>PROD_ID_TABLE[[#This Row],[PROD ID]]</f>
        <v xml:space="preserve"> COVEMEAY1 G</v>
      </c>
      <c r="AO142" s="1" t="str">
        <f t="shared" si="30"/>
        <v>CRYLAFLOR COVEMED. GRAY1 GAL KIT</v>
      </c>
      <c r="AP142" s="3">
        <f t="shared" si="31"/>
        <v>117.7</v>
      </c>
      <c r="AQ142" s="1" t="str">
        <f t="shared" si="32"/>
        <v>1 GAL KIT</v>
      </c>
      <c r="AS142" s="1" t="str">
        <f t="shared" si="33"/>
        <v>MED. GRAY</v>
      </c>
      <c r="AT142"/>
      <c r="AU142"/>
      <c r="AV142"/>
      <c r="AY142" t="str">
        <f t="shared" si="34"/>
        <v xml:space="preserve"> COVEMEAY1 G</v>
      </c>
      <c r="AZ142" s="1" t="str">
        <f t="shared" si="35"/>
        <v xml:space="preserve"> COVE</v>
      </c>
      <c r="BA142" t="str">
        <f t="shared" si="36"/>
        <v>MEAY</v>
      </c>
      <c r="BB142" s="1" t="str">
        <f t="shared" si="28"/>
        <v>1 G</v>
      </c>
      <c r="BC142" s="1">
        <f t="shared" si="29"/>
        <v>117.7</v>
      </c>
      <c r="BD142" s="62" t="s">
        <v>373</v>
      </c>
      <c r="BE142" s="55" t="s">
        <v>402</v>
      </c>
      <c r="BF142" s="55" t="s">
        <v>1073</v>
      </c>
      <c r="BG142" s="55" t="s">
        <v>309</v>
      </c>
      <c r="BJ142"/>
      <c r="BK142"/>
      <c r="BM142"/>
    </row>
    <row r="143" spans="24:65" x14ac:dyDescent="0.35">
      <c r="X143" s="66" t="s">
        <v>628</v>
      </c>
      <c r="Y143" s="1" t="s">
        <v>566</v>
      </c>
      <c r="Z143" s="63">
        <v>189.2</v>
      </c>
      <c r="AA143" s="1" t="s">
        <v>397</v>
      </c>
      <c r="AC143" s="1" t="s">
        <v>383</v>
      </c>
      <c r="AD143" s="1" t="s">
        <v>18</v>
      </c>
      <c r="AF143" s="1">
        <f>Table1[[#This Row],[C:C]]*1.1</f>
        <v>0</v>
      </c>
      <c r="AI143" s="1">
        <f>IFERROR(VLOOKUP(X143,#REF!,8,FALSE),0)</f>
        <v>0</v>
      </c>
      <c r="AN143" s="1" t="str">
        <f>PROD_ID_TABLE[[#This Row],[PROD ID]]</f>
        <v xml:space="preserve"> COVESLAY1 G</v>
      </c>
      <c r="AO143" s="1" t="str">
        <f t="shared" si="30"/>
        <v>CRYLAFLOR COVESLATE GRAY1 GAL KIT</v>
      </c>
      <c r="AP143" s="3">
        <f t="shared" si="31"/>
        <v>117.7</v>
      </c>
      <c r="AQ143" s="1" t="str">
        <f t="shared" si="32"/>
        <v>1 GAL KIT</v>
      </c>
      <c r="AS143" s="1" t="str">
        <f t="shared" si="33"/>
        <v>SLATE GRAY</v>
      </c>
      <c r="AT143"/>
      <c r="AU143"/>
      <c r="AV143"/>
      <c r="AY143" t="str">
        <f t="shared" si="34"/>
        <v xml:space="preserve"> COVESLAY1 G</v>
      </c>
      <c r="AZ143" s="1" t="str">
        <f t="shared" si="35"/>
        <v xml:space="preserve"> COVE</v>
      </c>
      <c r="BA143" t="str">
        <f t="shared" si="36"/>
        <v>SLAY</v>
      </c>
      <c r="BB143" s="1" t="str">
        <f t="shared" si="28"/>
        <v>1 G</v>
      </c>
      <c r="BC143" s="1">
        <f t="shared" si="29"/>
        <v>117.7</v>
      </c>
      <c r="BD143" s="62" t="s">
        <v>373</v>
      </c>
      <c r="BE143" s="55" t="s">
        <v>403</v>
      </c>
      <c r="BF143" s="55" t="s">
        <v>1073</v>
      </c>
      <c r="BG143" s="55" t="s">
        <v>309</v>
      </c>
      <c r="BJ143"/>
      <c r="BK143"/>
      <c r="BM143"/>
    </row>
    <row r="144" spans="24:65" x14ac:dyDescent="0.35">
      <c r="X144" s="66" t="s">
        <v>641</v>
      </c>
      <c r="Y144" s="1" t="s">
        <v>567</v>
      </c>
      <c r="Z144" s="63">
        <v>284.63</v>
      </c>
      <c r="AA144" s="1" t="s">
        <v>550</v>
      </c>
      <c r="AC144" s="1" t="s">
        <v>707</v>
      </c>
      <c r="AD144" s="1" t="s">
        <v>18</v>
      </c>
      <c r="AF144" s="1">
        <f>Table1[[#This Row],[C:C]]*1.1</f>
        <v>0</v>
      </c>
      <c r="AI144" s="1">
        <f>IFERROR(VLOOKUP(X144,#REF!,8,FALSE),0)</f>
        <v>0</v>
      </c>
      <c r="AN144" s="1" t="str">
        <f>PROD_ID_TABLE[[#This Row],[PROD ID]]</f>
        <v xml:space="preserve"> COVESPAL1 G</v>
      </c>
      <c r="AO144" s="1" t="str">
        <f t="shared" si="30"/>
        <v>CRYLAFLOR COVESPECIAL1 GAL KIT</v>
      </c>
      <c r="AP144" s="3">
        <f t="shared" si="31"/>
        <v>117.7</v>
      </c>
      <c r="AQ144" s="1" t="str">
        <f t="shared" si="32"/>
        <v>1 GAL KIT</v>
      </c>
      <c r="AS144" s="1" t="str">
        <f t="shared" si="33"/>
        <v>SPECIAL</v>
      </c>
      <c r="AT144"/>
      <c r="AU144"/>
      <c r="AV144"/>
      <c r="AY144" t="str">
        <f t="shared" si="34"/>
        <v xml:space="preserve"> COVESPAL1 G</v>
      </c>
      <c r="AZ144" s="1" t="str">
        <f t="shared" si="35"/>
        <v xml:space="preserve"> COVE</v>
      </c>
      <c r="BA144" t="str">
        <f t="shared" si="36"/>
        <v>SPAL</v>
      </c>
      <c r="BB144" s="1" t="str">
        <f t="shared" si="28"/>
        <v>1 G</v>
      </c>
      <c r="BC144" s="1">
        <f t="shared" si="29"/>
        <v>117.7</v>
      </c>
      <c r="BD144" s="62" t="s">
        <v>373</v>
      </c>
      <c r="BE144" s="55" t="s">
        <v>404</v>
      </c>
      <c r="BF144" s="55" t="s">
        <v>1073</v>
      </c>
      <c r="BG144" s="55" t="s">
        <v>309</v>
      </c>
      <c r="BJ144"/>
      <c r="BK144"/>
      <c r="BM144"/>
    </row>
    <row r="145" spans="24:65" x14ac:dyDescent="0.35">
      <c r="X145" s="66" t="s">
        <v>658</v>
      </c>
      <c r="Y145" s="1" t="s">
        <v>570</v>
      </c>
      <c r="Z145" s="63">
        <v>183.33</v>
      </c>
      <c r="AA145" s="1" t="s">
        <v>552</v>
      </c>
      <c r="AC145" s="1" t="s">
        <v>698</v>
      </c>
      <c r="AD145" s="1" t="s">
        <v>18</v>
      </c>
      <c r="AF145" s="1">
        <f>Table1[[#This Row],[C:C]]*1.1</f>
        <v>0</v>
      </c>
      <c r="AI145" s="1">
        <f>IFERROR(VLOOKUP(X145,#REF!,8,FALSE),0)</f>
        <v>0</v>
      </c>
      <c r="AN145" s="1" t="str">
        <f>PROD_ID_TABLE[[#This Row],[PROD ID]]</f>
        <v xml:space="preserve"> COVEWHTE1 G</v>
      </c>
      <c r="AO145" s="1" t="str">
        <f t="shared" si="30"/>
        <v>CRYLAFLOR COVEWHITE1 GAL KIT</v>
      </c>
      <c r="AP145" s="3">
        <f t="shared" si="31"/>
        <v>117.7</v>
      </c>
      <c r="AQ145" s="1" t="str">
        <f t="shared" si="32"/>
        <v>1 GAL KIT</v>
      </c>
      <c r="AS145" s="1" t="str">
        <f t="shared" si="33"/>
        <v>WHITE</v>
      </c>
      <c r="AT145"/>
      <c r="AU145"/>
      <c r="AV145"/>
      <c r="AY145" t="str">
        <f t="shared" si="34"/>
        <v xml:space="preserve"> COVEWHTE1 G</v>
      </c>
      <c r="AZ145" s="1" t="str">
        <f t="shared" si="35"/>
        <v xml:space="preserve"> COVE</v>
      </c>
      <c r="BA145" t="str">
        <f t="shared" si="36"/>
        <v>WHTE</v>
      </c>
      <c r="BB145" s="1" t="str">
        <f t="shared" si="28"/>
        <v>1 G</v>
      </c>
      <c r="BC145" s="1">
        <f t="shared" si="29"/>
        <v>117.7</v>
      </c>
      <c r="BD145" s="62" t="s">
        <v>373</v>
      </c>
      <c r="BE145" s="55" t="s">
        <v>322</v>
      </c>
      <c r="BF145" s="55" t="s">
        <v>1073</v>
      </c>
      <c r="BG145" s="55" t="s">
        <v>309</v>
      </c>
      <c r="BJ145"/>
      <c r="BK145"/>
      <c r="BM145"/>
    </row>
    <row r="146" spans="24:65" x14ac:dyDescent="0.35">
      <c r="X146" s="66" t="s">
        <v>643</v>
      </c>
      <c r="Y146" s="1" t="s">
        <v>568</v>
      </c>
      <c r="Z146" s="63">
        <v>68.75</v>
      </c>
      <c r="AA146" s="1" t="s">
        <v>551</v>
      </c>
      <c r="AC146" s="1" t="s">
        <v>429</v>
      </c>
      <c r="AD146" s="1" t="s">
        <v>18</v>
      </c>
      <c r="AF146" s="1">
        <f>Table1[[#This Row],[C:C]]*1.1</f>
        <v>0</v>
      </c>
      <c r="AI146" s="1">
        <f>IFERROR(VLOOKUP(X146,#REF!,8,FALSE),0)</f>
        <v>0</v>
      </c>
      <c r="AN146" s="1" t="str">
        <f>PROD_ID_TABLE[[#This Row],[PROD ID]]</f>
        <v xml:space="preserve"> CURE (BPON//A5 L</v>
      </c>
      <c r="AO146" s="1" t="str">
        <f t="shared" si="30"/>
        <v>CRYLAFLOR CURE (BPO)N/A5 LB KIT</v>
      </c>
      <c r="AP146" s="3">
        <f t="shared" si="31"/>
        <v>122.41</v>
      </c>
      <c r="AQ146" s="1" t="str">
        <f t="shared" si="32"/>
        <v>5 LB KIT</v>
      </c>
      <c r="AS146" s="1" t="str">
        <f t="shared" si="33"/>
        <v>N/A</v>
      </c>
      <c r="AT146"/>
      <c r="AU146"/>
      <c r="AV146"/>
      <c r="AY146" t="str">
        <f t="shared" si="34"/>
        <v xml:space="preserve"> CURE (BPON//A5 L</v>
      </c>
      <c r="AZ146" s="1" t="str">
        <f t="shared" si="35"/>
        <v xml:space="preserve"> CURE (BPO</v>
      </c>
      <c r="BA146" t="str">
        <f t="shared" si="36"/>
        <v>N//A</v>
      </c>
      <c r="BB146" s="1" t="str">
        <f t="shared" si="28"/>
        <v>5 L</v>
      </c>
      <c r="BC146" s="1">
        <v>122.41</v>
      </c>
      <c r="BD146" s="1" t="s">
        <v>374</v>
      </c>
      <c r="BE146" s="14" t="s">
        <v>398</v>
      </c>
      <c r="BF146" s="14" t="s">
        <v>1074</v>
      </c>
      <c r="BG146" s="14" t="s">
        <v>309</v>
      </c>
      <c r="BJ146"/>
      <c r="BK146"/>
      <c r="BM146"/>
    </row>
    <row r="147" spans="24:65" x14ac:dyDescent="0.35">
      <c r="X147" s="66" t="s">
        <v>605</v>
      </c>
      <c r="Y147" s="1" t="s">
        <v>560</v>
      </c>
      <c r="Z147" s="63">
        <v>260.76</v>
      </c>
      <c r="AA147" s="1" t="s">
        <v>397</v>
      </c>
      <c r="AC147" s="1" t="s">
        <v>429</v>
      </c>
      <c r="AD147" s="1" t="s">
        <v>18</v>
      </c>
      <c r="AF147" s="1">
        <f>Table1[[#This Row],[C:C]]*1.1</f>
        <v>0</v>
      </c>
      <c r="AI147" s="1">
        <f>IFERROR(VLOOKUP(X147,#REF!,8,FALSE),0)</f>
        <v>0</v>
      </c>
      <c r="AN147" s="1" t="str">
        <f>PROD_ID_TABLE[[#This Row],[PROD ID]]</f>
        <v xml:space="preserve"> COLOR - BBEGEKIT</v>
      </c>
      <c r="AO147" s="1" t="str">
        <f t="shared" si="30"/>
        <v>CRYLAFLOR COLOR - BACKGROUND ONLYBEIGEKIT</v>
      </c>
      <c r="AP147" s="3">
        <f t="shared" si="31"/>
        <v>112.8</v>
      </c>
      <c r="AQ147" s="1" t="str">
        <f t="shared" si="32"/>
        <v>KIT</v>
      </c>
      <c r="AS147" s="1" t="str">
        <f t="shared" si="33"/>
        <v>BEIGE</v>
      </c>
      <c r="AT147"/>
      <c r="AU147"/>
      <c r="AV147"/>
      <c r="AY147" t="str">
        <f t="shared" si="34"/>
        <v xml:space="preserve"> COLOR - BBEGEKIT</v>
      </c>
      <c r="AZ147" s="1" t="str">
        <f t="shared" si="35"/>
        <v xml:space="preserve"> COLOR - B</v>
      </c>
      <c r="BA147" t="str">
        <f t="shared" si="36"/>
        <v>BEGE</v>
      </c>
      <c r="BB147" s="1" t="str">
        <f t="shared" si="28"/>
        <v>KIT</v>
      </c>
      <c r="BC147" s="1">
        <f t="shared" si="29"/>
        <v>112.8</v>
      </c>
      <c r="BD147" s="62" t="s">
        <v>375</v>
      </c>
      <c r="BE147" s="55" t="s">
        <v>399</v>
      </c>
      <c r="BF147" s="55" t="s">
        <v>397</v>
      </c>
      <c r="BG147" s="55" t="s">
        <v>309</v>
      </c>
      <c r="BJ147"/>
      <c r="BK147"/>
      <c r="BM147"/>
    </row>
    <row r="148" spans="24:65" x14ac:dyDescent="0.35">
      <c r="X148" s="66" t="s">
        <v>606</v>
      </c>
      <c r="Y148" s="1" t="s">
        <v>561</v>
      </c>
      <c r="Z148" s="63">
        <v>279.02</v>
      </c>
      <c r="AA148" s="1" t="s">
        <v>397</v>
      </c>
      <c r="AC148" s="1" t="s">
        <v>429</v>
      </c>
      <c r="AD148" s="1" t="s">
        <v>18</v>
      </c>
      <c r="AF148" s="1">
        <f>Table1[[#This Row],[C:C]]*1.1</f>
        <v>0</v>
      </c>
      <c r="AI148" s="1">
        <f>IFERROR(VLOOKUP(X148,#REF!,8,FALSE),0)</f>
        <v>0</v>
      </c>
      <c r="AN148" s="1" t="str">
        <f>PROD_ID_TABLE[[#This Row],[PROD ID]]</f>
        <v xml:space="preserve"> COLOR - BBLCKKIT</v>
      </c>
      <c r="AO148" s="1" t="str">
        <f t="shared" si="30"/>
        <v>CRYLAFLOR COLOR - BACKGROUND ONLYBLACKKIT</v>
      </c>
      <c r="AP148" s="3">
        <f t="shared" si="31"/>
        <v>112.8</v>
      </c>
      <c r="AQ148" s="1" t="str">
        <f t="shared" si="32"/>
        <v>KIT</v>
      </c>
      <c r="AS148" s="1" t="str">
        <f t="shared" si="33"/>
        <v>BLACK</v>
      </c>
      <c r="AT148"/>
      <c r="AU148"/>
      <c r="AV148"/>
      <c r="AY148" t="str">
        <f t="shared" si="34"/>
        <v xml:space="preserve"> COLOR - BBLCKKIT</v>
      </c>
      <c r="AZ148" s="1" t="str">
        <f t="shared" si="35"/>
        <v xml:space="preserve"> COLOR - B</v>
      </c>
      <c r="BA148" t="str">
        <f t="shared" si="36"/>
        <v>BLCK</v>
      </c>
      <c r="BB148" s="1" t="str">
        <f t="shared" si="28"/>
        <v>KIT</v>
      </c>
      <c r="BC148" s="1">
        <f t="shared" si="29"/>
        <v>112.8</v>
      </c>
      <c r="BD148" s="62" t="s">
        <v>375</v>
      </c>
      <c r="BE148" s="55" t="s">
        <v>323</v>
      </c>
      <c r="BF148" s="55" t="s">
        <v>397</v>
      </c>
      <c r="BG148" s="55" t="s">
        <v>309</v>
      </c>
      <c r="BJ148"/>
      <c r="BK148"/>
      <c r="BM148"/>
    </row>
    <row r="149" spans="24:65" x14ac:dyDescent="0.35">
      <c r="X149" s="66" t="s">
        <v>657</v>
      </c>
      <c r="Y149" s="1" t="s">
        <v>570</v>
      </c>
      <c r="Z149" s="63">
        <v>183.33</v>
      </c>
      <c r="AA149" s="1" t="s">
        <v>552</v>
      </c>
      <c r="AC149" s="1" t="s">
        <v>688</v>
      </c>
      <c r="AD149" s="1" t="s">
        <v>18</v>
      </c>
      <c r="AF149" s="1">
        <f>Table1[[#This Row],[C:C]]*1.1</f>
        <v>0</v>
      </c>
      <c r="AI149" s="1">
        <f>IFERROR(VLOOKUP(X149,#REF!,8,FALSE),0)</f>
        <v>0</v>
      </c>
      <c r="AN149" s="1" t="str">
        <f>PROD_ID_TABLE[[#This Row],[PROD ID]]</f>
        <v xml:space="preserve"> COLOR - BGRAYKIT</v>
      </c>
      <c r="AO149" s="1" t="str">
        <f t="shared" si="30"/>
        <v>CRYLAFLOR COLOR - BACKGROUND ONLYGRAYKIT</v>
      </c>
      <c r="AP149" s="3">
        <f t="shared" si="31"/>
        <v>112.8</v>
      </c>
      <c r="AQ149" s="1" t="str">
        <f t="shared" si="32"/>
        <v>KIT</v>
      </c>
      <c r="AS149" s="1" t="str">
        <f t="shared" si="33"/>
        <v>GRAY</v>
      </c>
      <c r="AT149"/>
      <c r="AU149"/>
      <c r="AV149"/>
      <c r="AY149" t="str">
        <f t="shared" si="34"/>
        <v xml:space="preserve"> COLOR - BGRAYKIT</v>
      </c>
      <c r="AZ149" s="1" t="str">
        <f t="shared" si="35"/>
        <v xml:space="preserve"> COLOR - B</v>
      </c>
      <c r="BA149" t="str">
        <f t="shared" si="36"/>
        <v>GRAY</v>
      </c>
      <c r="BB149" s="1" t="str">
        <f t="shared" si="28"/>
        <v>KIT</v>
      </c>
      <c r="BC149" s="1">
        <f t="shared" si="29"/>
        <v>112.8</v>
      </c>
      <c r="BD149" s="62" t="s">
        <v>375</v>
      </c>
      <c r="BE149" s="55" t="s">
        <v>317</v>
      </c>
      <c r="BF149" s="55" t="s">
        <v>397</v>
      </c>
      <c r="BG149" s="55" t="s">
        <v>309</v>
      </c>
      <c r="BJ149"/>
      <c r="BK149"/>
      <c r="BM149"/>
    </row>
    <row r="150" spans="24:65" x14ac:dyDescent="0.35">
      <c r="X150" s="66" t="s">
        <v>647</v>
      </c>
      <c r="Y150" s="1" t="s">
        <v>570</v>
      </c>
      <c r="Z150" s="63">
        <v>183.33</v>
      </c>
      <c r="AA150" s="1" t="s">
        <v>552</v>
      </c>
      <c r="AC150" s="1" t="s">
        <v>691</v>
      </c>
      <c r="AD150" s="1" t="s">
        <v>18</v>
      </c>
      <c r="AF150" s="1">
        <f>Table1[[#This Row],[C:C]]*1.1</f>
        <v>0</v>
      </c>
      <c r="AI150" s="1">
        <f>IFERROR(VLOOKUP(X150,#REF!,8,FALSE),0)</f>
        <v>0</v>
      </c>
      <c r="AN150" s="1" t="str">
        <f>PROD_ID_TABLE[[#This Row],[PROD ID]]</f>
        <v xml:space="preserve"> COLOR - BGRENKIT</v>
      </c>
      <c r="AO150" s="1" t="str">
        <f t="shared" si="30"/>
        <v>CRYLAFLOR COLOR - BACKGROUND ONLYGREENKIT</v>
      </c>
      <c r="AP150" s="3">
        <f t="shared" si="31"/>
        <v>112.8</v>
      </c>
      <c r="AQ150" s="1" t="str">
        <f t="shared" si="32"/>
        <v>KIT</v>
      </c>
      <c r="AS150" s="1" t="str">
        <f t="shared" si="33"/>
        <v>GREEN</v>
      </c>
      <c r="AT150"/>
      <c r="AU150"/>
      <c r="AV150"/>
      <c r="AY150" t="str">
        <f t="shared" si="34"/>
        <v xml:space="preserve"> COLOR - BGRENKIT</v>
      </c>
      <c r="AZ150" s="1" t="str">
        <f t="shared" si="35"/>
        <v xml:space="preserve"> COLOR - B</v>
      </c>
      <c r="BA150" t="str">
        <f t="shared" si="36"/>
        <v>GREN</v>
      </c>
      <c r="BB150" s="1" t="str">
        <f t="shared" si="28"/>
        <v>KIT</v>
      </c>
      <c r="BC150" s="1">
        <f t="shared" si="29"/>
        <v>112.8</v>
      </c>
      <c r="BD150" s="62" t="s">
        <v>375</v>
      </c>
      <c r="BE150" s="55" t="s">
        <v>395</v>
      </c>
      <c r="BF150" s="55" t="s">
        <v>397</v>
      </c>
      <c r="BG150" s="55" t="s">
        <v>309</v>
      </c>
      <c r="BJ150"/>
      <c r="BK150"/>
      <c r="BM150"/>
    </row>
    <row r="151" spans="24:65" x14ac:dyDescent="0.35">
      <c r="X151" s="66" t="s">
        <v>662</v>
      </c>
      <c r="Y151" s="1" t="s">
        <v>570</v>
      </c>
      <c r="Z151" s="63">
        <v>183.33</v>
      </c>
      <c r="AA151" s="1" t="s">
        <v>552</v>
      </c>
      <c r="AC151" s="1" t="s">
        <v>693</v>
      </c>
      <c r="AD151" s="1" t="s">
        <v>18</v>
      </c>
      <c r="AF151" s="1">
        <f>Table1[[#This Row],[C:C]]*1.1</f>
        <v>0</v>
      </c>
      <c r="AI151" s="1">
        <f>IFERROR(VLOOKUP(X151,#REF!,8,FALSE),0)</f>
        <v>0</v>
      </c>
      <c r="AN151" s="1" t="str">
        <f>PROD_ID_TABLE[[#This Row],[PROD ID]]</f>
        <v xml:space="preserve"> COLOR - BTIEDKIT</v>
      </c>
      <c r="AO151" s="1" t="str">
        <f t="shared" si="30"/>
        <v>CRYLAFLOR COLOR - BACKGROUND ONLYTILE REDKIT</v>
      </c>
      <c r="AP151" s="3">
        <f t="shared" si="31"/>
        <v>112.8</v>
      </c>
      <c r="AQ151" s="1" t="str">
        <f t="shared" si="32"/>
        <v>KIT</v>
      </c>
      <c r="AS151" s="1" t="str">
        <f t="shared" si="33"/>
        <v>TILE RED</v>
      </c>
      <c r="AT151"/>
      <c r="AU151"/>
      <c r="AV151"/>
      <c r="AY151" t="str">
        <f t="shared" si="34"/>
        <v xml:space="preserve"> COLOR - BTIEDKIT</v>
      </c>
      <c r="AZ151" s="1" t="str">
        <f t="shared" si="35"/>
        <v xml:space="preserve"> COLOR - B</v>
      </c>
      <c r="BA151" t="str">
        <f t="shared" si="36"/>
        <v>TIED</v>
      </c>
      <c r="BB151" s="1" t="str">
        <f t="shared" si="28"/>
        <v>KIT</v>
      </c>
      <c r="BC151" s="1">
        <f t="shared" si="29"/>
        <v>112.8</v>
      </c>
      <c r="BD151" s="62" t="s">
        <v>375</v>
      </c>
      <c r="BE151" s="55" t="s">
        <v>387</v>
      </c>
      <c r="BF151" s="55" t="s">
        <v>397</v>
      </c>
      <c r="BG151" s="55" t="s">
        <v>309</v>
      </c>
      <c r="BJ151"/>
      <c r="BK151"/>
      <c r="BM151"/>
    </row>
    <row r="152" spans="24:65" x14ac:dyDescent="0.35">
      <c r="X152" s="66" t="s">
        <v>654</v>
      </c>
      <c r="Y152" s="1" t="s">
        <v>570</v>
      </c>
      <c r="Z152" s="63">
        <v>183.33</v>
      </c>
      <c r="AA152" s="1" t="s">
        <v>552</v>
      </c>
      <c r="AC152" s="1" t="s">
        <v>712</v>
      </c>
      <c r="AD152" s="1" t="s">
        <v>18</v>
      </c>
      <c r="AF152" s="1">
        <f>Table1[[#This Row],[C:C]]*1.1</f>
        <v>0</v>
      </c>
      <c r="AI152" s="1">
        <f>IFERROR(VLOOKUP(X152,#REF!,8,FALSE),0)</f>
        <v>0</v>
      </c>
      <c r="AN152" s="1" t="str">
        <f>PROD_ID_TABLE[[#This Row],[PROD ID]]</f>
        <v xml:space="preserve"> COLOR - BWHTEKIT</v>
      </c>
      <c r="AO152" s="1" t="str">
        <f t="shared" si="30"/>
        <v>CRYLAFLOR COLOR - BACKGROUND ONLYWHITEKIT</v>
      </c>
      <c r="AP152" s="3">
        <f t="shared" si="31"/>
        <v>112.8</v>
      </c>
      <c r="AQ152" s="1" t="str">
        <f t="shared" si="32"/>
        <v>KIT</v>
      </c>
      <c r="AS152" s="1" t="str">
        <f t="shared" si="33"/>
        <v>WHITE</v>
      </c>
      <c r="AT152"/>
      <c r="AU152"/>
      <c r="AV152"/>
      <c r="AY152" t="str">
        <f t="shared" si="34"/>
        <v xml:space="preserve"> COLOR - BWHTEKIT</v>
      </c>
      <c r="AZ152" s="1" t="str">
        <f t="shared" si="35"/>
        <v xml:space="preserve"> COLOR - B</v>
      </c>
      <c r="BA152" t="str">
        <f t="shared" si="36"/>
        <v>WHTE</v>
      </c>
      <c r="BB152" s="1" t="str">
        <f t="shared" si="28"/>
        <v>KIT</v>
      </c>
      <c r="BC152" s="1">
        <f t="shared" si="29"/>
        <v>112.8</v>
      </c>
      <c r="BD152" s="62" t="s">
        <v>375</v>
      </c>
      <c r="BE152" s="55" t="s">
        <v>322</v>
      </c>
      <c r="BF152" s="55" t="s">
        <v>397</v>
      </c>
      <c r="BG152" s="55" t="s">
        <v>309</v>
      </c>
      <c r="BJ152"/>
      <c r="BK152"/>
      <c r="BM152"/>
    </row>
    <row r="153" spans="24:65" x14ac:dyDescent="0.35">
      <c r="X153" s="66" t="s">
        <v>646</v>
      </c>
      <c r="Y153" s="1" t="s">
        <v>570</v>
      </c>
      <c r="Z153" s="63">
        <v>183.33</v>
      </c>
      <c r="AA153" s="1" t="s">
        <v>552</v>
      </c>
      <c r="AC153" s="1" t="s">
        <v>399</v>
      </c>
      <c r="AD153" s="1" t="s">
        <v>18</v>
      </c>
      <c r="AF153" s="1">
        <f>Table1[[#This Row],[C:C]]*1.1</f>
        <v>0</v>
      </c>
      <c r="AI153" s="1">
        <f>IFERROR(VLOOKUP(X153,#REF!,8,FALSE),0)</f>
        <v>0</v>
      </c>
      <c r="AN153" s="1" t="str">
        <f>PROD_ID_TABLE[[#This Row],[PROD ID]]</f>
        <v xml:space="preserve"> BOND MT MN//AKIT</v>
      </c>
      <c r="AO153" s="1" t="str">
        <f t="shared" si="30"/>
        <v>CRYLAFLOR BOND MT METAL/TILE ENHANCERN/AKIT</v>
      </c>
      <c r="AP153" s="3">
        <f t="shared" si="31"/>
        <v>85.8</v>
      </c>
      <c r="AQ153" s="1" t="str">
        <f t="shared" si="32"/>
        <v>KIT</v>
      </c>
      <c r="AS153" s="1" t="str">
        <f t="shared" si="33"/>
        <v>N/A</v>
      </c>
      <c r="AT153"/>
      <c r="AU153"/>
      <c r="AV153"/>
      <c r="AY153" t="str">
        <f t="shared" si="34"/>
        <v xml:space="preserve"> BOND MT MN//AKIT</v>
      </c>
      <c r="AZ153" s="1" t="str">
        <f t="shared" si="35"/>
        <v xml:space="preserve"> BOND MT M</v>
      </c>
      <c r="BA153" t="str">
        <f t="shared" si="36"/>
        <v>N//A</v>
      </c>
      <c r="BB153" s="1" t="str">
        <f t="shared" si="28"/>
        <v>KIT</v>
      </c>
      <c r="BC153" s="1">
        <f t="shared" si="29"/>
        <v>85.8</v>
      </c>
      <c r="BD153" s="1" t="s">
        <v>377</v>
      </c>
      <c r="BE153" s="14" t="s">
        <v>398</v>
      </c>
      <c r="BF153" s="14" t="s">
        <v>397</v>
      </c>
      <c r="BG153" s="14" t="s">
        <v>309</v>
      </c>
      <c r="BJ153"/>
      <c r="BK153"/>
      <c r="BM153"/>
    </row>
    <row r="154" spans="24:65" x14ac:dyDescent="0.35">
      <c r="X154" s="66" t="s">
        <v>655</v>
      </c>
      <c r="Y154" s="1" t="s">
        <v>570</v>
      </c>
      <c r="Z154" s="63">
        <v>183.33</v>
      </c>
      <c r="AA154" s="1" t="s">
        <v>552</v>
      </c>
      <c r="AC154" s="1" t="s">
        <v>700</v>
      </c>
      <c r="AD154" s="1" t="s">
        <v>18</v>
      </c>
      <c r="AF154" s="1">
        <f>Table1[[#This Row],[C:C]]*1.1</f>
        <v>0</v>
      </c>
      <c r="AI154" s="1">
        <f>IFERROR(VLOOKUP(X154,#REF!,8,FALSE),0)</f>
        <v>0</v>
      </c>
      <c r="AN154" s="1" t="str">
        <f>PROD_ID_TABLE[[#This Row],[PROD ID]]</f>
        <v xml:space="preserve"> CLEAN SOLN//AKIT</v>
      </c>
      <c r="AO154" s="1" t="str">
        <f t="shared" si="30"/>
        <v>CRYLAFLOR CLEAN SOLVENT TO CLEAN TOOLSN/AKIT</v>
      </c>
      <c r="AP154" s="3">
        <f t="shared" si="31"/>
        <v>37.799999999999997</v>
      </c>
      <c r="AQ154" s="1" t="str">
        <f t="shared" si="32"/>
        <v>KIT</v>
      </c>
      <c r="AS154" s="1" t="str">
        <f t="shared" si="33"/>
        <v>N/A</v>
      </c>
      <c r="AT154"/>
      <c r="AU154"/>
      <c r="AV154"/>
      <c r="AY154" t="str">
        <f t="shared" si="34"/>
        <v xml:space="preserve"> CLEAN SOLN//AKIT</v>
      </c>
      <c r="AZ154" s="1" t="str">
        <f t="shared" si="35"/>
        <v xml:space="preserve"> CLEAN SOL</v>
      </c>
      <c r="BA154" t="str">
        <f t="shared" si="36"/>
        <v>N//A</v>
      </c>
      <c r="BB154" s="1" t="str">
        <f t="shared" si="28"/>
        <v>KIT</v>
      </c>
      <c r="BC154" s="1">
        <f t="shared" si="29"/>
        <v>37.799999999999997</v>
      </c>
      <c r="BD154" s="62" t="s">
        <v>378</v>
      </c>
      <c r="BE154" s="55" t="s">
        <v>398</v>
      </c>
      <c r="BF154" s="55" t="s">
        <v>397</v>
      </c>
      <c r="BG154" s="55" t="s">
        <v>309</v>
      </c>
      <c r="BJ154"/>
      <c r="BK154"/>
      <c r="BM154"/>
    </row>
    <row r="155" spans="24:65" ht="15" thickBot="1" x14ac:dyDescent="0.4">
      <c r="X155" s="66" t="s">
        <v>649</v>
      </c>
      <c r="Y155" s="1" t="s">
        <v>570</v>
      </c>
      <c r="Z155" s="63">
        <v>183.33</v>
      </c>
      <c r="AA155" s="1" t="s">
        <v>552</v>
      </c>
      <c r="AC155" s="1" t="s">
        <v>694</v>
      </c>
      <c r="AD155" s="1" t="s">
        <v>18</v>
      </c>
      <c r="AF155" s="1">
        <f>Table1[[#This Row],[C:C]]*1.1</f>
        <v>0</v>
      </c>
      <c r="AI155" s="1">
        <f>IFERROR(VLOOKUP(X155,#REF!,8,FALSE),0)</f>
        <v>0</v>
      </c>
      <c r="AN155" s="1" t="str">
        <f>PROD_ID_TABLE[[#This Row],[PROD ID]]</f>
        <v xml:space="preserve"> LTC ADDITN//AKIT</v>
      </c>
      <c r="AO155" s="1" t="str">
        <f t="shared" si="30"/>
        <v>CRYLAFLOR LTC ADDITIVE LOW TEMPERATUREN/AKIT</v>
      </c>
      <c r="AP155" s="3">
        <f t="shared" si="31"/>
        <v>46.8</v>
      </c>
      <c r="AQ155" s="1" t="str">
        <f t="shared" si="32"/>
        <v>KIT</v>
      </c>
      <c r="AS155" s="1" t="str">
        <f t="shared" si="33"/>
        <v>N/A</v>
      </c>
      <c r="AT155"/>
      <c r="AU155"/>
      <c r="AV155"/>
      <c r="AY155" t="str">
        <f t="shared" si="34"/>
        <v xml:space="preserve"> LTC ADDITN//AKIT</v>
      </c>
      <c r="AZ155" s="1" t="str">
        <f t="shared" si="35"/>
        <v xml:space="preserve"> LTC ADDIT</v>
      </c>
      <c r="BA155" t="str">
        <f t="shared" si="36"/>
        <v>N//A</v>
      </c>
      <c r="BB155" s="1" t="str">
        <f t="shared" si="28"/>
        <v>KIT</v>
      </c>
      <c r="BC155" s="1">
        <f t="shared" si="29"/>
        <v>46.8</v>
      </c>
      <c r="BD155" s="1" t="s">
        <v>379</v>
      </c>
      <c r="BE155" s="14" t="s">
        <v>398</v>
      </c>
      <c r="BF155" s="14" t="s">
        <v>397</v>
      </c>
      <c r="BG155" s="14" t="s">
        <v>309</v>
      </c>
      <c r="BJ155"/>
      <c r="BK155"/>
      <c r="BM155"/>
    </row>
    <row r="156" spans="24:65" ht="15" thickBot="1" x14ac:dyDescent="0.4">
      <c r="X156" s="66" t="s">
        <v>661</v>
      </c>
      <c r="Y156" s="1" t="s">
        <v>570</v>
      </c>
      <c r="Z156" s="63">
        <v>183.33</v>
      </c>
      <c r="AA156" s="1" t="s">
        <v>552</v>
      </c>
      <c r="AC156" s="1" t="s">
        <v>692</v>
      </c>
      <c r="AD156" s="1" t="s">
        <v>18</v>
      </c>
      <c r="AF156" s="1">
        <f>Table1[[#This Row],[C:C]]*1.1</f>
        <v>0</v>
      </c>
      <c r="AI156" s="1">
        <f>IFERROR(VLOOKUP(X156,#REF!,8,FALSE),0)</f>
        <v>0</v>
      </c>
      <c r="AN156" s="1" t="str">
        <f>PROD_ID_TABLE[[#This Row],[PROD ID]]</f>
        <v xml:space="preserve"> SL FILLERN//AKIT</v>
      </c>
      <c r="AO156" s="1" t="str">
        <f t="shared" si="30"/>
        <v>CRYLAFLOR SL FILLER BLEND TO G-201N/AKIT</v>
      </c>
      <c r="AP156" s="3">
        <f t="shared" si="31"/>
        <v>23.4</v>
      </c>
      <c r="AQ156" s="1" t="str">
        <f t="shared" si="32"/>
        <v>KIT</v>
      </c>
      <c r="AS156" s="1" t="str">
        <f t="shared" si="33"/>
        <v>N/A</v>
      </c>
      <c r="AT156"/>
      <c r="AU156"/>
      <c r="AV156"/>
      <c r="AY156" t="str">
        <f t="shared" si="34"/>
        <v xml:space="preserve"> SL FILLERN//AKIT</v>
      </c>
      <c r="AZ156" s="1" t="str">
        <f t="shared" si="35"/>
        <v xml:space="preserve"> SL FILLER</v>
      </c>
      <c r="BA156" t="str">
        <f t="shared" si="36"/>
        <v>N//A</v>
      </c>
      <c r="BB156" s="1" t="str">
        <f t="shared" si="28"/>
        <v>KIT</v>
      </c>
      <c r="BC156" s="1">
        <f t="shared" si="29"/>
        <v>23.4</v>
      </c>
      <c r="BD156" s="57" t="s">
        <v>380</v>
      </c>
      <c r="BE156" s="56" t="s">
        <v>398</v>
      </c>
      <c r="BF156" s="56" t="s">
        <v>397</v>
      </c>
      <c r="BG156" s="56" t="s">
        <v>309</v>
      </c>
      <c r="BH156" s="51" t="s">
        <v>367</v>
      </c>
      <c r="BJ156"/>
      <c r="BK156"/>
      <c r="BM156"/>
    </row>
    <row r="157" spans="24:65" x14ac:dyDescent="0.35">
      <c r="X157" s="66" t="s">
        <v>659</v>
      </c>
      <c r="Y157" s="1" t="s">
        <v>570</v>
      </c>
      <c r="Z157" s="63">
        <v>183.33</v>
      </c>
      <c r="AA157" s="1" t="s">
        <v>552</v>
      </c>
      <c r="AC157" s="1" t="s">
        <v>384</v>
      </c>
      <c r="AD157" s="1" t="s">
        <v>18</v>
      </c>
      <c r="AF157" s="1">
        <f>Table1[[#This Row],[C:C]]*1.1</f>
        <v>0</v>
      </c>
      <c r="AI157" s="1">
        <f>IFERROR(VLOOKUP(X157,#REF!,8,FALSE),0)</f>
        <v>0</v>
      </c>
      <c r="AN157" s="1" t="str">
        <f>PROD_ID_TABLE[[#This Row],[PROD ID]]</f>
        <v>FLA CLEAR CLAR2 G</v>
      </c>
      <c r="AO157" s="1" t="str">
        <f t="shared" si="30"/>
        <v>RESUDECK FLA CLEAR ALIPHATIC POLYASPARTIC TOPCOATCLEAR2 GAL</v>
      </c>
      <c r="AP157" s="3">
        <f t="shared" si="31"/>
        <v>215.98</v>
      </c>
      <c r="AQ157" s="1" t="str">
        <f t="shared" si="32"/>
        <v>2 GAL</v>
      </c>
      <c r="AS157" s="1" t="str">
        <f t="shared" si="33"/>
        <v>CLEAR</v>
      </c>
      <c r="AT157"/>
      <c r="AU157"/>
      <c r="AV157"/>
      <c r="AY157" t="str">
        <f t="shared" si="34"/>
        <v>FLA CLEAR CLAR2 G</v>
      </c>
      <c r="AZ157" s="1" t="str">
        <f t="shared" si="35"/>
        <v xml:space="preserve">FLA CLEAR </v>
      </c>
      <c r="BA157" t="str">
        <f t="shared" si="36"/>
        <v>CLAR</v>
      </c>
      <c r="BB157" s="1" t="str">
        <f t="shared" si="28"/>
        <v>2 G</v>
      </c>
      <c r="BC157" s="1">
        <f t="shared" si="29"/>
        <v>215.98</v>
      </c>
      <c r="BD157" s="50" t="s">
        <v>382</v>
      </c>
      <c r="BE157" s="49" t="s">
        <v>315</v>
      </c>
      <c r="BF157" s="49" t="s">
        <v>406</v>
      </c>
      <c r="BG157" s="49" t="s">
        <v>367</v>
      </c>
      <c r="BH157" s="35" t="s">
        <v>315</v>
      </c>
      <c r="BJ157" t="str" cm="1">
        <f t="array" ref="BJ157">IF(OR(B37=P!$BJ$2,B37=P!$BJ$4),P!$BH$157:$BH$175,P!$BH$157)</f>
        <v>CLEAR</v>
      </c>
      <c r="BK157"/>
      <c r="BM157"/>
    </row>
    <row r="158" spans="24:65" x14ac:dyDescent="0.35">
      <c r="X158" s="66" t="s">
        <v>650</v>
      </c>
      <c r="Y158" s="1" t="s">
        <v>570</v>
      </c>
      <c r="Z158" s="63">
        <v>183.33</v>
      </c>
      <c r="AA158" s="1" t="s">
        <v>552</v>
      </c>
      <c r="AC158" s="1" t="s">
        <v>697</v>
      </c>
      <c r="AD158" s="1" t="s">
        <v>18</v>
      </c>
      <c r="AF158" s="1">
        <f>Table1[[#This Row],[C:C]]*1.1</f>
        <v>0</v>
      </c>
      <c r="AI158" s="1">
        <f>IFERROR(VLOOKUP(X158,#REF!,8,FALSE),0)</f>
        <v>0</v>
      </c>
      <c r="AN158" s="1" t="str">
        <f>PROD_ID_TABLE[[#This Row],[PROD ID]]</f>
        <v>4850 GROUTCLAR3 G</v>
      </c>
      <c r="AO158" s="1" t="str">
        <f t="shared" si="30"/>
        <v>ACCELERA 4850 GROUT/TOPCOAT POLYASPARTICCLEAR3 GAL</v>
      </c>
      <c r="AP158" s="3">
        <f t="shared" si="31"/>
        <v>466.86</v>
      </c>
      <c r="AQ158" s="1" t="str">
        <f t="shared" si="32"/>
        <v>3 GAL</v>
      </c>
      <c r="AS158" s="1" t="str">
        <f t="shared" si="33"/>
        <v>CLEAR</v>
      </c>
      <c r="AT158"/>
      <c r="AU158"/>
      <c r="AV158"/>
      <c r="AY158" t="str">
        <f t="shared" si="34"/>
        <v>4850 GROUTCLAR3 G</v>
      </c>
      <c r="AZ158" s="1" t="str">
        <f t="shared" si="35"/>
        <v>4850 GROUT</v>
      </c>
      <c r="BA158" t="str">
        <f t="shared" si="36"/>
        <v>CLAR</v>
      </c>
      <c r="BB158" s="1" t="str">
        <f t="shared" si="28"/>
        <v>3 G</v>
      </c>
      <c r="BC158" s="1">
        <f t="shared" si="29"/>
        <v>466.86</v>
      </c>
      <c r="BD158" s="62" t="s">
        <v>353</v>
      </c>
      <c r="BE158" s="55" t="s">
        <v>315</v>
      </c>
      <c r="BF158" s="55" t="s">
        <v>407</v>
      </c>
      <c r="BG158" s="55" t="s">
        <v>367</v>
      </c>
      <c r="BH158" s="36" t="s">
        <v>316</v>
      </c>
      <c r="BJ158" t="e" cm="1">
        <f t="array" ref="BJ158">_xlfn.SWITCH(B37,P!$BJ$2,P!$BH$177:$BH$178,P!$BJ$3,P!$BH$176,P!$BJ$4,P!$BH$179:$BH$181,P!$BJ$5,P!$BH$182,P!$BJ$6,P!$BH$183,P!$BJ$7,P!$BH$184:$BH$185)</f>
        <v>#N/A</v>
      </c>
      <c r="BK158"/>
      <c r="BM158"/>
    </row>
    <row r="159" spans="24:65" x14ac:dyDescent="0.35">
      <c r="X159" s="66" t="s">
        <v>648</v>
      </c>
      <c r="Y159" s="1" t="s">
        <v>570</v>
      </c>
      <c r="Z159" s="63">
        <v>183.33</v>
      </c>
      <c r="AA159" s="1" t="s">
        <v>552</v>
      </c>
      <c r="AC159" s="1" t="s">
        <v>321</v>
      </c>
      <c r="AD159" s="1" t="s">
        <v>18</v>
      </c>
      <c r="AF159" s="1">
        <f>Table1[[#This Row],[C:C]]*1.1</f>
        <v>0</v>
      </c>
      <c r="AI159" s="1">
        <f>IFERROR(VLOOKUP(X159,#REF!,8,FALSE),0)</f>
        <v>0</v>
      </c>
      <c r="AN159" s="1" t="str">
        <f>PROD_ID_TABLE[[#This Row],[PROD ID]]</f>
        <v>4850 GROUTCUOM3 G</v>
      </c>
      <c r="AO159" s="1" t="str">
        <f t="shared" si="30"/>
        <v>ACCELERA 4850 GROUT/TOPCOAT POLYASPARTICCUSTOM3 GAL</v>
      </c>
      <c r="AP159" s="3">
        <f t="shared" si="31"/>
        <v>466.86</v>
      </c>
      <c r="AQ159" s="1" t="str">
        <f t="shared" si="32"/>
        <v>3 GAL</v>
      </c>
      <c r="AS159" s="1" t="str">
        <f t="shared" si="33"/>
        <v>CUSTOM</v>
      </c>
      <c r="AT159"/>
      <c r="AU159"/>
      <c r="AV159"/>
      <c r="AY159" t="str">
        <f t="shared" si="34"/>
        <v>4850 GROUTCUOM3 G</v>
      </c>
      <c r="AZ159" s="1" t="str">
        <f t="shared" si="35"/>
        <v>4850 GROUT</v>
      </c>
      <c r="BA159" t="str">
        <f t="shared" si="36"/>
        <v>CUOM</v>
      </c>
      <c r="BB159" s="1" t="str">
        <f t="shared" si="28"/>
        <v>3 G</v>
      </c>
      <c r="BC159" s="1">
        <f t="shared" si="29"/>
        <v>466.86</v>
      </c>
      <c r="BD159" s="62" t="s">
        <v>353</v>
      </c>
      <c r="BE159" s="55" t="s">
        <v>316</v>
      </c>
      <c r="BF159" s="55" t="s">
        <v>407</v>
      </c>
      <c r="BG159" s="55" t="s">
        <v>367</v>
      </c>
      <c r="BH159" s="36" t="s">
        <v>333</v>
      </c>
      <c r="BJ159"/>
      <c r="BK159"/>
      <c r="BM159"/>
    </row>
    <row r="160" spans="24:65" x14ac:dyDescent="0.35">
      <c r="X160" s="66" t="s">
        <v>645</v>
      </c>
      <c r="Y160" s="1" t="s">
        <v>570</v>
      </c>
      <c r="Z160" s="63">
        <v>183.33</v>
      </c>
      <c r="AA160" s="1" t="s">
        <v>552</v>
      </c>
      <c r="AC160" s="1" t="s">
        <v>690</v>
      </c>
      <c r="AD160" s="1" t="s">
        <v>18</v>
      </c>
      <c r="AF160" s="1">
        <f>Table1[[#This Row],[C:C]]*1.1</f>
        <v>0</v>
      </c>
      <c r="AI160" s="1">
        <f>IFERROR(VLOOKUP(X160,#REF!,8,FALSE),0)</f>
        <v>0</v>
      </c>
      <c r="AN160" s="1" t="str">
        <f>PROD_ID_TABLE[[#This Row],[PROD ID]]</f>
        <v>4850 GROUTMEAY3 G</v>
      </c>
      <c r="AO160" s="1" t="str">
        <f t="shared" si="30"/>
        <v>ACCELERA 4850 GROUT/TOPCOAT POLYASPARTICMEDIUM GRAY3 GAL</v>
      </c>
      <c r="AP160" s="3">
        <f t="shared" si="31"/>
        <v>466.86</v>
      </c>
      <c r="AQ160" s="1" t="str">
        <f t="shared" si="32"/>
        <v>3 GAL</v>
      </c>
      <c r="AS160" s="1" t="str">
        <f t="shared" si="33"/>
        <v>MEDIUM GRAY</v>
      </c>
      <c r="AT160"/>
      <c r="AU160"/>
      <c r="AV160"/>
      <c r="AY160" t="str">
        <f t="shared" si="34"/>
        <v>4850 GROUTMEAY3 G</v>
      </c>
      <c r="AZ160" s="1" t="str">
        <f t="shared" si="35"/>
        <v>4850 GROUT</v>
      </c>
      <c r="BA160" t="str">
        <f t="shared" si="36"/>
        <v>MEAY</v>
      </c>
      <c r="BB160" s="1" t="str">
        <f t="shared" si="28"/>
        <v>3 G</v>
      </c>
      <c r="BC160" s="1">
        <f t="shared" si="29"/>
        <v>466.86</v>
      </c>
      <c r="BD160" s="62" t="s">
        <v>353</v>
      </c>
      <c r="BE160" s="55" t="s">
        <v>333</v>
      </c>
      <c r="BF160" s="55" t="s">
        <v>407</v>
      </c>
      <c r="BG160" s="55" t="s">
        <v>367</v>
      </c>
      <c r="BH160" s="36" t="s">
        <v>332</v>
      </c>
      <c r="BJ160"/>
      <c r="BK160"/>
      <c r="BM160"/>
    </row>
    <row r="161" spans="24:65" x14ac:dyDescent="0.35">
      <c r="X161" s="66" t="s">
        <v>656</v>
      </c>
      <c r="Y161" s="1" t="s">
        <v>570</v>
      </c>
      <c r="Z161" s="63">
        <v>183.33</v>
      </c>
      <c r="AA161" s="1" t="s">
        <v>552</v>
      </c>
      <c r="AC161" s="1" t="s">
        <v>696</v>
      </c>
      <c r="AD161" s="1" t="s">
        <v>18</v>
      </c>
      <c r="AF161" s="1">
        <f>Table1[[#This Row],[C:C]]*1.1</f>
        <v>0</v>
      </c>
      <c r="AI161" s="1">
        <f>IFERROR(VLOOKUP(X161,#REF!,8,FALSE),0)</f>
        <v>0</v>
      </c>
      <c r="AN161" s="1" t="str">
        <f>PROD_ID_TABLE[[#This Row],[PROD ID]]</f>
        <v>4850 GROUTCAAY3 G</v>
      </c>
      <c r="AO161" s="1" t="str">
        <f t="shared" si="30"/>
        <v>ACCELERA 4850 GROUT/TOPCOAT POLYASPARTICCANADA GRAY3 GAL</v>
      </c>
      <c r="AP161" s="3">
        <f t="shared" si="31"/>
        <v>466.86</v>
      </c>
      <c r="AQ161" s="1" t="str">
        <f t="shared" si="32"/>
        <v>3 GAL</v>
      </c>
      <c r="AS161" s="1" t="str">
        <f t="shared" si="33"/>
        <v>CANADA GRAY</v>
      </c>
      <c r="AT161"/>
      <c r="AU161"/>
      <c r="AV161"/>
      <c r="AY161" t="str">
        <f t="shared" si="34"/>
        <v>4850 GROUTCAAY3 G</v>
      </c>
      <c r="AZ161" s="1" t="str">
        <f t="shared" si="35"/>
        <v>4850 GROUT</v>
      </c>
      <c r="BA161" t="str">
        <f t="shared" si="36"/>
        <v>CAAY</v>
      </c>
      <c r="BB161" s="1" t="str">
        <f t="shared" si="28"/>
        <v>3 G</v>
      </c>
      <c r="BC161" s="1">
        <f t="shared" si="29"/>
        <v>466.86</v>
      </c>
      <c r="BD161" s="62" t="s">
        <v>353</v>
      </c>
      <c r="BE161" s="55" t="s">
        <v>332</v>
      </c>
      <c r="BF161" s="55" t="s">
        <v>407</v>
      </c>
      <c r="BG161" s="55" t="s">
        <v>367</v>
      </c>
      <c r="BH161" s="36" t="s">
        <v>318</v>
      </c>
      <c r="BJ161"/>
      <c r="BK161"/>
      <c r="BM161"/>
    </row>
    <row r="162" spans="24:65" x14ac:dyDescent="0.35">
      <c r="X162" s="66" t="s">
        <v>660</v>
      </c>
      <c r="Y162" s="1" t="s">
        <v>570</v>
      </c>
      <c r="Z162" s="63">
        <v>183.33</v>
      </c>
      <c r="AA162" s="1" t="s">
        <v>552</v>
      </c>
      <c r="AC162" s="1" t="s">
        <v>689</v>
      </c>
      <c r="AD162" s="1" t="s">
        <v>18</v>
      </c>
      <c r="AF162" s="1">
        <f>Table1[[#This Row],[C:C]]*1.1</f>
        <v>0</v>
      </c>
      <c r="AI162" s="1">
        <f>IFERROR(VLOOKUP(X162,#REF!,8,FALSE),0)</f>
        <v>0</v>
      </c>
      <c r="AN162" s="1" t="str">
        <f>PROD_ID_TABLE[[#This Row],[PROD ID]]</f>
        <v>4850 GROUTCHAL3 G</v>
      </c>
      <c r="AO162" s="1" t="str">
        <f t="shared" si="30"/>
        <v>ACCELERA 4850 GROUT/TOPCOAT POLYASPARTICCHARCOAL3 GAL</v>
      </c>
      <c r="AP162" s="3">
        <f t="shared" si="31"/>
        <v>466.86</v>
      </c>
      <c r="AQ162" s="1" t="str">
        <f t="shared" si="32"/>
        <v>3 GAL</v>
      </c>
      <c r="AS162" s="1" t="str">
        <f t="shared" si="33"/>
        <v>CHARCOAL</v>
      </c>
      <c r="AT162"/>
      <c r="AU162"/>
      <c r="AV162"/>
      <c r="AY162" t="str">
        <f t="shared" si="34"/>
        <v>4850 GROUTCHAL3 G</v>
      </c>
      <c r="AZ162" s="1" t="str">
        <f t="shared" si="35"/>
        <v>4850 GROUT</v>
      </c>
      <c r="BA162" t="str">
        <f t="shared" si="36"/>
        <v>CHAL</v>
      </c>
      <c r="BB162" s="1" t="str">
        <f t="shared" si="28"/>
        <v>3 G</v>
      </c>
      <c r="BC162" s="1">
        <f t="shared" si="29"/>
        <v>466.86</v>
      </c>
      <c r="BD162" s="62" t="s">
        <v>353</v>
      </c>
      <c r="BE162" s="55" t="s">
        <v>318</v>
      </c>
      <c r="BF162" s="55" t="s">
        <v>407</v>
      </c>
      <c r="BG162" s="55" t="s">
        <v>367</v>
      </c>
      <c r="BH162" s="36" t="s">
        <v>319</v>
      </c>
      <c r="BJ162"/>
      <c r="BK162"/>
      <c r="BM162"/>
    </row>
    <row r="163" spans="24:65" x14ac:dyDescent="0.35">
      <c r="X163" s="66" t="s">
        <v>651</v>
      </c>
      <c r="Y163" s="1" t="s">
        <v>570</v>
      </c>
      <c r="Z163" s="63">
        <v>183.33</v>
      </c>
      <c r="AA163" s="1" t="s">
        <v>552</v>
      </c>
      <c r="AC163" s="1" t="s">
        <v>687</v>
      </c>
      <c r="AD163" s="1" t="s">
        <v>18</v>
      </c>
      <c r="AF163" s="1">
        <f>Table1[[#This Row],[C:C]]*1.1</f>
        <v>0</v>
      </c>
      <c r="AI163" s="1">
        <f>IFERROR(VLOOKUP(X163,#REF!,8,FALSE),0)</f>
        <v>0</v>
      </c>
      <c r="AN163" s="1" t="str">
        <f>PROD_ID_TABLE[[#This Row],[PROD ID]]</f>
        <v>4850 GROUTSTAY3 G</v>
      </c>
      <c r="AO163" s="1" t="str">
        <f t="shared" si="30"/>
        <v>ACCELERA 4850 GROUT/TOPCOAT POLYASPARTICSTEEL GRAY3 GAL</v>
      </c>
      <c r="AP163" s="3">
        <f t="shared" si="31"/>
        <v>466.86</v>
      </c>
      <c r="AQ163" s="1" t="str">
        <f t="shared" si="32"/>
        <v>3 GAL</v>
      </c>
      <c r="AS163" s="1" t="str">
        <f t="shared" si="33"/>
        <v>STEEL GRAY</v>
      </c>
      <c r="AT163"/>
      <c r="AU163"/>
      <c r="AV163"/>
      <c r="AY163" t="str">
        <f t="shared" si="34"/>
        <v>4850 GROUTSTAY3 G</v>
      </c>
      <c r="AZ163" s="1" t="str">
        <f t="shared" si="35"/>
        <v>4850 GROUT</v>
      </c>
      <c r="BA163" t="str">
        <f t="shared" si="36"/>
        <v>STAY</v>
      </c>
      <c r="BB163" s="1" t="str">
        <f t="shared" si="28"/>
        <v>3 G</v>
      </c>
      <c r="BC163" s="1">
        <f t="shared" si="29"/>
        <v>466.86</v>
      </c>
      <c r="BD163" s="62" t="s">
        <v>353</v>
      </c>
      <c r="BE163" s="55" t="s">
        <v>319</v>
      </c>
      <c r="BF163" s="55" t="s">
        <v>407</v>
      </c>
      <c r="BG163" s="55" t="s">
        <v>367</v>
      </c>
      <c r="BH163" s="36" t="s">
        <v>320</v>
      </c>
      <c r="BJ163"/>
      <c r="BK163"/>
      <c r="BM163"/>
    </row>
    <row r="164" spans="24:65" x14ac:dyDescent="0.35">
      <c r="X164" s="66" t="s">
        <v>653</v>
      </c>
      <c r="Y164" s="1" t="s">
        <v>570</v>
      </c>
      <c r="Z164" s="63">
        <v>183.33</v>
      </c>
      <c r="AA164" s="1" t="s">
        <v>552</v>
      </c>
      <c r="AC164" s="1" t="s">
        <v>701</v>
      </c>
      <c r="AD164" s="1" t="s">
        <v>18</v>
      </c>
      <c r="AF164" s="1">
        <f>Table1[[#This Row],[C:C]]*1.1</f>
        <v>0</v>
      </c>
      <c r="AI164" s="1">
        <f>IFERROR(VLOOKUP(X164,#REF!,8,FALSE),0)</f>
        <v>0</v>
      </c>
      <c r="AN164" s="1" t="str">
        <f>PROD_ID_TABLE[[#This Row],[PROD ID]]</f>
        <v>4850 GROUTBOTE3 G</v>
      </c>
      <c r="AO164" s="1" t="str">
        <f t="shared" si="30"/>
        <v>ACCELERA 4850 GROUT/TOPCOAT POLYASPARTICBONE WHITE3 GAL</v>
      </c>
      <c r="AP164" s="3">
        <f t="shared" si="31"/>
        <v>466.86</v>
      </c>
      <c r="AQ164" s="1" t="str">
        <f t="shared" si="32"/>
        <v>3 GAL</v>
      </c>
      <c r="AS164" s="1" t="str">
        <f t="shared" si="33"/>
        <v>BONE WHITE</v>
      </c>
      <c r="AT164"/>
      <c r="AU164"/>
      <c r="AV164"/>
      <c r="AY164" t="str">
        <f t="shared" si="34"/>
        <v>4850 GROUTBOTE3 G</v>
      </c>
      <c r="AZ164" s="1" t="str">
        <f t="shared" si="35"/>
        <v>4850 GROUT</v>
      </c>
      <c r="BA164" t="str">
        <f t="shared" si="36"/>
        <v>BOTE</v>
      </c>
      <c r="BB164" s="1" t="str">
        <f t="shared" si="28"/>
        <v>3 G</v>
      </c>
      <c r="BC164" s="1">
        <f t="shared" si="29"/>
        <v>466.86</v>
      </c>
      <c r="BD164" s="62" t="s">
        <v>353</v>
      </c>
      <c r="BE164" s="55" t="s">
        <v>320</v>
      </c>
      <c r="BF164" s="55" t="s">
        <v>407</v>
      </c>
      <c r="BG164" s="55" t="s">
        <v>367</v>
      </c>
      <c r="BH164" s="36" t="s">
        <v>321</v>
      </c>
      <c r="BJ164"/>
      <c r="BK164"/>
      <c r="BM164"/>
    </row>
    <row r="165" spans="24:65" x14ac:dyDescent="0.35">
      <c r="X165" s="66" t="s">
        <v>652</v>
      </c>
      <c r="Y165" s="1" t="s">
        <v>570</v>
      </c>
      <c r="Z165" s="63">
        <v>183.33</v>
      </c>
      <c r="AA165" s="1" t="s">
        <v>552</v>
      </c>
      <c r="AC165" s="1" t="s">
        <v>699</v>
      </c>
      <c r="AD165" s="1" t="s">
        <v>18</v>
      </c>
      <c r="AF165" s="1">
        <f>Table1[[#This Row],[C:C]]*1.1</f>
        <v>0</v>
      </c>
      <c r="AI165" s="1">
        <f>IFERROR(VLOOKUP(X165,#REF!,8,FALSE),0)</f>
        <v>0</v>
      </c>
      <c r="AN165" s="1" t="str">
        <f>PROD_ID_TABLE[[#This Row],[PROD ID]]</f>
        <v>4850 GROUTSIAY3 G</v>
      </c>
      <c r="AO165" s="1" t="str">
        <f t="shared" si="30"/>
        <v>ACCELERA 4850 GROUT/TOPCOAT POLYASPARTICSILVER GRAY3 GAL</v>
      </c>
      <c r="AP165" s="3">
        <f t="shared" si="31"/>
        <v>466.86</v>
      </c>
      <c r="AQ165" s="1" t="str">
        <f t="shared" si="32"/>
        <v>3 GAL</v>
      </c>
      <c r="AS165" s="1" t="str">
        <f t="shared" si="33"/>
        <v>SILVER GRAY</v>
      </c>
      <c r="AT165"/>
      <c r="AU165"/>
      <c r="AV165"/>
      <c r="AY165" t="str">
        <f t="shared" si="34"/>
        <v>4850 GROUTSIAY3 G</v>
      </c>
      <c r="AZ165" s="1" t="str">
        <f t="shared" si="35"/>
        <v>4850 GROUT</v>
      </c>
      <c r="BA165" t="str">
        <f t="shared" si="36"/>
        <v>SIAY</v>
      </c>
      <c r="BB165" s="1" t="str">
        <f t="shared" si="28"/>
        <v>3 G</v>
      </c>
      <c r="BC165" s="1">
        <f t="shared" si="29"/>
        <v>466.86</v>
      </c>
      <c r="BD165" s="62" t="s">
        <v>353</v>
      </c>
      <c r="BE165" s="55" t="s">
        <v>321</v>
      </c>
      <c r="BF165" s="55" t="s">
        <v>407</v>
      </c>
      <c r="BG165" s="55" t="s">
        <v>367</v>
      </c>
      <c r="BH165" s="36" t="s">
        <v>322</v>
      </c>
      <c r="BJ165"/>
      <c r="BK165"/>
      <c r="BM165"/>
    </row>
    <row r="166" spans="24:65" x14ac:dyDescent="0.35">
      <c r="X166" s="66" t="s">
        <v>670</v>
      </c>
      <c r="Y166" s="1" t="s">
        <v>571</v>
      </c>
      <c r="Z166" s="63">
        <v>154</v>
      </c>
      <c r="AA166" s="1" t="s">
        <v>552</v>
      </c>
      <c r="AC166" s="1" t="s">
        <v>687</v>
      </c>
      <c r="AD166" s="1" t="s">
        <v>18</v>
      </c>
      <c r="AF166" s="1">
        <f>Table1[[#This Row],[C:C]]*1.1</f>
        <v>0</v>
      </c>
      <c r="AI166" s="1">
        <f>IFERROR(VLOOKUP(X166,#REF!,8,FALSE),0)</f>
        <v>0</v>
      </c>
      <c r="AN166" s="1" t="str">
        <f>PROD_ID_TABLE[[#This Row],[PROD ID]]</f>
        <v>4850 GROUTWHTE3 G</v>
      </c>
      <c r="AO166" s="1" t="str">
        <f t="shared" si="30"/>
        <v>ACCELERA 4850 GROUT/TOPCOAT POLYASPARTICWHITE3 GAL</v>
      </c>
      <c r="AP166" s="3">
        <f t="shared" si="31"/>
        <v>466.86</v>
      </c>
      <c r="AQ166" s="1" t="str">
        <f t="shared" si="32"/>
        <v>3 GAL</v>
      </c>
      <c r="AS166" s="1" t="str">
        <f t="shared" si="33"/>
        <v>WHITE</v>
      </c>
      <c r="AT166"/>
      <c r="AU166"/>
      <c r="AV166"/>
      <c r="AY166" t="str">
        <f t="shared" si="34"/>
        <v>4850 GROUTWHTE3 G</v>
      </c>
      <c r="AZ166" s="1" t="str">
        <f t="shared" si="35"/>
        <v>4850 GROUT</v>
      </c>
      <c r="BA166" t="str">
        <f t="shared" si="36"/>
        <v>WHTE</v>
      </c>
      <c r="BB166" s="1" t="str">
        <f t="shared" si="28"/>
        <v>3 G</v>
      </c>
      <c r="BC166" s="1">
        <f t="shared" si="29"/>
        <v>466.86</v>
      </c>
      <c r="BD166" s="62" t="s">
        <v>353</v>
      </c>
      <c r="BE166" s="55" t="s">
        <v>322</v>
      </c>
      <c r="BF166" s="55" t="s">
        <v>407</v>
      </c>
      <c r="BG166" s="55" t="s">
        <v>367</v>
      </c>
      <c r="BH166" s="36" t="s">
        <v>323</v>
      </c>
      <c r="BJ166"/>
      <c r="BK166"/>
      <c r="BM166"/>
    </row>
    <row r="167" spans="24:65" x14ac:dyDescent="0.35">
      <c r="X167" s="66" t="s">
        <v>664</v>
      </c>
      <c r="Y167" s="1" t="s">
        <v>571</v>
      </c>
      <c r="Z167" s="63">
        <v>154</v>
      </c>
      <c r="AA167" s="1" t="s">
        <v>552</v>
      </c>
      <c r="AC167" s="1" t="s">
        <v>690</v>
      </c>
      <c r="AD167" s="1" t="s">
        <v>18</v>
      </c>
      <c r="AF167" s="1">
        <f>Table1[[#This Row],[C:C]]*1.1</f>
        <v>0</v>
      </c>
      <c r="AI167" s="1">
        <f>IFERROR(VLOOKUP(X167,#REF!,8,FALSE),0)</f>
        <v>0</v>
      </c>
      <c r="AN167" s="1" t="str">
        <f>PROD_ID_TABLE[[#This Row],[PROD ID]]</f>
        <v>4850 GROUTBLCK3 G</v>
      </c>
      <c r="AO167" s="1" t="str">
        <f t="shared" si="30"/>
        <v>ACCELERA 4850 GROUT/TOPCOAT POLYASPARTICBLACK3 GAL</v>
      </c>
      <c r="AP167" s="3">
        <f t="shared" si="31"/>
        <v>466.86</v>
      </c>
      <c r="AQ167" s="1" t="str">
        <f t="shared" si="32"/>
        <v>3 GAL</v>
      </c>
      <c r="AS167" s="1" t="str">
        <f t="shared" si="33"/>
        <v>BLACK</v>
      </c>
      <c r="AT167"/>
      <c r="AU167"/>
      <c r="AV167"/>
      <c r="AY167" t="str">
        <f t="shared" si="34"/>
        <v>4850 GROUTBLCK3 G</v>
      </c>
      <c r="AZ167" s="1" t="str">
        <f t="shared" si="35"/>
        <v>4850 GROUT</v>
      </c>
      <c r="BA167" t="str">
        <f t="shared" si="36"/>
        <v>BLCK</v>
      </c>
      <c r="BB167" s="1" t="str">
        <f t="shared" si="28"/>
        <v>3 G</v>
      </c>
      <c r="BC167" s="1">
        <f t="shared" si="29"/>
        <v>466.86</v>
      </c>
      <c r="BD167" s="62" t="s">
        <v>353</v>
      </c>
      <c r="BE167" s="55" t="s">
        <v>323</v>
      </c>
      <c r="BF167" s="55" t="s">
        <v>407</v>
      </c>
      <c r="BG167" s="55" t="s">
        <v>367</v>
      </c>
      <c r="BH167" s="36" t="s">
        <v>324</v>
      </c>
      <c r="BJ167"/>
      <c r="BK167"/>
      <c r="BM167"/>
    </row>
    <row r="168" spans="24:65" x14ac:dyDescent="0.35">
      <c r="X168" s="66" t="s">
        <v>674</v>
      </c>
      <c r="Y168" s="1" t="s">
        <v>571</v>
      </c>
      <c r="Z168" s="63">
        <v>154</v>
      </c>
      <c r="AA168" s="1" t="s">
        <v>552</v>
      </c>
      <c r="AC168" s="1" t="s">
        <v>700</v>
      </c>
      <c r="AD168" s="1" t="s">
        <v>18</v>
      </c>
      <c r="AF168" s="1">
        <f>Table1[[#This Row],[C:C]]*1.1</f>
        <v>0</v>
      </c>
      <c r="AI168" s="1">
        <f>IFERROR(VLOOKUP(X168,#REF!,8,FALSE),0)</f>
        <v>0</v>
      </c>
      <c r="AN168" s="1" t="str">
        <f>PROD_ID_TABLE[[#This Row],[PROD ID]]</f>
        <v>4850 GROUTPANT3 G</v>
      </c>
      <c r="AO168" s="1" t="str">
        <f t="shared" si="30"/>
        <v>ACCELERA 4850 GROUT/TOPCOAT POLYASPARTICPARCHMENT3 GAL</v>
      </c>
      <c r="AP168" s="3">
        <f t="shared" si="31"/>
        <v>466.86</v>
      </c>
      <c r="AQ168" s="1" t="str">
        <f t="shared" si="32"/>
        <v>3 GAL</v>
      </c>
      <c r="AS168" s="1" t="str">
        <f t="shared" si="33"/>
        <v>PARCHMENT</v>
      </c>
      <c r="AT168"/>
      <c r="AU168"/>
      <c r="AV168"/>
      <c r="AY168" t="str">
        <f t="shared" si="34"/>
        <v>4850 GROUTPANT3 G</v>
      </c>
      <c r="AZ168" s="1" t="str">
        <f t="shared" si="35"/>
        <v>4850 GROUT</v>
      </c>
      <c r="BA168" t="str">
        <f t="shared" si="36"/>
        <v>PANT</v>
      </c>
      <c r="BB168" s="1" t="str">
        <f t="shared" si="28"/>
        <v>3 G</v>
      </c>
      <c r="BC168" s="1">
        <f t="shared" si="29"/>
        <v>466.86</v>
      </c>
      <c r="BD168" s="62" t="s">
        <v>353</v>
      </c>
      <c r="BE168" s="55" t="s">
        <v>324</v>
      </c>
      <c r="BF168" s="55" t="s">
        <v>407</v>
      </c>
      <c r="BG168" s="55" t="s">
        <v>367</v>
      </c>
      <c r="BH168" s="36" t="s">
        <v>325</v>
      </c>
      <c r="BJ168"/>
      <c r="BK168"/>
      <c r="BM168"/>
    </row>
    <row r="169" spans="24:65" x14ac:dyDescent="0.35">
      <c r="X169" s="66" t="s">
        <v>680</v>
      </c>
      <c r="Y169" s="1" t="s">
        <v>571</v>
      </c>
      <c r="Z169" s="63">
        <v>154</v>
      </c>
      <c r="AA169" s="1" t="s">
        <v>552</v>
      </c>
      <c r="AC169" s="1" t="s">
        <v>692</v>
      </c>
      <c r="AD169" s="1" t="s">
        <v>18</v>
      </c>
      <c r="AF169" s="1">
        <f>Table1[[#This Row],[C:C]]*1.1</f>
        <v>0</v>
      </c>
      <c r="AI169" s="1">
        <f>IFERROR(VLOOKUP(X169,#REF!,8,FALSE),0)</f>
        <v>0</v>
      </c>
      <c r="AN169" s="1" t="str">
        <f>PROD_ID_TABLE[[#This Row],[PROD ID]]</f>
        <v>4850 GROUTSAED3 G</v>
      </c>
      <c r="AO169" s="1" t="str">
        <f t="shared" si="30"/>
        <v>ACCELERA 4850 GROUT/TOPCOAT POLYASPARTICSAFETY RED3 GAL</v>
      </c>
      <c r="AP169" s="3">
        <f t="shared" si="31"/>
        <v>466.86</v>
      </c>
      <c r="AQ169" s="1" t="str">
        <f t="shared" si="32"/>
        <v>3 GAL</v>
      </c>
      <c r="AS169" s="1" t="str">
        <f t="shared" si="33"/>
        <v>SAFETY RED</v>
      </c>
      <c r="AT169"/>
      <c r="AU169"/>
      <c r="AV169"/>
      <c r="AY169" t="str">
        <f t="shared" si="34"/>
        <v>4850 GROUTSAED3 G</v>
      </c>
      <c r="AZ169" s="1" t="str">
        <f t="shared" si="35"/>
        <v>4850 GROUT</v>
      </c>
      <c r="BA169" t="str">
        <f t="shared" si="36"/>
        <v>SAED</v>
      </c>
      <c r="BB169" s="1" t="str">
        <f t="shared" si="28"/>
        <v>3 G</v>
      </c>
      <c r="BC169" s="1">
        <f t="shared" si="29"/>
        <v>466.86</v>
      </c>
      <c r="BD169" s="62" t="s">
        <v>353</v>
      </c>
      <c r="BE169" s="55" t="s">
        <v>325</v>
      </c>
      <c r="BF169" s="55" t="s">
        <v>407</v>
      </c>
      <c r="BG169" s="55" t="s">
        <v>367</v>
      </c>
      <c r="BH169" s="36" t="s">
        <v>326</v>
      </c>
      <c r="BJ169"/>
      <c r="BK169"/>
      <c r="BM169"/>
    </row>
    <row r="170" spans="24:65" x14ac:dyDescent="0.35">
      <c r="X170" s="66" t="s">
        <v>672</v>
      </c>
      <c r="Y170" s="1" t="s">
        <v>571</v>
      </c>
      <c r="Z170" s="63">
        <v>154</v>
      </c>
      <c r="AA170" s="1" t="s">
        <v>552</v>
      </c>
      <c r="AC170" s="1" t="s">
        <v>701</v>
      </c>
      <c r="AD170" s="1" t="s">
        <v>18</v>
      </c>
      <c r="AF170" s="1">
        <f>Table1[[#This Row],[C:C]]*1.1</f>
        <v>0</v>
      </c>
      <c r="AI170" s="1">
        <f>IFERROR(VLOOKUP(X170,#REF!,8,FALSE),0)</f>
        <v>0</v>
      </c>
      <c r="AN170" s="1" t="str">
        <f>PROD_ID_TABLE[[#This Row],[PROD ID]]</f>
        <v>4850 GROUTSAOW3 G</v>
      </c>
      <c r="AO170" s="1" t="str">
        <f t="shared" si="30"/>
        <v>ACCELERA 4850 GROUT/TOPCOAT POLYASPARTICSAFETY YELLOW3 GAL</v>
      </c>
      <c r="AP170" s="3">
        <f t="shared" si="31"/>
        <v>466.86</v>
      </c>
      <c r="AQ170" s="1" t="str">
        <f t="shared" si="32"/>
        <v>3 GAL</v>
      </c>
      <c r="AS170" s="1" t="str">
        <f t="shared" si="33"/>
        <v>SAFETY YELLOW</v>
      </c>
      <c r="AT170"/>
      <c r="AU170"/>
      <c r="AV170"/>
      <c r="AY170" t="str">
        <f t="shared" si="34"/>
        <v>4850 GROUTSAOW3 G</v>
      </c>
      <c r="AZ170" s="1" t="str">
        <f t="shared" si="35"/>
        <v>4850 GROUT</v>
      </c>
      <c r="BA170" t="str">
        <f t="shared" si="36"/>
        <v>SAOW</v>
      </c>
      <c r="BB170" s="1" t="str">
        <f t="shared" si="28"/>
        <v>3 G</v>
      </c>
      <c r="BC170" s="1">
        <f t="shared" si="29"/>
        <v>466.86</v>
      </c>
      <c r="BD170" s="62" t="s">
        <v>353</v>
      </c>
      <c r="BE170" s="55" t="s">
        <v>326</v>
      </c>
      <c r="BF170" s="55" t="s">
        <v>407</v>
      </c>
      <c r="BG170" s="55" t="s">
        <v>367</v>
      </c>
      <c r="BH170" s="36" t="s">
        <v>428</v>
      </c>
      <c r="BJ170"/>
      <c r="BK170"/>
      <c r="BM170"/>
    </row>
    <row r="171" spans="24:65" x14ac:dyDescent="0.35">
      <c r="X171" s="66" t="s">
        <v>668</v>
      </c>
      <c r="Y171" s="1" t="s">
        <v>571</v>
      </c>
      <c r="Z171" s="63">
        <v>154</v>
      </c>
      <c r="AA171" s="1" t="s">
        <v>552</v>
      </c>
      <c r="AC171" s="1" t="s">
        <v>694</v>
      </c>
      <c r="AD171" s="1" t="s">
        <v>18</v>
      </c>
      <c r="AF171" s="1">
        <f>Table1[[#This Row],[C:C]]*1.1</f>
        <v>0</v>
      </c>
      <c r="AI171" s="1">
        <f>IFERROR(VLOOKUP(X171,#REF!,8,FALSE),0)</f>
        <v>0</v>
      </c>
      <c r="AN171" s="1" t="str">
        <f>PROD_ID_TABLE[[#This Row],[PROD ID]]</f>
        <v>4850 GROUTROUE3 G</v>
      </c>
      <c r="AO171" s="1" t="str">
        <f t="shared" si="30"/>
        <v>ACCELERA 4850 GROUT/TOPCOAT POLYASPARTICROYAL BLUE3 GAL</v>
      </c>
      <c r="AP171" s="3">
        <f t="shared" si="31"/>
        <v>466.86</v>
      </c>
      <c r="AQ171" s="1" t="str">
        <f t="shared" si="32"/>
        <v>3 GAL</v>
      </c>
      <c r="AS171" s="1" t="str">
        <f t="shared" si="33"/>
        <v>ROYAL BLUE</v>
      </c>
      <c r="AT171"/>
      <c r="AU171"/>
      <c r="AV171"/>
      <c r="AY171" t="str">
        <f t="shared" si="34"/>
        <v>4850 GROUTROUE3 G</v>
      </c>
      <c r="AZ171" s="1" t="str">
        <f t="shared" si="35"/>
        <v>4850 GROUT</v>
      </c>
      <c r="BA171" t="str">
        <f t="shared" si="36"/>
        <v>ROUE</v>
      </c>
      <c r="BB171" s="1" t="str">
        <f t="shared" si="28"/>
        <v>3 G</v>
      </c>
      <c r="BC171" s="1">
        <f t="shared" si="29"/>
        <v>466.86</v>
      </c>
      <c r="BD171" s="62" t="s">
        <v>353</v>
      </c>
      <c r="BE171" s="55" t="s">
        <v>428</v>
      </c>
      <c r="BF171" s="55" t="s">
        <v>407</v>
      </c>
      <c r="BG171" s="55" t="s">
        <v>367</v>
      </c>
      <c r="BH171" s="36" t="s">
        <v>327</v>
      </c>
      <c r="BJ171"/>
      <c r="BK171"/>
      <c r="BM171"/>
    </row>
    <row r="172" spans="24:65" x14ac:dyDescent="0.35">
      <c r="X172" s="66" t="s">
        <v>683</v>
      </c>
      <c r="Y172" s="1" t="s">
        <v>571</v>
      </c>
      <c r="Z172" s="63">
        <v>189.59</v>
      </c>
      <c r="AA172" s="1" t="s">
        <v>552</v>
      </c>
      <c r="AC172" s="1" t="s">
        <v>713</v>
      </c>
      <c r="AD172" s="1" t="s">
        <v>18</v>
      </c>
      <c r="AF172" s="1">
        <f>Table1[[#This Row],[C:C]]*1.1</f>
        <v>0</v>
      </c>
      <c r="AI172" s="1">
        <f>IFERROR(VLOOKUP(X172,#REF!,8,FALSE),0)</f>
        <v>0</v>
      </c>
      <c r="AN172" s="1" t="str">
        <f>PROD_ID_TABLE[[#This Row],[PROD ID]]</f>
        <v>4850 GROUTPEER3 G</v>
      </c>
      <c r="AO172" s="1" t="str">
        <f t="shared" si="30"/>
        <v>ACCELERA 4850 GROUT/TOPCOAT POLYASPARTICPEWTER3 GAL</v>
      </c>
      <c r="AP172" s="3">
        <f t="shared" si="31"/>
        <v>466.86</v>
      </c>
      <c r="AQ172" s="1" t="str">
        <f t="shared" si="32"/>
        <v>3 GAL</v>
      </c>
      <c r="AS172" s="1" t="str">
        <f t="shared" si="33"/>
        <v>PEWTER</v>
      </c>
      <c r="AT172"/>
      <c r="AU172"/>
      <c r="AV172"/>
      <c r="AY172" t="str">
        <f t="shared" si="34"/>
        <v>4850 GROUTPEER3 G</v>
      </c>
      <c r="AZ172" s="1" t="str">
        <f t="shared" si="35"/>
        <v>4850 GROUT</v>
      </c>
      <c r="BA172" t="str">
        <f t="shared" si="36"/>
        <v>PEER</v>
      </c>
      <c r="BB172" s="1" t="str">
        <f t="shared" si="28"/>
        <v>3 G</v>
      </c>
      <c r="BC172" s="1">
        <f t="shared" si="29"/>
        <v>466.86</v>
      </c>
      <c r="BD172" s="62" t="s">
        <v>353</v>
      </c>
      <c r="BE172" s="55" t="s">
        <v>327</v>
      </c>
      <c r="BF172" s="55" t="s">
        <v>407</v>
      </c>
      <c r="BG172" s="55" t="s">
        <v>367</v>
      </c>
      <c r="BH172" s="36" t="s">
        <v>328</v>
      </c>
      <c r="BJ172"/>
      <c r="BK172"/>
      <c r="BM172"/>
    </row>
    <row r="173" spans="24:65" x14ac:dyDescent="0.35">
      <c r="X173" s="66" t="s">
        <v>663</v>
      </c>
      <c r="Y173" s="1" t="s">
        <v>570</v>
      </c>
      <c r="Z173" s="63">
        <v>218.35</v>
      </c>
      <c r="AA173" s="1" t="s">
        <v>552</v>
      </c>
      <c r="AC173" s="1" t="s">
        <v>713</v>
      </c>
      <c r="AD173" s="1" t="s">
        <v>18</v>
      </c>
      <c r="AF173" s="1">
        <f>Table1[[#This Row],[C:C]]*1.1</f>
        <v>0</v>
      </c>
      <c r="AI173" s="1">
        <f>IFERROR(VLOOKUP(X173,#REF!,8,FALSE),0)</f>
        <v>0</v>
      </c>
      <c r="AN173" s="1" t="str">
        <f>PROD_ID_TABLE[[#This Row],[PROD ID]]</f>
        <v>4850 GROUTCLLE3 G</v>
      </c>
      <c r="AO173" s="1" t="str">
        <f t="shared" si="30"/>
        <v>ACCELERA 4850 GROUT/TOPCOAT POLYASPARTICCLASIC RED TILE3 GAL</v>
      </c>
      <c r="AP173" s="3">
        <f t="shared" si="31"/>
        <v>466.86</v>
      </c>
      <c r="AQ173" s="1" t="str">
        <f t="shared" si="32"/>
        <v>3 GAL</v>
      </c>
      <c r="AS173" s="1" t="str">
        <f t="shared" si="33"/>
        <v>CLASIC RED TILE</v>
      </c>
      <c r="AT173"/>
      <c r="AU173"/>
      <c r="AV173"/>
      <c r="AY173" t="str">
        <f t="shared" si="34"/>
        <v>4850 GROUTCLLE3 G</v>
      </c>
      <c r="AZ173" s="1" t="str">
        <f t="shared" si="35"/>
        <v>4850 GROUT</v>
      </c>
      <c r="BA173" t="str">
        <f t="shared" si="36"/>
        <v>CLLE</v>
      </c>
      <c r="BB173" s="1" t="str">
        <f t="shared" si="28"/>
        <v>3 G</v>
      </c>
      <c r="BC173" s="1">
        <f t="shared" si="29"/>
        <v>466.86</v>
      </c>
      <c r="BD173" s="62" t="s">
        <v>353</v>
      </c>
      <c r="BE173" s="55" t="s">
        <v>328</v>
      </c>
      <c r="BF173" s="55" t="s">
        <v>407</v>
      </c>
      <c r="BG173" s="55" t="s">
        <v>367</v>
      </c>
      <c r="BH173" s="36" t="s">
        <v>329</v>
      </c>
      <c r="BJ173"/>
      <c r="BK173"/>
      <c r="BM173"/>
    </row>
    <row r="174" spans="24:65" x14ac:dyDescent="0.35">
      <c r="X174" s="66" t="s">
        <v>673</v>
      </c>
      <c r="Y174" s="1" t="s">
        <v>571</v>
      </c>
      <c r="Z174" s="63">
        <v>154</v>
      </c>
      <c r="AA174" s="1" t="s">
        <v>552</v>
      </c>
      <c r="AC174" s="1" t="s">
        <v>712</v>
      </c>
      <c r="AD174" s="1" t="s">
        <v>18</v>
      </c>
      <c r="AF174" s="1">
        <f>Table1[[#This Row],[C:C]]*1.1</f>
        <v>0</v>
      </c>
      <c r="AI174" s="1">
        <f>IFERROR(VLOOKUP(X174,#REF!,8,FALSE),0)</f>
        <v>0</v>
      </c>
      <c r="AN174" s="1" t="str">
        <f>PROD_ID_TABLE[[#This Row],[PROD ID]]</f>
        <v>4850 GROUTCAEL3 G</v>
      </c>
      <c r="AO174" s="1" t="str">
        <f t="shared" si="30"/>
        <v>ACCELERA 4850 GROUT/TOPCOAT POLYASPARTICCARAMEL3 GAL</v>
      </c>
      <c r="AP174" s="3">
        <f t="shared" si="31"/>
        <v>466.86</v>
      </c>
      <c r="AQ174" s="1" t="str">
        <f t="shared" si="32"/>
        <v>3 GAL</v>
      </c>
      <c r="AS174" s="1" t="str">
        <f t="shared" si="33"/>
        <v>CARAMEL</v>
      </c>
      <c r="AT174"/>
      <c r="AU174"/>
      <c r="AV174"/>
      <c r="AY174" t="str">
        <f t="shared" si="34"/>
        <v>4850 GROUTCAEL3 G</v>
      </c>
      <c r="AZ174" s="1" t="str">
        <f t="shared" si="35"/>
        <v>4850 GROUT</v>
      </c>
      <c r="BA174" t="str">
        <f t="shared" si="36"/>
        <v>CAEL</v>
      </c>
      <c r="BB174" s="1" t="str">
        <f t="shared" si="28"/>
        <v>3 G</v>
      </c>
      <c r="BC174" s="1">
        <f t="shared" si="29"/>
        <v>466.86</v>
      </c>
      <c r="BD174" s="62" t="s">
        <v>353</v>
      </c>
      <c r="BE174" s="55" t="s">
        <v>329</v>
      </c>
      <c r="BF174" s="55" t="s">
        <v>407</v>
      </c>
      <c r="BG174" s="55" t="s">
        <v>367</v>
      </c>
      <c r="BH174" s="36" t="s">
        <v>330</v>
      </c>
      <c r="BJ174"/>
      <c r="BK174"/>
      <c r="BM174"/>
    </row>
    <row r="175" spans="24:65" ht="15" thickBot="1" x14ac:dyDescent="0.4">
      <c r="X175" s="66" t="s">
        <v>671</v>
      </c>
      <c r="Y175" s="1" t="s">
        <v>571</v>
      </c>
      <c r="Z175" s="63">
        <v>154</v>
      </c>
      <c r="AA175" s="1" t="s">
        <v>552</v>
      </c>
      <c r="AC175" s="1" t="s">
        <v>699</v>
      </c>
      <c r="AD175" s="1" t="s">
        <v>18</v>
      </c>
      <c r="AF175" s="1">
        <f>Table1[[#This Row],[C:C]]*1.1</f>
        <v>0</v>
      </c>
      <c r="AI175" s="1">
        <f>IFERROR(VLOOKUP(X175,#REF!,8,FALSE),0)</f>
        <v>0</v>
      </c>
      <c r="AN175" s="1" t="str">
        <f>PROD_ID_TABLE[[#This Row],[PROD ID]]</f>
        <v>4850 GROUTULSE3 G</v>
      </c>
      <c r="AO175" s="1" t="str">
        <f t="shared" si="30"/>
        <v>ACCELERA 4850 GROUT/TOPCOAT POLYASPARTICULTRA DEEP BASE3 GAL</v>
      </c>
      <c r="AP175" s="3">
        <f t="shared" si="31"/>
        <v>466.86</v>
      </c>
      <c r="AQ175" s="1" t="str">
        <f t="shared" si="32"/>
        <v>3 GAL</v>
      </c>
      <c r="AS175" s="1" t="str">
        <f t="shared" si="33"/>
        <v>ULTRA DEEP BASE</v>
      </c>
      <c r="AT175"/>
      <c r="AU175"/>
      <c r="AV175"/>
      <c r="AY175" t="str">
        <f t="shared" si="34"/>
        <v>4850 GROUTULSE3 G</v>
      </c>
      <c r="AZ175" s="1" t="str">
        <f t="shared" si="35"/>
        <v>4850 GROUT</v>
      </c>
      <c r="BA175" t="str">
        <f t="shared" si="36"/>
        <v>ULSE</v>
      </c>
      <c r="BB175" s="1" t="str">
        <f t="shared" si="28"/>
        <v>3 G</v>
      </c>
      <c r="BC175" s="1">
        <f t="shared" si="29"/>
        <v>466.86</v>
      </c>
      <c r="BD175" s="62" t="s">
        <v>353</v>
      </c>
      <c r="BE175" s="55" t="s">
        <v>330</v>
      </c>
      <c r="BF175" s="55" t="s">
        <v>407</v>
      </c>
      <c r="BG175" s="55" t="s">
        <v>367</v>
      </c>
      <c r="BH175" s="37" t="s">
        <v>331</v>
      </c>
      <c r="BJ175"/>
      <c r="BK175"/>
      <c r="BM175"/>
    </row>
    <row r="176" spans="24:65" x14ac:dyDescent="0.35">
      <c r="X176" s="66" t="s">
        <v>669</v>
      </c>
      <c r="Y176" s="1" t="s">
        <v>571</v>
      </c>
      <c r="Z176" s="63">
        <v>154</v>
      </c>
      <c r="AA176" s="1" t="s">
        <v>552</v>
      </c>
      <c r="AC176" s="1" t="s">
        <v>697</v>
      </c>
      <c r="AD176" s="1" t="s">
        <v>18</v>
      </c>
      <c r="AF176" s="1">
        <f>Table1[[#This Row],[C:C]]*1.1</f>
        <v>0</v>
      </c>
      <c r="AI176" s="1">
        <f>IFERROR(VLOOKUP(X176,#REF!,8,FALSE),0)</f>
        <v>0</v>
      </c>
      <c r="AN176" s="1" t="str">
        <f>PROD_ID_TABLE[[#This Row],[PROD ID]]</f>
        <v>4850 GROUTWHSE3 G</v>
      </c>
      <c r="AO176" s="1" t="str">
        <f t="shared" si="30"/>
        <v>ACCELERA 4850 GROUT/TOPCOAT POLYASPARTICWHITE TINT BASE3 GAL</v>
      </c>
      <c r="AP176" s="3">
        <f t="shared" si="31"/>
        <v>466.86</v>
      </c>
      <c r="AQ176" s="1" t="str">
        <f t="shared" si="32"/>
        <v>3 GAL</v>
      </c>
      <c r="AS176" s="1" t="str">
        <f t="shared" si="33"/>
        <v>WHITE TINT BASE</v>
      </c>
      <c r="AT176"/>
      <c r="AU176"/>
      <c r="AV176"/>
      <c r="AY176" t="str">
        <f t="shared" si="34"/>
        <v>4850 GROUTWHSE3 G</v>
      </c>
      <c r="AZ176" s="1" t="str">
        <f t="shared" si="35"/>
        <v>4850 GROUT</v>
      </c>
      <c r="BA176" t="str">
        <f t="shared" si="36"/>
        <v>WHSE</v>
      </c>
      <c r="BB176" s="1" t="str">
        <f t="shared" si="28"/>
        <v>3 G</v>
      </c>
      <c r="BC176" s="1">
        <f t="shared" si="29"/>
        <v>466.86</v>
      </c>
      <c r="BD176" s="62" t="s">
        <v>353</v>
      </c>
      <c r="BE176" s="55" t="s">
        <v>331</v>
      </c>
      <c r="BF176" s="55" t="s">
        <v>407</v>
      </c>
      <c r="BG176" s="55" t="s">
        <v>367</v>
      </c>
      <c r="BH176" s="35" t="s">
        <v>406</v>
      </c>
      <c r="BJ176"/>
      <c r="BK176"/>
      <c r="BM176"/>
    </row>
    <row r="177" spans="22:65" x14ac:dyDescent="0.35">
      <c r="X177" s="66" t="s">
        <v>677</v>
      </c>
      <c r="Y177" s="1" t="s">
        <v>571</v>
      </c>
      <c r="Z177" s="63">
        <v>154</v>
      </c>
      <c r="AA177" s="1" t="s">
        <v>552</v>
      </c>
      <c r="AC177" s="1" t="s">
        <v>698</v>
      </c>
      <c r="AD177" s="1" t="s">
        <v>18</v>
      </c>
      <c r="AF177" s="1">
        <f>Table1[[#This Row],[C:C]]*1.1</f>
        <v>0</v>
      </c>
      <c r="AI177" s="1">
        <f>IFERROR(VLOOKUP(X177,#REF!,8,FALSE),0)</f>
        <v>0</v>
      </c>
      <c r="AN177" s="1" t="str">
        <f>PROD_ID_TABLE[[#This Row],[PROD ID]]</f>
        <v xml:space="preserve">4850 GROUTCLAR15 </v>
      </c>
      <c r="AO177" s="1" t="str">
        <f t="shared" si="30"/>
        <v>ACCELERA 4850 GROUT/TOPCOAT POLYASPARTICCLEAR15 GAL</v>
      </c>
      <c r="AP177" s="3">
        <f t="shared" si="31"/>
        <v>2126.25</v>
      </c>
      <c r="AQ177" s="1" t="str">
        <f t="shared" si="32"/>
        <v>15 GAL</v>
      </c>
      <c r="AS177" s="1" t="str">
        <f t="shared" si="33"/>
        <v>CLEAR</v>
      </c>
      <c r="AT177"/>
      <c r="AU177"/>
      <c r="AV177"/>
      <c r="AY177" t="str">
        <f t="shared" si="34"/>
        <v xml:space="preserve">4850 GROUTCLAR15 </v>
      </c>
      <c r="AZ177" s="1" t="str">
        <f t="shared" si="35"/>
        <v>4850 GROUT</v>
      </c>
      <c r="BA177" t="str">
        <f t="shared" si="36"/>
        <v>CLAR</v>
      </c>
      <c r="BB177" s="1" t="str">
        <f t="shared" si="28"/>
        <v xml:space="preserve">15 </v>
      </c>
      <c r="BC177" s="1">
        <f t="shared" si="29"/>
        <v>2126.25</v>
      </c>
      <c r="BD177" s="62" t="s">
        <v>353</v>
      </c>
      <c r="BE177" s="55" t="s">
        <v>315</v>
      </c>
      <c r="BF177" s="55" t="s">
        <v>408</v>
      </c>
      <c r="BG177" s="55" t="s">
        <v>367</v>
      </c>
      <c r="BH177" s="36" t="s">
        <v>407</v>
      </c>
      <c r="BJ177"/>
      <c r="BK177"/>
      <c r="BM177"/>
    </row>
    <row r="178" spans="22:65" x14ac:dyDescent="0.35">
      <c r="X178" s="66" t="s">
        <v>676</v>
      </c>
      <c r="Y178" s="1" t="s">
        <v>571</v>
      </c>
      <c r="Z178" s="63">
        <v>154</v>
      </c>
      <c r="AA178" s="1" t="s">
        <v>552</v>
      </c>
      <c r="AC178" s="1" t="s">
        <v>688</v>
      </c>
      <c r="AD178" s="1" t="s">
        <v>18</v>
      </c>
      <c r="AF178" s="1">
        <f>Table1[[#This Row],[C:C]]*1.1</f>
        <v>0</v>
      </c>
      <c r="AI178" s="1">
        <f>IFERROR(VLOOKUP(X178,#REF!,8,FALSE),0)</f>
        <v>0</v>
      </c>
      <c r="AN178" s="1" t="str">
        <f>PROD_ID_TABLE[[#This Row],[PROD ID]]</f>
        <v xml:space="preserve">4850 GROUTCUOM15 </v>
      </c>
      <c r="AO178" s="1" t="str">
        <f t="shared" si="30"/>
        <v>ACCELERA 4850 GROUT/TOPCOAT POLYASPARTICCUSTOM15 GAL</v>
      </c>
      <c r="AP178" s="3">
        <f t="shared" si="31"/>
        <v>2126.25</v>
      </c>
      <c r="AQ178" s="1" t="str">
        <f t="shared" si="32"/>
        <v>15 GAL</v>
      </c>
      <c r="AS178" s="1" t="str">
        <f t="shared" si="33"/>
        <v>CUSTOM</v>
      </c>
      <c r="AT178"/>
      <c r="AU178"/>
      <c r="AV178"/>
      <c r="AY178" t="str">
        <f t="shared" si="34"/>
        <v xml:space="preserve">4850 GROUTCUOM15 </v>
      </c>
      <c r="AZ178" s="1" t="str">
        <f t="shared" si="35"/>
        <v>4850 GROUT</v>
      </c>
      <c r="BA178" t="str">
        <f t="shared" si="36"/>
        <v>CUOM</v>
      </c>
      <c r="BB178" s="1" t="str">
        <f t="shared" si="28"/>
        <v xml:space="preserve">15 </v>
      </c>
      <c r="BC178" s="1">
        <f t="shared" si="29"/>
        <v>2126.25</v>
      </c>
      <c r="BD178" s="62" t="s">
        <v>353</v>
      </c>
      <c r="BE178" s="55" t="s">
        <v>316</v>
      </c>
      <c r="BF178" s="55" t="s">
        <v>408</v>
      </c>
      <c r="BG178" s="55" t="s">
        <v>367</v>
      </c>
      <c r="BH178" s="36" t="s">
        <v>408</v>
      </c>
      <c r="BJ178"/>
      <c r="BK178"/>
      <c r="BM178"/>
    </row>
    <row r="179" spans="22:65" x14ac:dyDescent="0.35">
      <c r="X179" s="66" t="s">
        <v>681</v>
      </c>
      <c r="Y179" s="1" t="s">
        <v>571</v>
      </c>
      <c r="Z179" s="63">
        <v>154</v>
      </c>
      <c r="AA179" s="1" t="s">
        <v>552</v>
      </c>
      <c r="AC179" s="1" t="s">
        <v>693</v>
      </c>
      <c r="AD179" s="1" t="s">
        <v>18</v>
      </c>
      <c r="AF179" s="1">
        <f>Table1[[#This Row],[C:C]]*1.1</f>
        <v>0</v>
      </c>
      <c r="AI179" s="1">
        <f>IFERROR(VLOOKUP(X179,#REF!,8,FALSE),0)</f>
        <v>0</v>
      </c>
      <c r="AN179" s="1" t="str">
        <f>PROD_ID_TABLE[[#This Row],[PROD ID]]</f>
        <v xml:space="preserve">4850 GROUTMEAY15 </v>
      </c>
      <c r="AO179" s="1" t="str">
        <f t="shared" si="30"/>
        <v>ACCELERA 4850 GROUT/TOPCOAT POLYASPARTICMEDIUM GRAY15 GAL</v>
      </c>
      <c r="AP179" s="3">
        <f t="shared" si="31"/>
        <v>2126.25</v>
      </c>
      <c r="AQ179" s="1" t="str">
        <f t="shared" si="32"/>
        <v>15 GAL</v>
      </c>
      <c r="AS179" s="1" t="str">
        <f t="shared" si="33"/>
        <v>MEDIUM GRAY</v>
      </c>
      <c r="AT179"/>
      <c r="AU179"/>
      <c r="AV179"/>
      <c r="AY179" t="str">
        <f t="shared" si="34"/>
        <v xml:space="preserve">4850 GROUTMEAY15 </v>
      </c>
      <c r="AZ179" s="1" t="str">
        <f t="shared" si="35"/>
        <v>4850 GROUT</v>
      </c>
      <c r="BA179" t="str">
        <f t="shared" si="36"/>
        <v>MEAY</v>
      </c>
      <c r="BB179" s="1" t="str">
        <f t="shared" si="28"/>
        <v xml:space="preserve">15 </v>
      </c>
      <c r="BC179" s="1">
        <f t="shared" si="29"/>
        <v>2126.25</v>
      </c>
      <c r="BD179" s="62" t="s">
        <v>353</v>
      </c>
      <c r="BE179" s="55" t="s">
        <v>333</v>
      </c>
      <c r="BF179" s="55" t="s">
        <v>408</v>
      </c>
      <c r="BG179" s="55" t="s">
        <v>367</v>
      </c>
      <c r="BH179" s="36" t="s">
        <v>454</v>
      </c>
      <c r="BJ179"/>
      <c r="BK179"/>
      <c r="BM179"/>
    </row>
    <row r="180" spans="22:65" x14ac:dyDescent="0.35">
      <c r="X180" s="66" t="s">
        <v>678</v>
      </c>
      <c r="Y180" s="1" t="s">
        <v>571</v>
      </c>
      <c r="Z180" s="63">
        <v>154</v>
      </c>
      <c r="AA180" s="1" t="s">
        <v>552</v>
      </c>
      <c r="AC180" s="1" t="s">
        <v>384</v>
      </c>
      <c r="AD180" s="1" t="s">
        <v>18</v>
      </c>
      <c r="AF180" s="1">
        <f>Table1[[#This Row],[C:C]]*1.1</f>
        <v>0</v>
      </c>
      <c r="AI180" s="1">
        <f>IFERROR(VLOOKUP(X180,#REF!,8,FALSE),0)</f>
        <v>0</v>
      </c>
      <c r="AN180" s="1" t="str">
        <f>PROD_ID_TABLE[[#This Row],[PROD ID]]</f>
        <v xml:space="preserve">4850 GROUTCAAY15 </v>
      </c>
      <c r="AO180" s="1" t="str">
        <f t="shared" si="30"/>
        <v>ACCELERA 4850 GROUT/TOPCOAT POLYASPARTICCANADA GRAY15 GAL</v>
      </c>
      <c r="AP180" s="3">
        <f t="shared" si="31"/>
        <v>2126.25</v>
      </c>
      <c r="AQ180" s="1" t="str">
        <f t="shared" si="32"/>
        <v>15 GAL</v>
      </c>
      <c r="AS180" s="1" t="str">
        <f t="shared" si="33"/>
        <v>CANADA GRAY</v>
      </c>
      <c r="AT180"/>
      <c r="AU180"/>
      <c r="AV180"/>
      <c r="AY180" t="str">
        <f t="shared" si="34"/>
        <v xml:space="preserve">4850 GROUTCAAY15 </v>
      </c>
      <c r="AZ180" s="1" t="str">
        <f t="shared" si="35"/>
        <v>4850 GROUT</v>
      </c>
      <c r="BA180" t="str">
        <f t="shared" si="36"/>
        <v>CAAY</v>
      </c>
      <c r="BB180" s="1" t="str">
        <f t="shared" si="28"/>
        <v xml:space="preserve">15 </v>
      </c>
      <c r="BC180" s="1">
        <f t="shared" si="29"/>
        <v>2126.25</v>
      </c>
      <c r="BD180" s="62" t="s">
        <v>353</v>
      </c>
      <c r="BE180" s="55" t="s">
        <v>332</v>
      </c>
      <c r="BF180" s="55" t="s">
        <v>408</v>
      </c>
      <c r="BG180" s="55" t="s">
        <v>367</v>
      </c>
      <c r="BH180" s="36" t="s">
        <v>455</v>
      </c>
      <c r="BJ180"/>
      <c r="BK180"/>
      <c r="BM180"/>
    </row>
    <row r="181" spans="22:65" x14ac:dyDescent="0.35">
      <c r="X181" s="66" t="s">
        <v>679</v>
      </c>
      <c r="Y181" s="1" t="s">
        <v>571</v>
      </c>
      <c r="Z181" s="63">
        <v>154</v>
      </c>
      <c r="AA181" s="1" t="s">
        <v>552</v>
      </c>
      <c r="AC181" s="1" t="s">
        <v>689</v>
      </c>
      <c r="AD181" s="1" t="s">
        <v>18</v>
      </c>
      <c r="AF181" s="1">
        <f>Table1[[#This Row],[C:C]]*1.1</f>
        <v>0</v>
      </c>
      <c r="AI181" s="1">
        <f>IFERROR(VLOOKUP(X181,#REF!,8,FALSE),0)</f>
        <v>0</v>
      </c>
      <c r="AN181" s="1" t="str">
        <f>PROD_ID_TABLE[[#This Row],[PROD ID]]</f>
        <v xml:space="preserve">4850 GROUTCHAL15 </v>
      </c>
      <c r="AO181" s="1" t="str">
        <f t="shared" si="30"/>
        <v>ACCELERA 4850 GROUT/TOPCOAT POLYASPARTICCHARCOAL15 GAL</v>
      </c>
      <c r="AP181" s="3">
        <f t="shared" si="31"/>
        <v>2126.25</v>
      </c>
      <c r="AQ181" s="1" t="str">
        <f t="shared" si="32"/>
        <v>15 GAL</v>
      </c>
      <c r="AS181" s="1" t="str">
        <f t="shared" si="33"/>
        <v>CHARCOAL</v>
      </c>
      <c r="AT181"/>
      <c r="AU181"/>
      <c r="AV181"/>
      <c r="AY181" t="str">
        <f t="shared" si="34"/>
        <v xml:space="preserve">4850 GROUTCHAL15 </v>
      </c>
      <c r="AZ181" s="1" t="str">
        <f t="shared" si="35"/>
        <v>4850 GROUT</v>
      </c>
      <c r="BA181" t="str">
        <f t="shared" si="36"/>
        <v>CHAL</v>
      </c>
      <c r="BB181" s="1" t="str">
        <f t="shared" si="28"/>
        <v xml:space="preserve">15 </v>
      </c>
      <c r="BC181" s="1">
        <f t="shared" si="29"/>
        <v>2126.25</v>
      </c>
      <c r="BD181" s="62" t="s">
        <v>353</v>
      </c>
      <c r="BE181" s="55" t="s">
        <v>318</v>
      </c>
      <c r="BF181" s="55" t="s">
        <v>408</v>
      </c>
      <c r="BG181" s="55" t="s">
        <v>367</v>
      </c>
      <c r="BH181" s="36" t="s">
        <v>456</v>
      </c>
      <c r="BJ181"/>
      <c r="BK181"/>
      <c r="BM181"/>
    </row>
    <row r="182" spans="22:65" x14ac:dyDescent="0.35">
      <c r="X182" s="66" t="s">
        <v>667</v>
      </c>
      <c r="Y182" s="1" t="s">
        <v>571</v>
      </c>
      <c r="Z182" s="63">
        <v>154</v>
      </c>
      <c r="AA182" s="1" t="s">
        <v>552</v>
      </c>
      <c r="AC182" s="1" t="s">
        <v>321</v>
      </c>
      <c r="AD182" s="1" t="s">
        <v>18</v>
      </c>
      <c r="AF182" s="1">
        <f>Table1[[#This Row],[C:C]]*1.1</f>
        <v>0</v>
      </c>
      <c r="AI182" s="1">
        <f>IFERROR(VLOOKUP(X182,#REF!,8,FALSE),0)</f>
        <v>0</v>
      </c>
      <c r="AN182" s="1" t="str">
        <f>PROD_ID_TABLE[[#This Row],[PROD ID]]</f>
        <v xml:space="preserve">4850 GROUTSTAY15 </v>
      </c>
      <c r="AO182" s="1" t="str">
        <f t="shared" si="30"/>
        <v>ACCELERA 4850 GROUT/TOPCOAT POLYASPARTICSTEEL GRAY15 GAL</v>
      </c>
      <c r="AP182" s="3">
        <f t="shared" si="31"/>
        <v>2126.25</v>
      </c>
      <c r="AQ182" s="1" t="str">
        <f t="shared" si="32"/>
        <v>15 GAL</v>
      </c>
      <c r="AS182" s="1" t="str">
        <f t="shared" si="33"/>
        <v>STEEL GRAY</v>
      </c>
      <c r="AT182"/>
      <c r="AU182"/>
      <c r="AV182"/>
      <c r="AY182" t="str">
        <f t="shared" si="34"/>
        <v xml:space="preserve">4850 GROUTSTAY15 </v>
      </c>
      <c r="AZ182" s="1" t="str">
        <f t="shared" si="35"/>
        <v>4850 GROUT</v>
      </c>
      <c r="BA182" t="str">
        <f t="shared" si="36"/>
        <v>STAY</v>
      </c>
      <c r="BB182" s="1" t="str">
        <f t="shared" si="28"/>
        <v xml:space="preserve">15 </v>
      </c>
      <c r="BC182" s="1">
        <f t="shared" si="29"/>
        <v>2126.25</v>
      </c>
      <c r="BD182" s="62" t="s">
        <v>353</v>
      </c>
      <c r="BE182" s="55" t="s">
        <v>319</v>
      </c>
      <c r="BF182" s="55" t="s">
        <v>408</v>
      </c>
      <c r="BG182" s="55" t="s">
        <v>367</v>
      </c>
      <c r="BH182" s="36" t="s">
        <v>412</v>
      </c>
      <c r="BJ182"/>
      <c r="BK182"/>
      <c r="BM182"/>
    </row>
    <row r="183" spans="22:65" x14ac:dyDescent="0.35">
      <c r="X183" s="66" t="s">
        <v>666</v>
      </c>
      <c r="Y183" s="1" t="s">
        <v>571</v>
      </c>
      <c r="Z183" s="63">
        <v>154</v>
      </c>
      <c r="AA183" s="1" t="s">
        <v>552</v>
      </c>
      <c r="AC183" s="1" t="s">
        <v>691</v>
      </c>
      <c r="AD183" s="1" t="s">
        <v>18</v>
      </c>
      <c r="AF183" s="1">
        <f>Table1[[#This Row],[C:C]]*1.1</f>
        <v>0</v>
      </c>
      <c r="AI183" s="1">
        <f>IFERROR(VLOOKUP(X183,#REF!,8,FALSE),0)</f>
        <v>0</v>
      </c>
      <c r="AN183" s="1" t="str">
        <f>PROD_ID_TABLE[[#This Row],[PROD ID]]</f>
        <v xml:space="preserve">4850 GROUTBOTE15 </v>
      </c>
      <c r="AO183" s="1" t="str">
        <f t="shared" si="30"/>
        <v>ACCELERA 4850 GROUT/TOPCOAT POLYASPARTICBONE WHITE15 GAL</v>
      </c>
      <c r="AP183" s="3">
        <f t="shared" si="31"/>
        <v>2126.25</v>
      </c>
      <c r="AQ183" s="1" t="str">
        <f t="shared" si="32"/>
        <v>15 GAL</v>
      </c>
      <c r="AS183" s="1" t="str">
        <f t="shared" si="33"/>
        <v>BONE WHITE</v>
      </c>
      <c r="AT183"/>
      <c r="AU183"/>
      <c r="AV183"/>
      <c r="AY183" t="str">
        <f t="shared" si="34"/>
        <v xml:space="preserve">4850 GROUTBOTE15 </v>
      </c>
      <c r="AZ183" s="1" t="str">
        <f t="shared" si="35"/>
        <v>4850 GROUT</v>
      </c>
      <c r="BA183" t="str">
        <f t="shared" si="36"/>
        <v>BOTE</v>
      </c>
      <c r="BB183" s="1" t="str">
        <f t="shared" si="28"/>
        <v xml:space="preserve">15 </v>
      </c>
      <c r="BC183" s="1">
        <f t="shared" si="29"/>
        <v>2126.25</v>
      </c>
      <c r="BD183" s="62" t="s">
        <v>353</v>
      </c>
      <c r="BE183" s="55" t="s">
        <v>320</v>
      </c>
      <c r="BF183" s="55" t="s">
        <v>408</v>
      </c>
      <c r="BG183" s="55" t="s">
        <v>367</v>
      </c>
      <c r="BH183" s="36" t="s">
        <v>457</v>
      </c>
      <c r="BJ183"/>
      <c r="BK183"/>
      <c r="BM183"/>
    </row>
    <row r="184" spans="22:65" x14ac:dyDescent="0.35">
      <c r="X184" s="66" t="s">
        <v>665</v>
      </c>
      <c r="Y184" s="1" t="s">
        <v>571</v>
      </c>
      <c r="Z184" s="63">
        <v>154</v>
      </c>
      <c r="AA184" s="1" t="s">
        <v>552</v>
      </c>
      <c r="AC184" s="1" t="s">
        <v>399</v>
      </c>
      <c r="AD184" s="1" t="s">
        <v>18</v>
      </c>
      <c r="AF184" s="1">
        <f>Table1[[#This Row],[C:C]]*1.1</f>
        <v>0</v>
      </c>
      <c r="AI184" s="1">
        <f>IFERROR(VLOOKUP(X184,#REF!,8,FALSE),0)</f>
        <v>0</v>
      </c>
      <c r="AN184" s="1" t="str">
        <f>PROD_ID_TABLE[[#This Row],[PROD ID]]</f>
        <v xml:space="preserve">4850 GROUTSIAY15 </v>
      </c>
      <c r="AO184" s="1" t="str">
        <f t="shared" si="30"/>
        <v>ACCELERA 4850 GROUT/TOPCOAT POLYASPARTICSILVER GRAY15 GAL</v>
      </c>
      <c r="AP184" s="3">
        <f t="shared" si="31"/>
        <v>2126.25</v>
      </c>
      <c r="AQ184" s="1" t="str">
        <f t="shared" si="32"/>
        <v>15 GAL</v>
      </c>
      <c r="AS184" s="1" t="str">
        <f t="shared" si="33"/>
        <v>SILVER GRAY</v>
      </c>
      <c r="AT184"/>
      <c r="AU184"/>
      <c r="AV184"/>
      <c r="AY184" t="str">
        <f t="shared" si="34"/>
        <v xml:space="preserve">4850 GROUTSIAY15 </v>
      </c>
      <c r="AZ184" s="1" t="str">
        <f t="shared" si="35"/>
        <v>4850 GROUT</v>
      </c>
      <c r="BA184" t="str">
        <f t="shared" si="36"/>
        <v>SIAY</v>
      </c>
      <c r="BB184" s="1" t="str">
        <f t="shared" si="28"/>
        <v xml:space="preserve">15 </v>
      </c>
      <c r="BC184" s="1">
        <f t="shared" si="29"/>
        <v>2126.25</v>
      </c>
      <c r="BD184" s="62" t="s">
        <v>353</v>
      </c>
      <c r="BE184" s="55" t="s">
        <v>321</v>
      </c>
      <c r="BF184" s="55" t="s">
        <v>408</v>
      </c>
      <c r="BG184" s="55" t="s">
        <v>367</v>
      </c>
      <c r="BH184" s="36" t="s">
        <v>406</v>
      </c>
      <c r="BJ184"/>
      <c r="BK184"/>
      <c r="BM184"/>
    </row>
    <row r="185" spans="22:65" x14ac:dyDescent="0.35">
      <c r="X185" s="66" t="s">
        <v>675</v>
      </c>
      <c r="Y185" s="1" t="s">
        <v>571</v>
      </c>
      <c r="Z185" s="63">
        <v>154</v>
      </c>
      <c r="AA185" s="1" t="s">
        <v>552</v>
      </c>
      <c r="AC185" s="1" t="s">
        <v>696</v>
      </c>
      <c r="AD185" s="1" t="s">
        <v>18</v>
      </c>
      <c r="AF185" s="1">
        <f>Table1[[#This Row],[C:C]]*1.1</f>
        <v>0</v>
      </c>
      <c r="AI185" s="1">
        <f>IFERROR(VLOOKUP(X185,#REF!,8,FALSE),0)</f>
        <v>0</v>
      </c>
      <c r="AN185" s="1" t="str">
        <f>PROD_ID_TABLE[[#This Row],[PROD ID]]</f>
        <v xml:space="preserve">4850 GROUTWHTE15 </v>
      </c>
      <c r="AO185" s="1" t="str">
        <f t="shared" si="30"/>
        <v>ACCELERA 4850 GROUT/TOPCOAT POLYASPARTICWHITE15 GAL</v>
      </c>
      <c r="AP185" s="3">
        <f t="shared" si="31"/>
        <v>2126.25</v>
      </c>
      <c r="AQ185" s="1" t="str">
        <f t="shared" si="32"/>
        <v>15 GAL</v>
      </c>
      <c r="AS185" s="1" t="str">
        <f t="shared" si="33"/>
        <v>WHITE</v>
      </c>
      <c r="AT185"/>
      <c r="AU185"/>
      <c r="AV185"/>
      <c r="AY185" t="str">
        <f t="shared" si="34"/>
        <v xml:space="preserve">4850 GROUTWHTE15 </v>
      </c>
      <c r="AZ185" s="1" t="str">
        <f t="shared" si="35"/>
        <v>4850 GROUT</v>
      </c>
      <c r="BA185" t="str">
        <f t="shared" si="36"/>
        <v>WHTE</v>
      </c>
      <c r="BB185" s="1" t="str">
        <f t="shared" si="28"/>
        <v xml:space="preserve">15 </v>
      </c>
      <c r="BC185" s="1">
        <f t="shared" si="29"/>
        <v>2126.25</v>
      </c>
      <c r="BD185" s="62" t="s">
        <v>353</v>
      </c>
      <c r="BE185" s="55" t="s">
        <v>322</v>
      </c>
      <c r="BF185" s="55" t="s">
        <v>408</v>
      </c>
      <c r="BG185" s="55" t="s">
        <v>367</v>
      </c>
      <c r="BH185" s="36" t="s">
        <v>410</v>
      </c>
      <c r="BJ185"/>
      <c r="BK185"/>
      <c r="BM185"/>
    </row>
    <row r="186" spans="22:65" x14ac:dyDescent="0.35">
      <c r="X186" s="66" t="s">
        <v>682</v>
      </c>
      <c r="Y186" s="1" t="s">
        <v>571</v>
      </c>
      <c r="Z186" s="63">
        <v>154</v>
      </c>
      <c r="AA186" s="1" t="s">
        <v>552</v>
      </c>
      <c r="AC186" s="1" t="s">
        <v>714</v>
      </c>
      <c r="AD186" s="1" t="s">
        <v>18</v>
      </c>
      <c r="AF186" s="1">
        <f>Table1[[#This Row],[C:C]]*1.1</f>
        <v>0</v>
      </c>
      <c r="AI186" s="1">
        <f>IFERROR(VLOOKUP(X186,#REF!,8,FALSE),0)</f>
        <v>0</v>
      </c>
      <c r="AN186" s="1" t="str">
        <f>PROD_ID_TABLE[[#This Row],[PROD ID]]</f>
        <v xml:space="preserve">4850 GROUTBLCK15 </v>
      </c>
      <c r="AO186" s="1" t="str">
        <f t="shared" si="30"/>
        <v>ACCELERA 4850 GROUT/TOPCOAT POLYASPARTICBLACK15 GAL</v>
      </c>
      <c r="AP186" s="3">
        <f t="shared" si="31"/>
        <v>2126.25</v>
      </c>
      <c r="AQ186" s="1" t="str">
        <f t="shared" si="32"/>
        <v>15 GAL</v>
      </c>
      <c r="AS186" s="1" t="str">
        <f t="shared" si="33"/>
        <v>BLACK</v>
      </c>
      <c r="AT186"/>
      <c r="AU186"/>
      <c r="AV186"/>
      <c r="AY186" t="str">
        <f t="shared" si="34"/>
        <v xml:space="preserve">4850 GROUTBLCK15 </v>
      </c>
      <c r="AZ186" s="1" t="str">
        <f t="shared" si="35"/>
        <v>4850 GROUT</v>
      </c>
      <c r="BA186" t="str">
        <f t="shared" si="36"/>
        <v>BLCK</v>
      </c>
      <c r="BB186" s="1" t="str">
        <f t="shared" si="28"/>
        <v xml:space="preserve">15 </v>
      </c>
      <c r="BC186" s="1">
        <f t="shared" si="29"/>
        <v>2126.25</v>
      </c>
      <c r="BD186" s="62" t="s">
        <v>353</v>
      </c>
      <c r="BE186" s="55" t="s">
        <v>323</v>
      </c>
      <c r="BF186" s="55" t="s">
        <v>408</v>
      </c>
      <c r="BG186" s="55" t="s">
        <v>367</v>
      </c>
      <c r="BH186" s="36" t="s">
        <v>1039</v>
      </c>
      <c r="BJ186"/>
      <c r="BK186"/>
      <c r="BM186"/>
    </row>
    <row r="187" spans="22:65" x14ac:dyDescent="0.35">
      <c r="X187" s="66" t="s">
        <v>529</v>
      </c>
      <c r="Y187" s="1" t="s">
        <v>556</v>
      </c>
      <c r="Z187" s="63">
        <v>329.18</v>
      </c>
      <c r="AA187" s="1" t="s">
        <v>528</v>
      </c>
      <c r="AC187" s="1" t="s">
        <v>321</v>
      </c>
      <c r="AD187" s="1" t="s">
        <v>18</v>
      </c>
      <c r="AF187" s="1">
        <f>Table1[[#This Row],[C:C]]*1.1</f>
        <v>0</v>
      </c>
      <c r="AI187" s="1">
        <f>IFERROR(VLOOKUP(X187,#REF!,8,FALSE),0)</f>
        <v>0</v>
      </c>
      <c r="AN187" s="1" t="str">
        <f>PROD_ID_TABLE[[#This Row],[PROD ID]]</f>
        <v xml:space="preserve">4850 GROUTPANT15 </v>
      </c>
      <c r="AO187" s="1" t="str">
        <f t="shared" si="30"/>
        <v>ACCELERA 4850 GROUT/TOPCOAT POLYASPARTICPARCHMENT15 GAL</v>
      </c>
      <c r="AP187" s="3">
        <f t="shared" si="31"/>
        <v>2126.25</v>
      </c>
      <c r="AQ187" s="1" t="str">
        <f t="shared" si="32"/>
        <v>15 GAL</v>
      </c>
      <c r="AS187" s="1" t="str">
        <f t="shared" si="33"/>
        <v>PARCHMENT</v>
      </c>
      <c r="AT187"/>
      <c r="AU187"/>
      <c r="AV187"/>
      <c r="AY187" t="str">
        <f t="shared" si="34"/>
        <v xml:space="preserve">4850 GROUTPANT15 </v>
      </c>
      <c r="AZ187" s="1" t="str">
        <f t="shared" si="35"/>
        <v>4850 GROUT</v>
      </c>
      <c r="BA187" t="str">
        <f t="shared" si="36"/>
        <v>PANT</v>
      </c>
      <c r="BB187" s="1" t="str">
        <f t="shared" si="28"/>
        <v xml:space="preserve">15 </v>
      </c>
      <c r="BC187" s="1">
        <f t="shared" si="29"/>
        <v>2126.25</v>
      </c>
      <c r="BD187" s="62" t="s">
        <v>353</v>
      </c>
      <c r="BE187" s="55" t="s">
        <v>324</v>
      </c>
      <c r="BF187" s="55" t="s">
        <v>408</v>
      </c>
      <c r="BG187" s="55" t="s">
        <v>367</v>
      </c>
      <c r="BH187" s="36"/>
      <c r="BJ187"/>
      <c r="BK187"/>
      <c r="BM187"/>
    </row>
    <row r="188" spans="22:65" x14ac:dyDescent="0.35">
      <c r="X188" s="66" t="s">
        <v>539</v>
      </c>
      <c r="Y188" s="1" t="s">
        <v>556</v>
      </c>
      <c r="Z188" s="63">
        <v>329.18</v>
      </c>
      <c r="AA188" s="1" t="s">
        <v>528</v>
      </c>
      <c r="AC188" s="1" t="s">
        <v>694</v>
      </c>
      <c r="AD188" s="1" t="s">
        <v>18</v>
      </c>
      <c r="AF188" s="1">
        <f>Table1[[#This Row],[C:C]]*1.1</f>
        <v>0</v>
      </c>
      <c r="AI188" s="1">
        <f>IFERROR(VLOOKUP(X188,#REF!,8,FALSE),0)</f>
        <v>0</v>
      </c>
      <c r="AN188" s="1" t="str">
        <f>PROD_ID_TABLE[[#This Row],[PROD ID]]</f>
        <v xml:space="preserve">4850 GROUTSAED15 </v>
      </c>
      <c r="AO188" s="1" t="str">
        <f t="shared" si="30"/>
        <v>ACCELERA 4850 GROUT/TOPCOAT POLYASPARTICSAFETY RED15 GAL</v>
      </c>
      <c r="AP188" s="3">
        <f t="shared" si="31"/>
        <v>2126.25</v>
      </c>
      <c r="AQ188" s="1" t="str">
        <f t="shared" si="32"/>
        <v>15 GAL</v>
      </c>
      <c r="AS188" s="1" t="str">
        <f t="shared" si="33"/>
        <v>SAFETY RED</v>
      </c>
      <c r="AT188"/>
      <c r="AU188"/>
      <c r="AV188"/>
      <c r="AY188" t="str">
        <f t="shared" si="34"/>
        <v xml:space="preserve">4850 GROUTSAED15 </v>
      </c>
      <c r="AZ188" s="1" t="str">
        <f t="shared" si="35"/>
        <v>4850 GROUT</v>
      </c>
      <c r="BA188" t="str">
        <f t="shared" si="36"/>
        <v>SAED</v>
      </c>
      <c r="BB188" s="1" t="str">
        <f t="shared" si="28"/>
        <v xml:space="preserve">15 </v>
      </c>
      <c r="BC188" s="1">
        <f t="shared" si="29"/>
        <v>2126.25</v>
      </c>
      <c r="BD188" s="62" t="s">
        <v>353</v>
      </c>
      <c r="BE188" s="55" t="s">
        <v>325</v>
      </c>
      <c r="BF188" s="55" t="s">
        <v>408</v>
      </c>
      <c r="BG188" s="55" t="s">
        <v>367</v>
      </c>
      <c r="BH188" s="36"/>
      <c r="BJ188"/>
      <c r="BK188"/>
      <c r="BM188"/>
    </row>
    <row r="189" spans="22:65" x14ac:dyDescent="0.35">
      <c r="X189" s="66" t="s">
        <v>530</v>
      </c>
      <c r="Y189" s="1" t="s">
        <v>556</v>
      </c>
      <c r="Z189" s="63">
        <v>329.18</v>
      </c>
      <c r="AA189" s="1" t="s">
        <v>528</v>
      </c>
      <c r="AC189" s="1" t="s">
        <v>384</v>
      </c>
      <c r="AD189" s="1" t="s">
        <v>18</v>
      </c>
      <c r="AF189" s="1">
        <f>Table1[[#This Row],[C:C]]*1.1</f>
        <v>0</v>
      </c>
      <c r="AI189" s="1">
        <f>IFERROR(VLOOKUP(X189,#REF!,8,FALSE),0)</f>
        <v>0</v>
      </c>
      <c r="AN189" s="1" t="str">
        <f>PROD_ID_TABLE[[#This Row],[PROD ID]]</f>
        <v xml:space="preserve">4850 GROUTSAOW15 </v>
      </c>
      <c r="AO189" s="1" t="str">
        <f t="shared" si="30"/>
        <v>ACCELERA 4850 GROUT/TOPCOAT POLYASPARTICSAFETY YELLOW15 GAL</v>
      </c>
      <c r="AP189" s="3">
        <f t="shared" si="31"/>
        <v>2126.25</v>
      </c>
      <c r="AQ189" s="1" t="str">
        <f t="shared" si="32"/>
        <v>15 GAL</v>
      </c>
      <c r="AS189" s="1" t="str">
        <f t="shared" si="33"/>
        <v>SAFETY YELLOW</v>
      </c>
      <c r="AT189"/>
      <c r="AU189"/>
      <c r="AV189"/>
      <c r="AY189" t="str">
        <f t="shared" si="34"/>
        <v xml:space="preserve">4850 GROUTSAOW15 </v>
      </c>
      <c r="AZ189" s="1" t="str">
        <f t="shared" si="35"/>
        <v>4850 GROUT</v>
      </c>
      <c r="BA189" t="str">
        <f t="shared" si="36"/>
        <v>SAOW</v>
      </c>
      <c r="BB189" s="1" t="str">
        <f t="shared" si="28"/>
        <v xml:space="preserve">15 </v>
      </c>
      <c r="BC189" s="1">
        <f t="shared" si="29"/>
        <v>2126.25</v>
      </c>
      <c r="BD189" s="62" t="s">
        <v>353</v>
      </c>
      <c r="BE189" s="55" t="s">
        <v>326</v>
      </c>
      <c r="BF189" s="55" t="s">
        <v>408</v>
      </c>
      <c r="BG189" s="55" t="s">
        <v>367</v>
      </c>
      <c r="BH189" s="36"/>
      <c r="BJ189"/>
      <c r="BK189"/>
      <c r="BM189"/>
    </row>
    <row r="190" spans="22:65" x14ac:dyDescent="0.35">
      <c r="X190" s="66" t="s">
        <v>532</v>
      </c>
      <c r="Y190" s="1" t="s">
        <v>556</v>
      </c>
      <c r="Z190" s="63">
        <v>329.18</v>
      </c>
      <c r="AA190" s="1" t="s">
        <v>528</v>
      </c>
      <c r="AC190" s="1" t="s">
        <v>688</v>
      </c>
      <c r="AD190" s="1" t="s">
        <v>18</v>
      </c>
      <c r="AF190" s="1">
        <f>Table1[[#This Row],[C:C]]*1.1</f>
        <v>0</v>
      </c>
      <c r="AI190" s="1">
        <f>IFERROR(VLOOKUP(X190,#REF!,8,FALSE),0)</f>
        <v>0</v>
      </c>
      <c r="AN190" s="1" t="str">
        <f>PROD_ID_TABLE[[#This Row],[PROD ID]]</f>
        <v xml:space="preserve">4850 GROUTROUE15 </v>
      </c>
      <c r="AO190" s="1" t="str">
        <f t="shared" si="30"/>
        <v>ACCELERA 4850 GROUT/TOPCOAT POLYASPARTICROYAL BLUE15 GAL</v>
      </c>
      <c r="AP190" s="3">
        <f t="shared" si="31"/>
        <v>2126.25</v>
      </c>
      <c r="AQ190" s="1" t="str">
        <f t="shared" si="32"/>
        <v>15 GAL</v>
      </c>
      <c r="AS190" s="1" t="str">
        <f t="shared" si="33"/>
        <v>ROYAL BLUE</v>
      </c>
      <c r="AT190"/>
      <c r="AU190"/>
      <c r="AV190"/>
      <c r="AY190" t="str">
        <f t="shared" si="34"/>
        <v xml:space="preserve">4850 GROUTROUE15 </v>
      </c>
      <c r="AZ190" s="1" t="str">
        <f t="shared" si="35"/>
        <v>4850 GROUT</v>
      </c>
      <c r="BA190" t="str">
        <f t="shared" si="36"/>
        <v>ROUE</v>
      </c>
      <c r="BB190" s="1" t="str">
        <f t="shared" si="28"/>
        <v xml:space="preserve">15 </v>
      </c>
      <c r="BC190" s="1">
        <f t="shared" si="29"/>
        <v>2126.25</v>
      </c>
      <c r="BD190" s="62" t="s">
        <v>353</v>
      </c>
      <c r="BE190" s="55" t="s">
        <v>428</v>
      </c>
      <c r="BF190" s="55" t="s">
        <v>408</v>
      </c>
      <c r="BG190" s="55" t="s">
        <v>367</v>
      </c>
      <c r="BH190" s="36"/>
      <c r="BJ190"/>
      <c r="BK190"/>
      <c r="BM190"/>
    </row>
    <row r="191" spans="22:65" x14ac:dyDescent="0.35">
      <c r="X191" s="66" t="s">
        <v>533</v>
      </c>
      <c r="Y191" s="1" t="s">
        <v>556</v>
      </c>
      <c r="Z191" s="63">
        <v>329.18</v>
      </c>
      <c r="AA191" s="1" t="s">
        <v>528</v>
      </c>
      <c r="AC191" s="1" t="s">
        <v>689</v>
      </c>
      <c r="AD191" s="1" t="s">
        <v>18</v>
      </c>
      <c r="AF191" s="1">
        <f>Table1[[#This Row],[C:C]]*1.1</f>
        <v>0</v>
      </c>
      <c r="AI191" s="1">
        <f>IFERROR(VLOOKUP(X191,#REF!,8,FALSE),0)</f>
        <v>0</v>
      </c>
      <c r="AN191" s="1" t="str">
        <f>PROD_ID_TABLE[[#This Row],[PROD ID]]</f>
        <v xml:space="preserve">4850 GROUTPEER15 </v>
      </c>
      <c r="AO191" s="1" t="str">
        <f t="shared" si="30"/>
        <v>ACCELERA 4850 GROUT/TOPCOAT POLYASPARTICPEWTER15 GAL</v>
      </c>
      <c r="AP191" s="3">
        <f t="shared" si="31"/>
        <v>2126.25</v>
      </c>
      <c r="AQ191" s="1" t="str">
        <f t="shared" si="32"/>
        <v>15 GAL</v>
      </c>
      <c r="AS191" s="1" t="str">
        <f t="shared" si="33"/>
        <v>PEWTER</v>
      </c>
      <c r="AT191"/>
      <c r="AU191"/>
      <c r="AV191"/>
      <c r="AY191" t="str">
        <f t="shared" si="34"/>
        <v xml:space="preserve">4850 GROUTPEER15 </v>
      </c>
      <c r="AZ191" s="1" t="str">
        <f t="shared" si="35"/>
        <v>4850 GROUT</v>
      </c>
      <c r="BA191" t="str">
        <f t="shared" si="36"/>
        <v>PEER</v>
      </c>
      <c r="BB191" s="1" t="str">
        <f t="shared" si="28"/>
        <v xml:space="preserve">15 </v>
      </c>
      <c r="BC191" s="1">
        <f t="shared" si="29"/>
        <v>2126.25</v>
      </c>
      <c r="BD191" s="62" t="s">
        <v>353</v>
      </c>
      <c r="BE191" s="55" t="s">
        <v>327</v>
      </c>
      <c r="BF191" s="55" t="s">
        <v>408</v>
      </c>
      <c r="BG191" s="55" t="s">
        <v>367</v>
      </c>
      <c r="BH191" s="36"/>
      <c r="BJ191"/>
      <c r="BK191"/>
      <c r="BM191"/>
    </row>
    <row r="192" spans="22:65" x14ac:dyDescent="0.35">
      <c r="V192" s="1" t="str" cm="1">
        <f t="array" ref="V192:V826">_xlfn.UNIQUE(AN:AN)</f>
        <v>Product #</v>
      </c>
      <c r="X192" s="66" t="s">
        <v>536</v>
      </c>
      <c r="Y192" s="1" t="s">
        <v>556</v>
      </c>
      <c r="Z192" s="63">
        <v>329.18</v>
      </c>
      <c r="AA192" s="1" t="s">
        <v>528</v>
      </c>
      <c r="AC192" s="1" t="s">
        <v>399</v>
      </c>
      <c r="AD192" s="1" t="s">
        <v>18</v>
      </c>
      <c r="AF192" s="1">
        <f>Table1[[#This Row],[C:C]]*1.1</f>
        <v>0</v>
      </c>
      <c r="AI192" s="1">
        <f>IFERROR(VLOOKUP(X192,#REF!,8,FALSE),0)</f>
        <v>0</v>
      </c>
      <c r="AN192" s="1" t="str">
        <f>PROD_ID_TABLE[[#This Row],[PROD ID]]</f>
        <v xml:space="preserve">4850 GROUTCLLE15 </v>
      </c>
      <c r="AO192" s="1" t="str">
        <f t="shared" si="30"/>
        <v>ACCELERA 4850 GROUT/TOPCOAT POLYASPARTICCLASIC RED TILE15 GAL</v>
      </c>
      <c r="AP192" s="3">
        <f t="shared" si="31"/>
        <v>2126.25</v>
      </c>
      <c r="AQ192" s="1" t="str">
        <f t="shared" si="32"/>
        <v>15 GAL</v>
      </c>
      <c r="AS192" s="1" t="str">
        <f t="shared" si="33"/>
        <v>CLASIC RED TILE</v>
      </c>
      <c r="AT192"/>
      <c r="AU192"/>
      <c r="AV192"/>
      <c r="AY192" t="str">
        <f t="shared" si="34"/>
        <v xml:space="preserve">4850 GROUTCLLE15 </v>
      </c>
      <c r="AZ192" s="1" t="str">
        <f t="shared" si="35"/>
        <v>4850 GROUT</v>
      </c>
      <c r="BA192" t="str">
        <f t="shared" si="36"/>
        <v>CLLE</v>
      </c>
      <c r="BB192" s="1" t="str">
        <f t="shared" si="28"/>
        <v xml:space="preserve">15 </v>
      </c>
      <c r="BC192" s="1">
        <f t="shared" si="29"/>
        <v>2126.25</v>
      </c>
      <c r="BD192" s="62" t="s">
        <v>353</v>
      </c>
      <c r="BE192" s="55" t="s">
        <v>328</v>
      </c>
      <c r="BF192" s="55" t="s">
        <v>408</v>
      </c>
      <c r="BG192" s="55" t="s">
        <v>367</v>
      </c>
      <c r="BH192" s="36"/>
      <c r="BJ192"/>
      <c r="BK192"/>
      <c r="BM192"/>
    </row>
    <row r="193" spans="22:65" x14ac:dyDescent="0.35">
      <c r="V193" s="1" t="str">
        <v>3500 EPOXYN//A1/2</v>
      </c>
      <c r="X193" s="66" t="s">
        <v>538</v>
      </c>
      <c r="Y193" s="1" t="s">
        <v>556</v>
      </c>
      <c r="Z193" s="63">
        <v>329.18</v>
      </c>
      <c r="AA193" s="1" t="s">
        <v>528</v>
      </c>
      <c r="AC193" s="1" t="s">
        <v>693</v>
      </c>
      <c r="AD193" s="1" t="s">
        <v>18</v>
      </c>
      <c r="AF193" s="1">
        <f>Table1[[#This Row],[C:C]]*1.1</f>
        <v>0</v>
      </c>
      <c r="AI193" s="1">
        <f>IFERROR(VLOOKUP(X193,#REF!,8,FALSE),0)</f>
        <v>0</v>
      </c>
      <c r="AN193" s="1" t="str">
        <f>PROD_ID_TABLE[[#This Row],[PROD ID]]</f>
        <v xml:space="preserve">4850 GROUTCAEL15 </v>
      </c>
      <c r="AO193" s="1" t="str">
        <f t="shared" si="30"/>
        <v>ACCELERA 4850 GROUT/TOPCOAT POLYASPARTICCARAMEL15 GAL</v>
      </c>
      <c r="AP193" s="3">
        <f t="shared" si="31"/>
        <v>2126.25</v>
      </c>
      <c r="AQ193" s="1" t="str">
        <f t="shared" si="32"/>
        <v>15 GAL</v>
      </c>
      <c r="AS193" s="1" t="str">
        <f t="shared" si="33"/>
        <v>CARAMEL</v>
      </c>
      <c r="AT193"/>
      <c r="AU193"/>
      <c r="AV193"/>
      <c r="AY193" t="str">
        <f t="shared" si="34"/>
        <v xml:space="preserve">4850 GROUTCAEL15 </v>
      </c>
      <c r="AZ193" s="1" t="str">
        <f t="shared" si="35"/>
        <v>4850 GROUT</v>
      </c>
      <c r="BA193" t="str">
        <f t="shared" si="36"/>
        <v>CAEL</v>
      </c>
      <c r="BB193" s="1" t="str">
        <f t="shared" si="28"/>
        <v xml:space="preserve">15 </v>
      </c>
      <c r="BC193" s="1">
        <f t="shared" si="29"/>
        <v>2126.25</v>
      </c>
      <c r="BD193" s="62" t="s">
        <v>353</v>
      </c>
      <c r="BE193" s="55" t="s">
        <v>329</v>
      </c>
      <c r="BF193" s="55" t="s">
        <v>408</v>
      </c>
      <c r="BG193" s="55" t="s">
        <v>367</v>
      </c>
      <c r="BH193" s="36"/>
      <c r="BJ193"/>
      <c r="BK193"/>
      <c r="BM193"/>
    </row>
    <row r="194" spans="22:65" ht="15" thickBot="1" x14ac:dyDescent="0.4">
      <c r="V194" s="1" t="str">
        <v xml:space="preserve">M.  URETHAN//A44 </v>
      </c>
      <c r="X194" s="66" t="s">
        <v>540</v>
      </c>
      <c r="Y194" s="1" t="s">
        <v>556</v>
      </c>
      <c r="Z194" s="63">
        <v>329.18</v>
      </c>
      <c r="AA194" s="1" t="s">
        <v>528</v>
      </c>
      <c r="AC194" s="1" t="s">
        <v>695</v>
      </c>
      <c r="AD194" s="1" t="s">
        <v>18</v>
      </c>
      <c r="AF194" s="1">
        <f>Table1[[#This Row],[C:C]]*1.1</f>
        <v>0</v>
      </c>
      <c r="AI194" s="1">
        <f>IFERROR(VLOOKUP(X194,#REF!,8,FALSE),0)</f>
        <v>0</v>
      </c>
      <c r="AN194" s="1" t="str">
        <f>PROD_ID_TABLE[[#This Row],[PROD ID]]</f>
        <v xml:space="preserve">4850 GROUTULSE15 </v>
      </c>
      <c r="AO194" s="1" t="str">
        <f t="shared" si="30"/>
        <v>ACCELERA 4850 GROUT/TOPCOAT POLYASPARTICULTRA DEEP BASE15 GAL</v>
      </c>
      <c r="AP194" s="3">
        <f t="shared" si="31"/>
        <v>2126.25</v>
      </c>
      <c r="AQ194" s="1" t="str">
        <f t="shared" si="32"/>
        <v>15 GAL</v>
      </c>
      <c r="AS194" s="1" t="str">
        <f t="shared" si="33"/>
        <v>ULTRA DEEP BASE</v>
      </c>
      <c r="AT194"/>
      <c r="AU194"/>
      <c r="AV194"/>
      <c r="AY194" t="str">
        <f t="shared" si="34"/>
        <v xml:space="preserve">4850 GROUTULSE15 </v>
      </c>
      <c r="AZ194" s="1" t="str">
        <f t="shared" si="35"/>
        <v>4850 GROUT</v>
      </c>
      <c r="BA194" t="str">
        <f t="shared" si="36"/>
        <v>ULSE</v>
      </c>
      <c r="BB194" s="1" t="str">
        <f t="shared" ref="BB194:BB257" si="37">LEFT(BF194,3)</f>
        <v xml:space="preserve">15 </v>
      </c>
      <c r="BC194" s="1">
        <f t="shared" ref="BC194:BC257" si="38">IFERROR(VLOOKUP(BD194&amp;BF194,AV:AW,2,FALSE),0)</f>
        <v>2126.25</v>
      </c>
      <c r="BD194" s="62" t="s">
        <v>353</v>
      </c>
      <c r="BE194" s="55" t="s">
        <v>330</v>
      </c>
      <c r="BF194" s="55" t="s">
        <v>408</v>
      </c>
      <c r="BG194" s="55" t="s">
        <v>367</v>
      </c>
      <c r="BH194" s="37"/>
      <c r="BJ194"/>
      <c r="BK194"/>
      <c r="BM194"/>
    </row>
    <row r="195" spans="22:65" ht="15" thickBot="1" x14ac:dyDescent="0.4">
      <c r="V195" s="1" t="str">
        <v>3513 SCRATGRAY2 G</v>
      </c>
      <c r="X195" s="66" t="s">
        <v>541</v>
      </c>
      <c r="Y195" s="1" t="s">
        <v>556</v>
      </c>
      <c r="Z195" s="63">
        <v>329.18</v>
      </c>
      <c r="AA195" s="1" t="s">
        <v>528</v>
      </c>
      <c r="AC195" s="1" t="s">
        <v>696</v>
      </c>
      <c r="AD195" s="1" t="s">
        <v>18</v>
      </c>
      <c r="AF195" s="1">
        <f>Table1[[#This Row],[C:C]]*1.1</f>
        <v>0</v>
      </c>
      <c r="AI195" s="1">
        <f>IFERROR(VLOOKUP(X195,#REF!,8,FALSE),0)</f>
        <v>0</v>
      </c>
      <c r="AN195" s="1" t="str">
        <f>PROD_ID_TABLE[[#This Row],[PROD ID]]</f>
        <v xml:space="preserve">4850 GROUTWHSE15 </v>
      </c>
      <c r="AO195" s="1" t="str">
        <f t="shared" ref="AO195:AO258" si="39">_xlfn.CONCAT(BD195:BF195)</f>
        <v>ACCELERA 4850 GROUT/TOPCOAT POLYASPARTICWHITE TINT BASE15 GAL</v>
      </c>
      <c r="AP195" s="3">
        <f t="shared" ref="AP195:AP258" si="40">BC195</f>
        <v>2126.25</v>
      </c>
      <c r="AQ195" s="1" t="str">
        <f t="shared" ref="AQ195:AQ258" si="41">BF195</f>
        <v>15 GAL</v>
      </c>
      <c r="AS195" s="1" t="str">
        <f t="shared" ref="AS195:AS258" si="42">BE195</f>
        <v>WHITE TINT BASE</v>
      </c>
      <c r="AT195"/>
      <c r="AU195"/>
      <c r="AV195"/>
      <c r="AY195" t="str">
        <f t="shared" ref="AY195:AY258" si="43">_xlfn.CONCAT(AZ195:BB195)</f>
        <v xml:space="preserve">4850 GROUTWHSE15 </v>
      </c>
      <c r="AZ195" s="1" t="str">
        <f t="shared" ref="AZ195:AZ258" si="44">MID(BD195,10,10)</f>
        <v>4850 GROUT</v>
      </c>
      <c r="BA195" t="str">
        <f t="shared" ref="BA195:BA258" si="45">LEFT(BE195,2)&amp;RIGHT(BE195,2)</f>
        <v>WHSE</v>
      </c>
      <c r="BB195" s="1" t="str">
        <f t="shared" si="37"/>
        <v xml:space="preserve">15 </v>
      </c>
      <c r="BC195" s="1">
        <f t="shared" si="38"/>
        <v>2126.25</v>
      </c>
      <c r="BD195" s="57" t="s">
        <v>353</v>
      </c>
      <c r="BE195" s="56" t="s">
        <v>331</v>
      </c>
      <c r="BF195" s="56" t="s">
        <v>408</v>
      </c>
      <c r="BG195" s="56" t="s">
        <v>367</v>
      </c>
      <c r="BH195" s="51" t="s">
        <v>390</v>
      </c>
      <c r="BI195" s="51" t="s">
        <v>414</v>
      </c>
      <c r="BJ195"/>
      <c r="BK195"/>
      <c r="BM195"/>
    </row>
    <row r="196" spans="22:65" x14ac:dyDescent="0.35">
      <c r="V196" s="1" t="str">
        <v>3513 SCRATWHTE2 G</v>
      </c>
      <c r="X196" s="66" t="s">
        <v>544</v>
      </c>
      <c r="Y196" s="1" t="s">
        <v>556</v>
      </c>
      <c r="Z196" s="63">
        <v>329.18</v>
      </c>
      <c r="AA196" s="1" t="s">
        <v>528</v>
      </c>
      <c r="AC196" s="1" t="s">
        <v>699</v>
      </c>
      <c r="AD196" s="1" t="s">
        <v>18</v>
      </c>
      <c r="AF196" s="1">
        <f>Table1[[#This Row],[C:C]]*1.1</f>
        <v>0</v>
      </c>
      <c r="AI196" s="1">
        <f>IFERROR(VLOOKUP(X196,#REF!,8,FALSE),0)</f>
        <v>0</v>
      </c>
      <c r="AN196" s="1" t="str">
        <f>PROD_ID_TABLE[[#This Row],[PROD ID]]</f>
        <v>AR AGGREGAN//A50L</v>
      </c>
      <c r="AO196" s="1" t="str">
        <f t="shared" si="39"/>
        <v>5115 MORTAR AGGREGATE BLENDN/A50LB BAG</v>
      </c>
      <c r="AP196" s="3">
        <f t="shared" si="40"/>
        <v>10.4</v>
      </c>
      <c r="AQ196" s="1" t="str">
        <f t="shared" si="41"/>
        <v>50LB BAG</v>
      </c>
      <c r="AS196" s="1" t="str">
        <f t="shared" si="42"/>
        <v>N/A</v>
      </c>
      <c r="AT196"/>
      <c r="AU196"/>
      <c r="AV196"/>
      <c r="AY196" t="str">
        <f t="shared" si="43"/>
        <v>AR AGGREGAN//A50L</v>
      </c>
      <c r="AZ196" s="1" t="str">
        <f t="shared" si="44"/>
        <v>AR AGGREGA</v>
      </c>
      <c r="BA196" t="str">
        <f t="shared" si="45"/>
        <v>N//A</v>
      </c>
      <c r="BB196" s="1" t="str">
        <f t="shared" si="37"/>
        <v>50L</v>
      </c>
      <c r="BC196" s="1">
        <f t="shared" si="38"/>
        <v>10.4</v>
      </c>
      <c r="BD196" s="50" t="s">
        <v>388</v>
      </c>
      <c r="BE196" s="49" t="s">
        <v>398</v>
      </c>
      <c r="BF196" s="49" t="s">
        <v>413</v>
      </c>
      <c r="BG196" s="49" t="s">
        <v>390</v>
      </c>
      <c r="BH196" s="39" t="s">
        <v>398</v>
      </c>
      <c r="BI196" s="39" t="s">
        <v>413</v>
      </c>
      <c r="BJ196" t="str" cm="1">
        <f t="array" ref="BJ196">_xlfn.SWITCH(SW!M53,P!$BL$37,P!$BH$197:$BH$199,P!$BL$40,P!$BH$200:$BH$203,P!$BH$196)</f>
        <v>N/A</v>
      </c>
      <c r="BK196"/>
      <c r="BM196"/>
    </row>
    <row r="197" spans="22:65" x14ac:dyDescent="0.35">
      <c r="V197" s="1" t="str">
        <v xml:space="preserve"> 3477 EPOXN//A3 G</v>
      </c>
      <c r="X197" s="66" t="s">
        <v>542</v>
      </c>
      <c r="Y197" s="1" t="s">
        <v>556</v>
      </c>
      <c r="Z197" s="63">
        <v>329.18</v>
      </c>
      <c r="AA197" s="1" t="s">
        <v>528</v>
      </c>
      <c r="AC197" s="1" t="s">
        <v>697</v>
      </c>
      <c r="AD197" s="1" t="s">
        <v>18</v>
      </c>
      <c r="AF197" s="1">
        <f>Table1[[#This Row],[C:C]]*1.1</f>
        <v>0</v>
      </c>
      <c r="AI197" s="1">
        <f>IFERROR(VLOOKUP(X197,#REF!,8,FALSE),0)</f>
        <v>0</v>
      </c>
      <c r="AN197" s="1" t="str">
        <f>PROD_ID_TABLE[[#This Row],[PROD ID]]</f>
        <v>SILICA SAN204050L</v>
      </c>
      <c r="AO197" s="1" t="str">
        <f t="shared" si="39"/>
        <v>5310 DRY SILICA SAND - 20/4020/4050LB BAG</v>
      </c>
      <c r="AP197" s="3">
        <f t="shared" si="40"/>
        <v>12.79</v>
      </c>
      <c r="AQ197" s="1" t="str">
        <f t="shared" si="41"/>
        <v>50LB BAG</v>
      </c>
      <c r="AS197" s="1" t="str">
        <f t="shared" si="42"/>
        <v>20/40</v>
      </c>
      <c r="AT197"/>
      <c r="AU197"/>
      <c r="AV197"/>
      <c r="AY197" t="str">
        <f t="shared" si="43"/>
        <v>SILICA SAN204050L</v>
      </c>
      <c r="AZ197" s="1" t="str">
        <f t="shared" si="44"/>
        <v>SILICA SAN</v>
      </c>
      <c r="BA197" t="str">
        <f t="shared" si="45"/>
        <v>2040</v>
      </c>
      <c r="BB197" s="1" t="str">
        <f t="shared" si="37"/>
        <v>50L</v>
      </c>
      <c r="BC197" s="1">
        <f t="shared" si="38"/>
        <v>12.79</v>
      </c>
      <c r="BD197" s="62" t="s">
        <v>443</v>
      </c>
      <c r="BE197" s="55" t="s">
        <v>415</v>
      </c>
      <c r="BF197" s="55" t="s">
        <v>413</v>
      </c>
      <c r="BG197" s="55" t="s">
        <v>390</v>
      </c>
      <c r="BH197" s="54" t="s">
        <v>415</v>
      </c>
      <c r="BI197" s="39" t="s">
        <v>459</v>
      </c>
      <c r="BJ197"/>
      <c r="BK197"/>
      <c r="BM197"/>
    </row>
    <row r="198" spans="22:65" x14ac:dyDescent="0.35">
      <c r="V198" s="1" t="str">
        <v xml:space="preserve"> 3477 EPOXN//A15 </v>
      </c>
      <c r="X198" s="66" t="s">
        <v>545</v>
      </c>
      <c r="Y198" s="1" t="s">
        <v>556</v>
      </c>
      <c r="Z198" s="63">
        <v>329.18</v>
      </c>
      <c r="AA198" s="1" t="s">
        <v>528</v>
      </c>
      <c r="AC198" s="1" t="s">
        <v>700</v>
      </c>
      <c r="AD198" s="1" t="s">
        <v>18</v>
      </c>
      <c r="AF198" s="1">
        <f>Table1[[#This Row],[C:C]]*1.1</f>
        <v>0</v>
      </c>
      <c r="AI198" s="1">
        <f>IFERROR(VLOOKUP(X198,#REF!,8,FALSE),0)</f>
        <v>0</v>
      </c>
      <c r="AN198" s="1" t="str">
        <f>PROD_ID_TABLE[[#This Row],[PROD ID]]</f>
        <v>SILICA SAN406050L</v>
      </c>
      <c r="AO198" s="1" t="str">
        <f t="shared" si="39"/>
        <v>5310 DRY SILICA SAND - 40/6040/6050LB BAG</v>
      </c>
      <c r="AP198" s="3">
        <f t="shared" si="40"/>
        <v>18.850000000000001</v>
      </c>
      <c r="AQ198" s="1" t="str">
        <f t="shared" si="41"/>
        <v>50LB BAG</v>
      </c>
      <c r="AS198" s="1" t="str">
        <f t="shared" si="42"/>
        <v>40/60</v>
      </c>
      <c r="AT198"/>
      <c r="AU198"/>
      <c r="AV198"/>
      <c r="AY198" t="str">
        <f t="shared" si="43"/>
        <v>SILICA SAN406050L</v>
      </c>
      <c r="AZ198" s="1" t="str">
        <f t="shared" si="44"/>
        <v>SILICA SAN</v>
      </c>
      <c r="BA198" t="str">
        <f t="shared" si="45"/>
        <v>4060</v>
      </c>
      <c r="BB198" s="1" t="str">
        <f t="shared" si="37"/>
        <v>50L</v>
      </c>
      <c r="BC198" s="1">
        <f t="shared" si="38"/>
        <v>18.850000000000001</v>
      </c>
      <c r="BD198" s="62" t="s">
        <v>444</v>
      </c>
      <c r="BE198" s="55" t="s">
        <v>416</v>
      </c>
      <c r="BF198" s="55" t="s">
        <v>413</v>
      </c>
      <c r="BG198" s="55" t="s">
        <v>390</v>
      </c>
      <c r="BH198" s="39" t="s">
        <v>416</v>
      </c>
      <c r="BI198" s="39"/>
      <c r="BJ198"/>
      <c r="BK198"/>
      <c r="BM198"/>
    </row>
    <row r="199" spans="22:65" x14ac:dyDescent="0.35">
      <c r="V199" s="1" t="str">
        <v xml:space="preserve"> 3504 HIGHCLAR2 G</v>
      </c>
      <c r="X199" s="66" t="s">
        <v>537</v>
      </c>
      <c r="Y199" s="1" t="s">
        <v>556</v>
      </c>
      <c r="Z199" s="63">
        <v>329.18</v>
      </c>
      <c r="AA199" s="1" t="s">
        <v>528</v>
      </c>
      <c r="AC199" s="1" t="s">
        <v>692</v>
      </c>
      <c r="AD199" s="1" t="s">
        <v>18</v>
      </c>
      <c r="AF199" s="1">
        <f>Table1[[#This Row],[C:C]]*1.1</f>
        <v>0</v>
      </c>
      <c r="AI199" s="1">
        <f>IFERROR(VLOOKUP(X199,#REF!,8,FALSE),0)</f>
        <v>0</v>
      </c>
      <c r="AN199" s="1" t="str">
        <f>PROD_ID_TABLE[[#This Row],[PROD ID]]</f>
        <v>SILICA SAN802050L</v>
      </c>
      <c r="AO199" s="1" t="str">
        <f t="shared" si="39"/>
        <v>5310 DRY SILICA SAND - 80/12080/12050LB BAG</v>
      </c>
      <c r="AP199" s="3">
        <f t="shared" si="40"/>
        <v>26</v>
      </c>
      <c r="AQ199" s="1" t="str">
        <f t="shared" si="41"/>
        <v>50LB BAG</v>
      </c>
      <c r="AS199" s="1" t="str">
        <f t="shared" si="42"/>
        <v>80/120</v>
      </c>
      <c r="AT199"/>
      <c r="AU199"/>
      <c r="AV199"/>
      <c r="AY199" t="str">
        <f t="shared" si="43"/>
        <v>SILICA SAN802050L</v>
      </c>
      <c r="AZ199" s="1" t="str">
        <f t="shared" si="44"/>
        <v>SILICA SAN</v>
      </c>
      <c r="BA199" t="str">
        <f t="shared" si="45"/>
        <v>8020</v>
      </c>
      <c r="BB199" s="1" t="str">
        <f t="shared" si="37"/>
        <v>50L</v>
      </c>
      <c r="BC199" s="1">
        <f t="shared" si="38"/>
        <v>26</v>
      </c>
      <c r="BD199" s="62" t="s">
        <v>460</v>
      </c>
      <c r="BE199" s="55" t="s">
        <v>458</v>
      </c>
      <c r="BF199" s="55" t="s">
        <v>413</v>
      </c>
      <c r="BG199" s="55" t="s">
        <v>390</v>
      </c>
      <c r="BH199" s="39" t="s">
        <v>458</v>
      </c>
      <c r="BI199" s="39"/>
      <c r="BJ199"/>
      <c r="BK199"/>
      <c r="BM199"/>
    </row>
    <row r="200" spans="22:65" x14ac:dyDescent="0.35">
      <c r="V200" s="1" t="str">
        <v xml:space="preserve"> 3504 HIGHGRAY2 G</v>
      </c>
      <c r="X200" s="66" t="s">
        <v>535</v>
      </c>
      <c r="Y200" s="1" t="s">
        <v>556</v>
      </c>
      <c r="Z200" s="63">
        <v>329.18</v>
      </c>
      <c r="AA200" s="1" t="s">
        <v>528</v>
      </c>
      <c r="AC200" s="1" t="s">
        <v>691</v>
      </c>
      <c r="AD200" s="1" t="s">
        <v>18</v>
      </c>
      <c r="AF200" s="1">
        <f>Table1[[#This Row],[C:C]]*1.1</f>
        <v>0</v>
      </c>
      <c r="AI200" s="1">
        <f>IFERROR(VLOOKUP(X200,#REF!,8,FALSE),0)</f>
        <v>0</v>
      </c>
      <c r="AN200" s="1" t="str">
        <f>PROD_ID_TABLE[[#This Row],[PROD ID]]</f>
        <v>GRAVEL 3/1N//A50L</v>
      </c>
      <c r="AO200" s="1" t="str">
        <f t="shared" si="39"/>
        <v>7310 PEA GRAVEL 3/16 X 3/8N/A50LB BAG</v>
      </c>
      <c r="AP200" s="3">
        <f t="shared" si="40"/>
        <v>20.8</v>
      </c>
      <c r="AQ200" s="1" t="str">
        <f t="shared" si="41"/>
        <v>50LB BAG</v>
      </c>
      <c r="AS200" s="1" t="str">
        <f t="shared" si="42"/>
        <v>N/A</v>
      </c>
      <c r="AT200"/>
      <c r="AU200"/>
      <c r="AV200"/>
      <c r="AY200" t="str">
        <f t="shared" si="43"/>
        <v>GRAVEL 3/1N//A50L</v>
      </c>
      <c r="AZ200" s="1" t="str">
        <f t="shared" si="44"/>
        <v>GRAVEL 3/1</v>
      </c>
      <c r="BA200" t="str">
        <f t="shared" si="45"/>
        <v>N//A</v>
      </c>
      <c r="BB200" s="1" t="str">
        <f t="shared" si="37"/>
        <v>50L</v>
      </c>
      <c r="BC200" s="1">
        <f t="shared" si="38"/>
        <v>20.8</v>
      </c>
      <c r="BD200" s="1" t="s">
        <v>724</v>
      </c>
      <c r="BE200" s="14" t="s">
        <v>398</v>
      </c>
      <c r="BF200" s="14" t="s">
        <v>413</v>
      </c>
      <c r="BG200" s="14" t="s">
        <v>390</v>
      </c>
      <c r="BH200" s="39" t="s">
        <v>417</v>
      </c>
      <c r="BI200" s="39"/>
      <c r="BJ200" t="str" cm="1">
        <f t="array" ref="BJ200">_xlfn.SWITCH(L41,P!$BL$42,P!$BH$197,P!$BL$43,P!$BH$198,P!$BL$44,P!$BH$199,P!$BL$39,P!$BH$200:$BH$203,P!$BH$196)</f>
        <v>N/A</v>
      </c>
      <c r="BK200"/>
      <c r="BM200"/>
    </row>
    <row r="201" spans="22:65" x14ac:dyDescent="0.35">
      <c r="V201" s="1" t="str">
        <v xml:space="preserve"> 3504 HIGHWHTE2 G</v>
      </c>
      <c r="X201" s="66" t="s">
        <v>531</v>
      </c>
      <c r="Y201" s="1" t="s">
        <v>556</v>
      </c>
      <c r="Z201" s="63">
        <v>329.18</v>
      </c>
      <c r="AA201" s="1" t="s">
        <v>528</v>
      </c>
      <c r="AC201" s="1" t="s">
        <v>687</v>
      </c>
      <c r="AD201" s="1" t="s">
        <v>18</v>
      </c>
      <c r="AF201" s="1">
        <f>Table1[[#This Row],[C:C]]*1.1</f>
        <v>0</v>
      </c>
      <c r="AI201" s="1">
        <f>IFERROR(VLOOKUP(X201,#REF!,8,FALSE),0)</f>
        <v>0</v>
      </c>
      <c r="AN201" s="1" t="str">
        <f>PROD_ID_TABLE[[#This Row],[PROD ID]]</f>
        <v>N//A50L</v>
      </c>
      <c r="AO201" s="1" t="str">
        <f t="shared" si="39"/>
        <v>F-60N/A50LB BAG</v>
      </c>
      <c r="AP201" s="3">
        <f t="shared" si="40"/>
        <v>0</v>
      </c>
      <c r="AQ201" s="1" t="str">
        <f t="shared" si="41"/>
        <v>50LB BAG</v>
      </c>
      <c r="AS201" s="1" t="str">
        <f t="shared" si="42"/>
        <v>N/A</v>
      </c>
      <c r="AT201"/>
      <c r="AU201"/>
      <c r="AV201"/>
      <c r="AY201" t="str">
        <f t="shared" si="43"/>
        <v>N//A50L</v>
      </c>
      <c r="AZ201" s="1" t="str">
        <f t="shared" si="44"/>
        <v/>
      </c>
      <c r="BA201" t="str">
        <f t="shared" si="45"/>
        <v>N//A</v>
      </c>
      <c r="BB201" s="1" t="str">
        <f t="shared" si="37"/>
        <v>50L</v>
      </c>
      <c r="BC201" s="1">
        <v>0</v>
      </c>
      <c r="BD201" s="62" t="s">
        <v>389</v>
      </c>
      <c r="BE201" s="55" t="s">
        <v>398</v>
      </c>
      <c r="BF201" s="55" t="s">
        <v>413</v>
      </c>
      <c r="BG201" s="55" t="s">
        <v>390</v>
      </c>
      <c r="BH201" s="39" t="s">
        <v>418</v>
      </c>
      <c r="BI201" s="39"/>
      <c r="BJ201"/>
      <c r="BK201"/>
      <c r="BM201"/>
    </row>
    <row r="202" spans="22:65" x14ac:dyDescent="0.35">
      <c r="V202" s="1" t="str">
        <v xml:space="preserve"> 3504 HIGHCLAR10 </v>
      </c>
      <c r="X202" s="66" t="s">
        <v>534</v>
      </c>
      <c r="Y202" s="1" t="s">
        <v>556</v>
      </c>
      <c r="Z202" s="63">
        <v>329.18</v>
      </c>
      <c r="AA202" s="1" t="s">
        <v>528</v>
      </c>
      <c r="AC202" s="1" t="s">
        <v>690</v>
      </c>
      <c r="AD202" s="1" t="s">
        <v>18</v>
      </c>
      <c r="AF202" s="1">
        <f>Table1[[#This Row],[C:C]]*1.1</f>
        <v>0</v>
      </c>
      <c r="AI202" s="1">
        <f>IFERROR(VLOOKUP(X202,#REF!,8,FALSE),0)</f>
        <v>0</v>
      </c>
      <c r="AN202" s="1" t="str">
        <f>PROD_ID_TABLE[[#This Row],[PROD ID]]</f>
        <v/>
      </c>
      <c r="AO202" s="1" t="str">
        <f t="shared" si="39"/>
        <v/>
      </c>
      <c r="AP202" s="3">
        <f t="shared" si="40"/>
        <v>0</v>
      </c>
      <c r="AQ202" s="1">
        <f t="shared" si="41"/>
        <v>0</v>
      </c>
      <c r="AS202" s="1">
        <f t="shared" si="42"/>
        <v>0</v>
      </c>
      <c r="AT202"/>
      <c r="AU202"/>
      <c r="AV202"/>
      <c r="AY202" t="str">
        <f t="shared" si="43"/>
        <v/>
      </c>
      <c r="AZ202" s="1" t="str">
        <f t="shared" si="44"/>
        <v/>
      </c>
      <c r="BA202" t="str">
        <f t="shared" si="45"/>
        <v/>
      </c>
      <c r="BB202" s="1" t="str">
        <f t="shared" si="37"/>
        <v/>
      </c>
      <c r="BC202" s="1">
        <f t="shared" si="38"/>
        <v>0</v>
      </c>
      <c r="BE202" s="14"/>
      <c r="BF202" s="14"/>
      <c r="BG202" s="14"/>
      <c r="BH202" s="39" t="s">
        <v>419</v>
      </c>
      <c r="BI202" s="39"/>
      <c r="BJ202" t="str" cm="1">
        <f t="array" ref="BJ202">_xlfn.SWITCH(M52,P!$BL$40,P!$BI$195,P!$BL$41,P!$BI$195,P!$BL$39,P!$BI$195,P!$BI$196)</f>
        <v>50LB BAG</v>
      </c>
      <c r="BK202"/>
      <c r="BM202"/>
    </row>
    <row r="203" spans="22:65" x14ac:dyDescent="0.35">
      <c r="V203" s="1" t="str">
        <v xml:space="preserve"> 3504 HIGHGRAY10 </v>
      </c>
      <c r="X203" s="66" t="s">
        <v>543</v>
      </c>
      <c r="Y203" s="1" t="s">
        <v>556</v>
      </c>
      <c r="Z203" s="63">
        <v>329.18</v>
      </c>
      <c r="AA203" s="1" t="s">
        <v>528</v>
      </c>
      <c r="AC203" s="1" t="s">
        <v>698</v>
      </c>
      <c r="AD203" s="1" t="s">
        <v>18</v>
      </c>
      <c r="AF203" s="1">
        <f>Table1[[#This Row],[C:C]]*1.1</f>
        <v>0</v>
      </c>
      <c r="AI203" s="1">
        <f>IFERROR(VLOOKUP(X203,#REF!,8,FALSE),0)</f>
        <v>0</v>
      </c>
      <c r="AN203" s="1" t="str">
        <f>PROD_ID_TABLE[[#This Row],[PROD ID]]</f>
        <v/>
      </c>
      <c r="AO203" s="1" t="str">
        <f t="shared" si="39"/>
        <v/>
      </c>
      <c r="AP203" s="3">
        <f t="shared" si="40"/>
        <v>0</v>
      </c>
      <c r="AQ203" s="1">
        <f t="shared" si="41"/>
        <v>0</v>
      </c>
      <c r="AS203" s="1">
        <f t="shared" si="42"/>
        <v>0</v>
      </c>
      <c r="AT203"/>
      <c r="AU203"/>
      <c r="AV203"/>
      <c r="AY203" t="str">
        <f t="shared" si="43"/>
        <v/>
      </c>
      <c r="AZ203" s="1" t="str">
        <f t="shared" si="44"/>
        <v/>
      </c>
      <c r="BA203" t="str">
        <f t="shared" si="45"/>
        <v/>
      </c>
      <c r="BB203" s="1" t="str">
        <f t="shared" si="37"/>
        <v/>
      </c>
      <c r="BC203" s="1">
        <f t="shared" si="38"/>
        <v>0</v>
      </c>
      <c r="BE203" s="14"/>
      <c r="BF203" s="14"/>
      <c r="BG203" s="14"/>
      <c r="BH203" s="39" t="s">
        <v>316</v>
      </c>
      <c r="BI203" s="39"/>
      <c r="BJ203" t="str" cm="1">
        <f t="array" ref="BJ203">_xlfn.SWITCH(M52,P!$BL$40,P!$BI$195,P!$BL$41,P!$BI$195,P!$BL$39,P!$BI$195,P!$BL$47,P!$BF$469:$BF$470,P!$BI$196)</f>
        <v>50LB BAG</v>
      </c>
      <c r="BK203"/>
      <c r="BM203"/>
    </row>
    <row r="204" spans="22:65" ht="15" thickBot="1" x14ac:dyDescent="0.4">
      <c r="V204" s="1" t="str">
        <v xml:space="preserve"> 3504 HIGHWHTE10 </v>
      </c>
      <c r="X204" s="66" t="s">
        <v>546</v>
      </c>
      <c r="Y204" s="1" t="s">
        <v>556</v>
      </c>
      <c r="Z204" s="63">
        <v>329.18</v>
      </c>
      <c r="AA204" s="1" t="s">
        <v>528</v>
      </c>
      <c r="AC204" s="1" t="s">
        <v>701</v>
      </c>
      <c r="AD204" s="1" t="s">
        <v>18</v>
      </c>
      <c r="AF204" s="1">
        <f>Table1[[#This Row],[C:C]]*1.1</f>
        <v>0</v>
      </c>
      <c r="AI204" s="1">
        <f>IFERROR(VLOOKUP(X204,#REF!,8,FALSE),0)</f>
        <v>0</v>
      </c>
      <c r="AN204" s="1" t="str">
        <f>PROD_ID_TABLE[[#This Row],[PROD ID]]</f>
        <v/>
      </c>
      <c r="AO204" s="1" t="str">
        <f t="shared" si="39"/>
        <v/>
      </c>
      <c r="AP204" s="3">
        <f t="shared" si="40"/>
        <v>0</v>
      </c>
      <c r="AQ204" s="1">
        <f t="shared" si="41"/>
        <v>0</v>
      </c>
      <c r="AS204" s="1">
        <f t="shared" si="42"/>
        <v>0</v>
      </c>
      <c r="AT204"/>
      <c r="AU204"/>
      <c r="AV204"/>
      <c r="AY204" t="str">
        <f t="shared" si="43"/>
        <v/>
      </c>
      <c r="AZ204" s="1" t="str">
        <f t="shared" si="44"/>
        <v/>
      </c>
      <c r="BA204" t="str">
        <f t="shared" si="45"/>
        <v/>
      </c>
      <c r="BB204" s="1" t="str">
        <f t="shared" si="37"/>
        <v/>
      </c>
      <c r="BC204" s="1">
        <f t="shared" si="38"/>
        <v>0</v>
      </c>
      <c r="BE204" s="14"/>
      <c r="BF204" s="14"/>
      <c r="BG204" s="14"/>
      <c r="BH204" s="40"/>
      <c r="BI204" s="40"/>
      <c r="BJ204" t="str" cm="1">
        <f t="array" ref="BJ204">IF(M52="","",_xlfn.SWITCH(M52,P!$BL$40,P!$BI$195,P!$BL$41,P!$BI$195,P!$BL$39,P!$BI$195,P!$BL$47,P!$BF$469:$BF$470,P!$BL$42,P!$BI$197,P!$BI$196))</f>
        <v>50LB BAG</v>
      </c>
      <c r="BK204"/>
      <c r="BM204"/>
    </row>
    <row r="205" spans="22:65" ht="15" thickBot="1" x14ac:dyDescent="0.4">
      <c r="V205" s="1" t="str">
        <v xml:space="preserve"> 3579 HIGHCOAY3 G</v>
      </c>
      <c r="X205" s="1" t="str">
        <f t="shared" ref="X205:X268" si="46">V193</f>
        <v>3500 EPOXYN//A1/2</v>
      </c>
      <c r="Y205" s="1" t="str" cm="1">
        <f t="array" ref="Y205">IFERROR(VLOOKUP($X205,$AN:AO,COLUMN(AO:AO)-COLUMN($AN:$AN)+1,FALSE),"")</f>
        <v>RESUFLOR 3500 EPOXY QUICK PATCH (FAST)N/A1/2 GAL</v>
      </c>
      <c r="Z205" s="63" cm="1">
        <f t="array" ref="Z205">IFERROR(VLOOKUP($X205,$AN:AP,COLUMN(AP:AP)-COLUMN($AN:$AN)+1,FALSE),"")</f>
        <v>97.69</v>
      </c>
      <c r="AA205" s="1" t="str" cm="1">
        <f t="array" ref="AA205">IFERROR(VLOOKUP($X205,$AN:AQ,COLUMN(AQ:AQ)-COLUMN($AN:$AN)+1,FALSE),"")</f>
        <v>1/2 GAL</v>
      </c>
      <c r="AC205" s="1" t="str" cm="1">
        <f t="array" ref="AC205">IFERROR(VLOOKUP($X205,$AN:AS,COLUMN(AS:AS)-COLUMN($AN:$AN)+1,FALSE),"")</f>
        <v>N/A</v>
      </c>
      <c r="AD205" s="1" t="s">
        <v>19</v>
      </c>
      <c r="AF205" s="1">
        <f>Table1[[#This Row],[C:C]]*1.1</f>
        <v>0</v>
      </c>
      <c r="AI205" s="1">
        <f>IFERROR(VLOOKUP(X205,#REF!,8,FALSE),0)</f>
        <v>0</v>
      </c>
      <c r="AN205" s="1" t="str">
        <f>PROD_ID_TABLE[[#This Row],[PROD ID]]</f>
        <v/>
      </c>
      <c r="AO205" s="1" t="str">
        <f t="shared" si="39"/>
        <v/>
      </c>
      <c r="AP205" s="3">
        <f t="shared" si="40"/>
        <v>0</v>
      </c>
      <c r="AQ205" s="1">
        <f t="shared" si="41"/>
        <v>0</v>
      </c>
      <c r="AS205" s="1">
        <f t="shared" si="42"/>
        <v>0</v>
      </c>
      <c r="AT205"/>
      <c r="AU205"/>
      <c r="AV205"/>
      <c r="AY205" t="str">
        <f t="shared" si="43"/>
        <v/>
      </c>
      <c r="AZ205" s="1" t="str">
        <f t="shared" si="44"/>
        <v/>
      </c>
      <c r="BA205" t="str">
        <f t="shared" si="45"/>
        <v/>
      </c>
      <c r="BB205" s="1" t="str">
        <f t="shared" si="37"/>
        <v/>
      </c>
      <c r="BC205" s="1">
        <f t="shared" si="38"/>
        <v>0</v>
      </c>
      <c r="BE205" s="15"/>
      <c r="BF205" s="15"/>
      <c r="BG205" s="15"/>
      <c r="BH205" s="38" t="s">
        <v>311</v>
      </c>
      <c r="BJ205"/>
      <c r="BK205"/>
      <c r="BM205"/>
    </row>
    <row r="206" spans="22:65" x14ac:dyDescent="0.35">
      <c r="V206" s="1" t="str">
        <v xml:space="preserve"> 3579 HIGHWHTE3 G</v>
      </c>
      <c r="X206" s="1" t="str">
        <f t="shared" si="46"/>
        <v xml:space="preserve">M.  URETHAN//A44 </v>
      </c>
      <c r="Y206" s="1" t="str" cm="1">
        <f t="array" ref="Y206">IFERROR(VLOOKUP($X206,$AN:AO,COLUMN(AO:AO)-COLUMN($AN:$AN)+1,FALSE),"")</f>
        <v>CEMLACK UM.  URETHANE CEMENT PATCH 1:1:1N/A44 LBS</v>
      </c>
      <c r="Z206" s="63" cm="1">
        <f t="array" ref="Z206">IFERROR(VLOOKUP($X206,$AN:AP,COLUMN(AP:AP)-COLUMN($AN:$AN)+1,FALSE),"")</f>
        <v>47.67</v>
      </c>
      <c r="AA206" s="1" t="str" cm="1">
        <f t="array" ref="AA206">IFERROR(VLOOKUP($X206,$AN:AQ,COLUMN(AQ:AQ)-COLUMN($AN:$AN)+1,FALSE),"")</f>
        <v>44 LBS</v>
      </c>
      <c r="AC206" s="1" t="str" cm="1">
        <f t="array" ref="AC206">IFERROR(VLOOKUP($X206,$AN:AS,COLUMN(AS:AS)-COLUMN($AN:$AN)+1,FALSE),"")</f>
        <v>N/A</v>
      </c>
      <c r="AD206" s="1" t="s">
        <v>19</v>
      </c>
      <c r="AF206" s="1">
        <f>Table1[[#This Row],[C:C]]*1.1</f>
        <v>0</v>
      </c>
      <c r="AI206" s="1">
        <f>IFERROR(VLOOKUP(X206,#REF!,8,FALSE),0)</f>
        <v>0</v>
      </c>
      <c r="AN206" s="1" t="str">
        <f>PROD_ID_TABLE[[#This Row],[PROD ID]]</f>
        <v>AQUA 3460 WHTE1.2</v>
      </c>
      <c r="AO206" s="1" t="str">
        <f t="shared" si="39"/>
        <v>RESUFLOR AQUA 3460 WB EPOXY PRIMER, BINDER, TOPCOATWHITE1.25 GAL</v>
      </c>
      <c r="AP206" s="3">
        <f t="shared" si="40"/>
        <v>131.82</v>
      </c>
      <c r="AQ206" s="1" t="str">
        <f t="shared" si="41"/>
        <v>1.25 GAL</v>
      </c>
      <c r="AS206" s="1" t="str">
        <f t="shared" si="42"/>
        <v>WHITE</v>
      </c>
      <c r="AT206"/>
      <c r="AU206"/>
      <c r="AV206"/>
      <c r="AY206" t="str">
        <f t="shared" si="43"/>
        <v>AQUA 3460 WHTE1.2</v>
      </c>
      <c r="AZ206" s="1" t="str">
        <f t="shared" si="44"/>
        <v xml:space="preserve">AQUA 3460 </v>
      </c>
      <c r="BA206" t="str">
        <f t="shared" si="45"/>
        <v>WHTE</v>
      </c>
      <c r="BB206" s="1" t="str">
        <f t="shared" si="37"/>
        <v>1.2</v>
      </c>
      <c r="BC206" s="1">
        <f t="shared" si="38"/>
        <v>131.82</v>
      </c>
      <c r="BD206" s="50" t="s">
        <v>341</v>
      </c>
      <c r="BE206" s="49" t="s">
        <v>322</v>
      </c>
      <c r="BF206" s="49" t="s">
        <v>421</v>
      </c>
      <c r="BG206" s="49" t="s">
        <v>311</v>
      </c>
      <c r="BH206" s="36" t="s">
        <v>398</v>
      </c>
      <c r="BJ206"/>
      <c r="BK206"/>
      <c r="BM206"/>
    </row>
    <row r="207" spans="22:65" x14ac:dyDescent="0.35">
      <c r="V207" s="1" t="str">
        <v xml:space="preserve"> 3579 HIGHBLCK3 G</v>
      </c>
      <c r="X207" s="1" t="str">
        <f t="shared" si="46"/>
        <v>3513 SCRATGRAY2 G</v>
      </c>
      <c r="Y207" s="1" t="str" cm="1">
        <f t="array" ref="Y207">IFERROR(VLOOKUP($X207,$AN:AO,COLUMN(AO:AO)-COLUMN($AN:$AN)+1,FALSE),"")</f>
        <v>RESUFLOR 3513 SCRATCH COAT MASTIC (THICK/SLOW)GRAY2 GAL</v>
      </c>
      <c r="Z207" s="63" cm="1">
        <f t="array" ref="Z207">IFERROR(VLOOKUP($X207,$AN:AP,COLUMN(AP:AP)-COLUMN($AN:$AN)+1,FALSE),"")</f>
        <v>104.75</v>
      </c>
      <c r="AA207" s="1" t="str" cm="1">
        <f t="array" ref="AA207">IFERROR(VLOOKUP($X207,$AN:AQ,COLUMN(AQ:AQ)-COLUMN($AN:$AN)+1,FALSE),"")</f>
        <v>2 GAL</v>
      </c>
      <c r="AC207" s="1" t="str" cm="1">
        <f t="array" ref="AC207">IFERROR(VLOOKUP($X207,$AN:AS,COLUMN(AS:AS)-COLUMN($AN:$AN)+1,FALSE),"")</f>
        <v>GRAY</v>
      </c>
      <c r="AD207" s="1" t="s">
        <v>19</v>
      </c>
      <c r="AF207" s="1">
        <f>Table1[[#This Row],[C:C]]*1.1</f>
        <v>0</v>
      </c>
      <c r="AI207" s="1">
        <f>IFERROR(VLOOKUP(X207,#REF!,8,FALSE),0)</f>
        <v>0</v>
      </c>
      <c r="AN207" s="1" t="str">
        <f>PROD_ID_TABLE[[#This Row],[PROD ID]]</f>
        <v>AQUA 3460 GRAY1.2</v>
      </c>
      <c r="AO207" s="1" t="str">
        <f t="shared" si="39"/>
        <v>RESUFLOR AQUA 3460 WB EPOXY PRIMER, BINDER, TOPCOATGRAY1.25 GAL</v>
      </c>
      <c r="AP207" s="3">
        <f t="shared" si="40"/>
        <v>131.82</v>
      </c>
      <c r="AQ207" s="1" t="str">
        <f t="shared" si="41"/>
        <v>1.25 GAL</v>
      </c>
      <c r="AS207" s="1" t="str">
        <f t="shared" si="42"/>
        <v>GRAY</v>
      </c>
      <c r="AT207"/>
      <c r="AU207"/>
      <c r="AV207"/>
      <c r="AY207" t="str">
        <f t="shared" si="43"/>
        <v>AQUA 3460 GRAY1.2</v>
      </c>
      <c r="AZ207" s="1" t="str">
        <f t="shared" si="44"/>
        <v xml:space="preserve">AQUA 3460 </v>
      </c>
      <c r="BA207" t="str">
        <f t="shared" si="45"/>
        <v>GRAY</v>
      </c>
      <c r="BB207" s="1" t="str">
        <f t="shared" si="37"/>
        <v>1.2</v>
      </c>
      <c r="BC207" s="1">
        <f t="shared" si="38"/>
        <v>131.82</v>
      </c>
      <c r="BD207" s="1" t="s">
        <v>341</v>
      </c>
      <c r="BE207" s="14" t="s">
        <v>317</v>
      </c>
      <c r="BF207" s="14" t="s">
        <v>421</v>
      </c>
      <c r="BG207" s="14" t="s">
        <v>311</v>
      </c>
      <c r="BH207" s="36" t="s">
        <v>315</v>
      </c>
      <c r="BJ207"/>
      <c r="BK207"/>
      <c r="BM207"/>
    </row>
    <row r="208" spans="22:65" x14ac:dyDescent="0.35">
      <c r="V208" s="1" t="str">
        <v xml:space="preserve"> 3579 HIGHTIED3 G</v>
      </c>
      <c r="X208" s="1" t="str">
        <f t="shared" si="46"/>
        <v>3513 SCRATWHTE2 G</v>
      </c>
      <c r="Y208" s="1" t="str" cm="1">
        <f t="array" ref="Y208">IFERROR(VLOOKUP($X208,$AN:AO,COLUMN(AO:AO)-COLUMN($AN:$AN)+1,FALSE),"")</f>
        <v>RESUFLOR 3513 SCRATCH COAT MASTIC (THICK/SLOW)WHITE2 GAL</v>
      </c>
      <c r="Z208" s="63" cm="1">
        <f t="array" ref="Z208">IFERROR(VLOOKUP($X208,$AN:AP,COLUMN(AP:AP)-COLUMN($AN:$AN)+1,FALSE),"")</f>
        <v>104.75</v>
      </c>
      <c r="AA208" s="1" t="str" cm="1">
        <f t="array" ref="AA208">IFERROR(VLOOKUP($X208,$AN:AQ,COLUMN(AQ:AQ)-COLUMN($AN:$AN)+1,FALSE),"")</f>
        <v>2 GAL</v>
      </c>
      <c r="AC208" s="1" t="str" cm="1">
        <f t="array" ref="AC208">IFERROR(VLOOKUP($X208,$AN:AS,COLUMN(AS:AS)-COLUMN($AN:$AN)+1,FALSE),"")</f>
        <v>WHITE</v>
      </c>
      <c r="AD208" s="1" t="s">
        <v>19</v>
      </c>
      <c r="AF208" s="1">
        <f>Table1[[#This Row],[C:C]]*1.1</f>
        <v>0</v>
      </c>
      <c r="AI208" s="1">
        <f>IFERROR(VLOOKUP(X208,#REF!,8,FALSE),0)</f>
        <v>0</v>
      </c>
      <c r="AN208" s="1" t="str">
        <f>PROD_ID_TABLE[[#This Row],[PROD ID]]</f>
        <v xml:space="preserve">AQUA 3460 WHTE25 </v>
      </c>
      <c r="AO208" s="1" t="str">
        <f t="shared" si="39"/>
        <v>RESUFLOR AQUA 3460 WB EPOXY PRIMER, BINDER, TOPCOATWHITE25 GAL</v>
      </c>
      <c r="AP208" s="3">
        <f t="shared" si="40"/>
        <v>2139</v>
      </c>
      <c r="AQ208" s="1" t="str">
        <f t="shared" si="41"/>
        <v>25 GAL</v>
      </c>
      <c r="AS208" s="1" t="str">
        <f t="shared" si="42"/>
        <v>WHITE</v>
      </c>
      <c r="AT208"/>
      <c r="AU208"/>
      <c r="AV208"/>
      <c r="AY208" t="str">
        <f t="shared" si="43"/>
        <v xml:space="preserve">AQUA 3460 WHTE25 </v>
      </c>
      <c r="AZ208" s="1" t="str">
        <f t="shared" si="44"/>
        <v xml:space="preserve">AQUA 3460 </v>
      </c>
      <c r="BA208" t="str">
        <f t="shared" si="45"/>
        <v>WHTE</v>
      </c>
      <c r="BB208" s="1" t="str">
        <f t="shared" si="37"/>
        <v xml:space="preserve">25 </v>
      </c>
      <c r="BC208" s="1">
        <f t="shared" si="38"/>
        <v>2139</v>
      </c>
      <c r="BD208" s="1" t="s">
        <v>341</v>
      </c>
      <c r="BE208" s="14" t="s">
        <v>322</v>
      </c>
      <c r="BF208" s="14" t="s">
        <v>422</v>
      </c>
      <c r="BG208" s="14" t="s">
        <v>311</v>
      </c>
      <c r="BH208" s="36" t="s">
        <v>316</v>
      </c>
      <c r="BJ208"/>
      <c r="BK208"/>
      <c r="BM208"/>
    </row>
    <row r="209" spans="22:65" x14ac:dyDescent="0.35">
      <c r="V209" s="1" t="str">
        <v xml:space="preserve"> 3579 HIGHCOAY15 </v>
      </c>
      <c r="X209" s="1" t="str">
        <f t="shared" si="46"/>
        <v xml:space="preserve"> 3477 EPOXN//A3 G</v>
      </c>
      <c r="Y209" s="1" t="str" cm="1">
        <f t="array" ref="Y209">IFERROR(VLOOKUP($X209,$AN:AO,COLUMN(AO:AO)-COLUMN($AN:$AN)+1,FALSE),"")</f>
        <v>RESUPRIME 3477 EPOXY WATER PRIMER/SEALERN/A3 GAL</v>
      </c>
      <c r="Z209" s="63" cm="1">
        <f t="array" ref="Z209">IFERROR(VLOOKUP($X209,$AN:AP,COLUMN(AP:AP)-COLUMN($AN:$AN)+1,FALSE),"")</f>
        <v>217.16</v>
      </c>
      <c r="AA209" s="1" t="str" cm="1">
        <f t="array" ref="AA209">IFERROR(VLOOKUP($X209,$AN:AQ,COLUMN(AQ:AQ)-COLUMN($AN:$AN)+1,FALSE),"")</f>
        <v>3 GAL</v>
      </c>
      <c r="AC209" s="1" t="str" cm="1">
        <f t="array" ref="AC209">IFERROR(VLOOKUP($X209,$AN:AS,COLUMN(AS:AS)-COLUMN($AN:$AN)+1,FALSE),"")</f>
        <v>N/A</v>
      </c>
      <c r="AD209" s="1" t="s">
        <v>19</v>
      </c>
      <c r="AF209" s="1">
        <f>Table1[[#This Row],[C:C]]*1.1</f>
        <v>0</v>
      </c>
      <c r="AI209" s="1">
        <f>IFERROR(VLOOKUP(X209,#REF!,8,FALSE),0)</f>
        <v>0</v>
      </c>
      <c r="AN209" s="1" t="str">
        <f>PROD_ID_TABLE[[#This Row],[PROD ID]]</f>
        <v xml:space="preserve">AQUA 3460 GRAY25 </v>
      </c>
      <c r="AO209" s="1" t="str">
        <f t="shared" si="39"/>
        <v>RESUFLOR AQUA 3460 WB EPOXY PRIMER, BINDER, TOPCOATGRAY25 GAL</v>
      </c>
      <c r="AP209" s="3">
        <f t="shared" si="40"/>
        <v>2139</v>
      </c>
      <c r="AQ209" s="1" t="str">
        <f t="shared" si="41"/>
        <v>25 GAL</v>
      </c>
      <c r="AS209" s="1" t="str">
        <f t="shared" si="42"/>
        <v>GRAY</v>
      </c>
      <c r="AT209"/>
      <c r="AU209"/>
      <c r="AV209"/>
      <c r="AY209" t="str">
        <f t="shared" si="43"/>
        <v xml:space="preserve">AQUA 3460 GRAY25 </v>
      </c>
      <c r="AZ209" s="1" t="str">
        <f t="shared" si="44"/>
        <v xml:space="preserve">AQUA 3460 </v>
      </c>
      <c r="BA209" t="str">
        <f t="shared" si="45"/>
        <v>GRAY</v>
      </c>
      <c r="BB209" s="1" t="str">
        <f t="shared" si="37"/>
        <v xml:space="preserve">25 </v>
      </c>
      <c r="BC209" s="1">
        <f t="shared" si="38"/>
        <v>2139</v>
      </c>
      <c r="BD209" s="1" t="s">
        <v>341</v>
      </c>
      <c r="BE209" s="14" t="s">
        <v>317</v>
      </c>
      <c r="BF209" s="14" t="s">
        <v>422</v>
      </c>
      <c r="BG209" s="14" t="s">
        <v>311</v>
      </c>
      <c r="BH209" s="36" t="s">
        <v>323</v>
      </c>
      <c r="BJ209"/>
      <c r="BK209"/>
      <c r="BM209"/>
    </row>
    <row r="210" spans="22:65" x14ac:dyDescent="0.35">
      <c r="V210" s="1" t="str">
        <v xml:space="preserve"> 3579 HIGHWHTE15 </v>
      </c>
      <c r="X210" s="1" t="str">
        <f t="shared" si="46"/>
        <v xml:space="preserve"> 3477 EPOXN//A15 </v>
      </c>
      <c r="Y210" s="1" t="str" cm="1">
        <f t="array" ref="Y210">IFERROR(VLOOKUP($X210,$AN:AO,COLUMN(AO:AO)-COLUMN($AN:$AN)+1,FALSE),"")</f>
        <v>RESUPRIME 3477 EPOXY WATER PRIMER/SEALERN/A15 GAL</v>
      </c>
      <c r="Z210" s="63" cm="1">
        <f t="array" ref="Z210">IFERROR(VLOOKUP($X210,$AN:AP,COLUMN(AP:AP)-COLUMN($AN:$AN)+1,FALSE),"")</f>
        <v>1034.58</v>
      </c>
      <c r="AA210" s="1" t="str" cm="1">
        <f t="array" ref="AA210">IFERROR(VLOOKUP($X210,$AN:AQ,COLUMN(AQ:AQ)-COLUMN($AN:$AN)+1,FALSE),"")</f>
        <v>15 GAL</v>
      </c>
      <c r="AC210" s="1" t="str" cm="1">
        <f t="array" ref="AC210">IFERROR(VLOOKUP($X210,$AN:AS,COLUMN(AS:AS)-COLUMN($AN:$AN)+1,FALSE),"")</f>
        <v>N/A</v>
      </c>
      <c r="AD210" s="1" t="s">
        <v>19</v>
      </c>
      <c r="AF210" s="1">
        <f>Table1[[#This Row],[C:C]]*1.1</f>
        <v>0</v>
      </c>
      <c r="AI210" s="1">
        <f>IFERROR(VLOOKUP(X210,#REF!,8,FALSE),0)</f>
        <v>0</v>
      </c>
      <c r="AN210" s="1" t="str">
        <f>PROD_ID_TABLE[[#This Row],[PROD ID]]</f>
        <v>AQUA 3461 N//A3 G</v>
      </c>
      <c r="AO210" s="1" t="str">
        <f t="shared" si="39"/>
        <v>RESUFLOR AQUA 3461 HIGH SOLIDS WB EPOXY GROUT/TOPCOATN/A3 GAL</v>
      </c>
      <c r="AP210" s="3">
        <f t="shared" si="40"/>
        <v>318</v>
      </c>
      <c r="AQ210" s="1" t="str">
        <f t="shared" si="41"/>
        <v>3 GAL</v>
      </c>
      <c r="AS210" s="1" t="str">
        <f t="shared" si="42"/>
        <v>N/A</v>
      </c>
      <c r="AT210"/>
      <c r="AU210"/>
      <c r="AV210"/>
      <c r="AY210" t="str">
        <f t="shared" si="43"/>
        <v>AQUA 3461 N//A3 G</v>
      </c>
      <c r="AZ210" s="1" t="str">
        <f t="shared" si="44"/>
        <v xml:space="preserve">AQUA 3461 </v>
      </c>
      <c r="BA210" t="str">
        <f t="shared" si="45"/>
        <v>N//A</v>
      </c>
      <c r="BB210" s="1" t="str">
        <f t="shared" si="37"/>
        <v>3 G</v>
      </c>
      <c r="BC210" s="1">
        <f t="shared" si="38"/>
        <v>318</v>
      </c>
      <c r="BD210" s="62" t="s">
        <v>342</v>
      </c>
      <c r="BE210" s="55" t="s">
        <v>398</v>
      </c>
      <c r="BF210" s="55" t="s">
        <v>407</v>
      </c>
      <c r="BG210" s="55" t="s">
        <v>311</v>
      </c>
      <c r="BH210" s="36" t="s">
        <v>320</v>
      </c>
      <c r="BJ210" t="str" cm="1">
        <f t="array" ref="BJ210:BJ211">_xlfn.SWITCH(SW!M6,P!$BN$21,P!$BF$207:$BF$208,P!$BF$233:$BF$234)</f>
        <v>3 GAL</v>
      </c>
      <c r="BK210"/>
      <c r="BM210"/>
    </row>
    <row r="211" spans="22:65" x14ac:dyDescent="0.35">
      <c r="V211" s="1" t="str">
        <v xml:space="preserve"> 3579 HIGHBLCK15 </v>
      </c>
      <c r="X211" s="1" t="str">
        <f t="shared" si="46"/>
        <v xml:space="preserve"> 3504 HIGHCLAR2 G</v>
      </c>
      <c r="Y211" s="1" t="str" cm="1">
        <f t="array" ref="Y211">IFERROR(VLOOKUP($X211,$AN:AO,COLUMN(AO:AO)-COLUMN($AN:$AN)+1,FALSE),"")</f>
        <v>RESUPRIME 3504 HIGH SOLID CLEAR PRIMER/SEALERCLEAR2 GAL</v>
      </c>
      <c r="Z211" s="63" cm="1">
        <f t="array" ref="Z211">IFERROR(VLOOKUP($X211,$AN:AP,COLUMN(AP:AP)-COLUMN($AN:$AN)+1,FALSE),"")</f>
        <v>168.31</v>
      </c>
      <c r="AA211" s="1" t="str" cm="1">
        <f t="array" ref="AA211">IFERROR(VLOOKUP($X211,$AN:AQ,COLUMN(AQ:AQ)-COLUMN($AN:$AN)+1,FALSE),"")</f>
        <v>2 GAL</v>
      </c>
      <c r="AC211" s="1" t="str" cm="1">
        <f t="array" ref="AC211">IFERROR(VLOOKUP($X211,$AN:AS,COLUMN(AS:AS)-COLUMN($AN:$AN)+1,FALSE),"")</f>
        <v>CLEAR</v>
      </c>
      <c r="AD211" s="1" t="s">
        <v>19</v>
      </c>
      <c r="AF211" s="1">
        <f>Table1[[#This Row],[C:C]]*1.1</f>
        <v>0</v>
      </c>
      <c r="AI211" s="1">
        <f>IFERROR(VLOOKUP(X211,#REF!,8,FALSE),0)</f>
        <v>0</v>
      </c>
      <c r="AN211" s="1" t="str">
        <f>PROD_ID_TABLE[[#This Row],[PROD ID]]</f>
        <v xml:space="preserve">AQUA 3461 N//A15 </v>
      </c>
      <c r="AO211" s="1" t="str">
        <f t="shared" si="39"/>
        <v>RESUFLOR AQUA 3461 HIGH SOLIDS WB EPOXY GROUT/TOPCOATN/A15 GAL</v>
      </c>
      <c r="AP211" s="3">
        <f t="shared" si="40"/>
        <v>1617</v>
      </c>
      <c r="AQ211" s="1" t="str">
        <f t="shared" si="41"/>
        <v>15 GAL</v>
      </c>
      <c r="AS211" s="1" t="str">
        <f t="shared" si="42"/>
        <v>N/A</v>
      </c>
      <c r="AT211"/>
      <c r="AU211"/>
      <c r="AV211"/>
      <c r="AY211" t="str">
        <f t="shared" si="43"/>
        <v xml:space="preserve">AQUA 3461 N//A15 </v>
      </c>
      <c r="AZ211" s="1" t="str">
        <f t="shared" si="44"/>
        <v xml:space="preserve">AQUA 3461 </v>
      </c>
      <c r="BA211" t="str">
        <f t="shared" si="45"/>
        <v>N//A</v>
      </c>
      <c r="BB211" s="1" t="str">
        <f t="shared" si="37"/>
        <v xml:space="preserve">15 </v>
      </c>
      <c r="BC211" s="1">
        <f t="shared" si="38"/>
        <v>1617</v>
      </c>
      <c r="BD211" s="62" t="s">
        <v>342</v>
      </c>
      <c r="BE211" s="55" t="s">
        <v>398</v>
      </c>
      <c r="BF211" s="55" t="s">
        <v>408</v>
      </c>
      <c r="BG211" s="55" t="s">
        <v>311</v>
      </c>
      <c r="BH211" s="36" t="s">
        <v>332</v>
      </c>
      <c r="BJ211" t="str">
        <v>15 GAL</v>
      </c>
      <c r="BK211"/>
      <c r="BM211"/>
    </row>
    <row r="212" spans="22:65" x14ac:dyDescent="0.35">
      <c r="V212" s="1" t="str">
        <v xml:space="preserve"> 3831 MVB N//A2 G</v>
      </c>
      <c r="X212" s="1" t="str">
        <f t="shared" si="46"/>
        <v xml:space="preserve"> 3504 HIGHGRAY2 G</v>
      </c>
      <c r="Y212" s="1" t="str" cm="1">
        <f t="array" ref="Y212">IFERROR(VLOOKUP($X212,$AN:AO,COLUMN(AO:AO)-COLUMN($AN:$AN)+1,FALSE),"")</f>
        <v>RESUPRIME 3504 HIGH SOLID CLEAR PRIMER/SEALERGRAY2 GAL</v>
      </c>
      <c r="Z212" s="63" cm="1">
        <f t="array" ref="Z212">IFERROR(VLOOKUP($X212,$AN:AP,COLUMN(AP:AP)-COLUMN($AN:$AN)+1,FALSE),"")</f>
        <v>168.31</v>
      </c>
      <c r="AA212" s="1" t="str" cm="1">
        <f t="array" ref="AA212">IFERROR(VLOOKUP($X212,$AN:AQ,COLUMN(AQ:AQ)-COLUMN($AN:$AN)+1,FALSE),"")</f>
        <v>2 GAL</v>
      </c>
      <c r="AC212" s="1" t="str" cm="1">
        <f t="array" ref="AC212">IFERROR(VLOOKUP($X212,$AN:AS,COLUMN(AS:AS)-COLUMN($AN:$AN)+1,FALSE),"")</f>
        <v>GRAY</v>
      </c>
      <c r="AD212" s="1" t="s">
        <v>19</v>
      </c>
      <c r="AF212" s="1">
        <f>Table1[[#This Row],[C:C]]*1.1</f>
        <v>0</v>
      </c>
      <c r="AI212" s="1">
        <f>IFERROR(VLOOKUP(X212,#REF!,8,FALSE),0)</f>
        <v>0</v>
      </c>
      <c r="AN212" s="1" t="str">
        <f>PROD_ID_TABLE[[#This Row],[PROD ID]]</f>
        <v>3760 MPE MN//A3 G</v>
      </c>
      <c r="AO212" s="1" t="str">
        <f t="shared" si="39"/>
        <v>RESUFLOR 3760 MPE MULTI-PURPOSE EPOXYN/A3 GAL</v>
      </c>
      <c r="AP212" s="3">
        <f t="shared" si="40"/>
        <v>177.73</v>
      </c>
      <c r="AQ212" s="1" t="str">
        <f t="shared" si="41"/>
        <v>3 GAL</v>
      </c>
      <c r="AS212" s="1" t="str">
        <f t="shared" si="42"/>
        <v>N/A</v>
      </c>
      <c r="AT212"/>
      <c r="AU212"/>
      <c r="AV212"/>
      <c r="AY212" t="str">
        <f t="shared" si="43"/>
        <v>3760 MPE MN//A3 G</v>
      </c>
      <c r="AZ212" s="1" t="str">
        <f t="shared" si="44"/>
        <v>3760 MPE M</v>
      </c>
      <c r="BA212" t="str">
        <f t="shared" si="45"/>
        <v>N//A</v>
      </c>
      <c r="BB212" s="1" t="str">
        <f t="shared" si="37"/>
        <v>3 G</v>
      </c>
      <c r="BC212" s="1">
        <f t="shared" si="38"/>
        <v>177.73</v>
      </c>
      <c r="BD212" s="1" t="s">
        <v>345</v>
      </c>
      <c r="BE212" s="14" t="s">
        <v>398</v>
      </c>
      <c r="BF212" s="14" t="s">
        <v>407</v>
      </c>
      <c r="BG212" s="14" t="s">
        <v>311</v>
      </c>
      <c r="BH212" s="36" t="s">
        <v>329</v>
      </c>
      <c r="BJ212"/>
      <c r="BK212"/>
      <c r="BM212"/>
    </row>
    <row r="213" spans="22:65" x14ac:dyDescent="0.35">
      <c r="V213" s="1" t="str">
        <v xml:space="preserve"> 3831 MVB N//A10 </v>
      </c>
      <c r="X213" s="1" t="str">
        <f t="shared" si="46"/>
        <v xml:space="preserve"> 3504 HIGHWHTE2 G</v>
      </c>
      <c r="Y213" s="1" t="str" cm="1">
        <f t="array" ref="Y213">IFERROR(VLOOKUP($X213,$AN:AO,COLUMN(AO:AO)-COLUMN($AN:$AN)+1,FALSE),"")</f>
        <v>RESUPRIME 3504 HIGH SOLID CLEAR PRIMER/SEALERWHITE2 GAL</v>
      </c>
      <c r="Z213" s="63" cm="1">
        <f t="array" ref="Z213">IFERROR(VLOOKUP($X213,$AN:AP,COLUMN(AP:AP)-COLUMN($AN:$AN)+1,FALSE),"")</f>
        <v>168.31</v>
      </c>
      <c r="AA213" s="1" t="str" cm="1">
        <f t="array" ref="AA213">IFERROR(VLOOKUP($X213,$AN:AQ,COLUMN(AQ:AQ)-COLUMN($AN:$AN)+1,FALSE),"")</f>
        <v>2 GAL</v>
      </c>
      <c r="AC213" s="1" t="str" cm="1">
        <f t="array" ref="AC213">IFERROR(VLOOKUP($X213,$AN:AS,COLUMN(AS:AS)-COLUMN($AN:$AN)+1,FALSE),"")</f>
        <v>WHITE</v>
      </c>
      <c r="AD213" s="1" t="s">
        <v>19</v>
      </c>
      <c r="AF213" s="1">
        <f>Table1[[#This Row],[C:C]]*1.1</f>
        <v>0</v>
      </c>
      <c r="AI213" s="1">
        <f>IFERROR(VLOOKUP(X213,#REF!,8,FALSE),0)</f>
        <v>0</v>
      </c>
      <c r="AN213" s="1" t="str">
        <f>PROD_ID_TABLE[[#This Row],[PROD ID]]</f>
        <v xml:space="preserve">3760 MPE MN//A15 </v>
      </c>
      <c r="AO213" s="1" t="str">
        <f t="shared" si="39"/>
        <v>RESUFLOR 3760 MPE MULTI-PURPOSE EPOXYN/A15 GAL</v>
      </c>
      <c r="AP213" s="3">
        <f t="shared" si="40"/>
        <v>847.44</v>
      </c>
      <c r="AQ213" s="1" t="str">
        <f t="shared" si="41"/>
        <v>15 GAL</v>
      </c>
      <c r="AS213" s="1" t="str">
        <f t="shared" si="42"/>
        <v>N/A</v>
      </c>
      <c r="AT213"/>
      <c r="AU213"/>
      <c r="AV213"/>
      <c r="AY213" t="str">
        <f t="shared" si="43"/>
        <v xml:space="preserve">3760 MPE MN//A15 </v>
      </c>
      <c r="AZ213" s="1" t="str">
        <f t="shared" si="44"/>
        <v>3760 MPE M</v>
      </c>
      <c r="BA213" t="str">
        <f t="shared" si="45"/>
        <v>N//A</v>
      </c>
      <c r="BB213" s="1" t="str">
        <f t="shared" si="37"/>
        <v xml:space="preserve">15 </v>
      </c>
      <c r="BC213" s="1">
        <f t="shared" si="38"/>
        <v>847.44</v>
      </c>
      <c r="BD213" s="1" t="s">
        <v>345</v>
      </c>
      <c r="BE213" s="14" t="s">
        <v>398</v>
      </c>
      <c r="BF213" s="14" t="s">
        <v>408</v>
      </c>
      <c r="BG213" s="14" t="s">
        <v>311</v>
      </c>
      <c r="BH213" s="36" t="s">
        <v>318</v>
      </c>
      <c r="BJ213" t="str" cm="1">
        <f t="array" ref="BJ213">_xlfn.SWITCH(SW!M6,P!$BN$5,P!$BE$280:$BE$299,P!$BE$273)</f>
        <v>CLEAR</v>
      </c>
      <c r="BK213"/>
      <c r="BM213"/>
    </row>
    <row r="214" spans="22:65" x14ac:dyDescent="0.35">
      <c r="V214" s="1" t="str">
        <v xml:space="preserve"> MVP EPOXYN//A3 G</v>
      </c>
      <c r="X214" s="1" t="str">
        <f t="shared" si="46"/>
        <v xml:space="preserve"> 3504 HIGHCLAR10 </v>
      </c>
      <c r="Y214" s="1" t="str" cm="1">
        <f t="array" ref="Y214">IFERROR(VLOOKUP($X214,$AN:AO,COLUMN(AO:AO)-COLUMN($AN:$AN)+1,FALSE),"")</f>
        <v>RESUPRIME 3504 HIGH SOLID CLEAR PRIMER/SEALERCLEAR10 GAL</v>
      </c>
      <c r="Z214" s="63" cm="1">
        <f t="array" ref="Z214">IFERROR(VLOOKUP($X214,$AN:AP,COLUMN(AP:AP)-COLUMN($AN:$AN)+1,FALSE),"")</f>
        <v>800.36</v>
      </c>
      <c r="AA214" s="1" t="str" cm="1">
        <f t="array" ref="AA214">IFERROR(VLOOKUP($X214,$AN:AQ,COLUMN(AQ:AQ)-COLUMN($AN:$AN)+1,FALSE),"")</f>
        <v>10 GAL</v>
      </c>
      <c r="AC214" s="1" t="str" cm="1">
        <f t="array" ref="AC214">IFERROR(VLOOKUP($X214,$AN:AS,COLUMN(AS:AS)-COLUMN($AN:$AN)+1,FALSE),"")</f>
        <v>CLEAR</v>
      </c>
      <c r="AD214" s="1" t="s">
        <v>19</v>
      </c>
      <c r="AF214" s="1">
        <f>Table1[[#This Row],[C:C]]*1.1</f>
        <v>0</v>
      </c>
      <c r="AI214" s="1">
        <f>IFERROR(VLOOKUP(X214,#REF!,8,FALSE),0)</f>
        <v>0</v>
      </c>
      <c r="AN214" s="1" t="str">
        <f>PROD_ID_TABLE[[#This Row],[PROD ID]]</f>
        <v>3746 HIGH CLAR3 G</v>
      </c>
      <c r="AO214" s="1" t="str">
        <f t="shared" si="39"/>
        <v>RESUFLOR 3746 HIGH PERFORMANCE EPOXYCLEAR3 GAL</v>
      </c>
      <c r="AP214" s="3">
        <f t="shared" si="40"/>
        <v>205.98</v>
      </c>
      <c r="AQ214" s="1" t="str">
        <f t="shared" si="41"/>
        <v>3 GAL</v>
      </c>
      <c r="AS214" s="1" t="str">
        <f t="shared" si="42"/>
        <v>CLEAR</v>
      </c>
      <c r="AT214"/>
      <c r="AU214"/>
      <c r="AV214"/>
      <c r="AY214" t="str">
        <f t="shared" si="43"/>
        <v>3746 HIGH CLAR3 G</v>
      </c>
      <c r="AZ214" s="1" t="str">
        <f t="shared" si="44"/>
        <v xml:space="preserve">3746 HIGH </v>
      </c>
      <c r="BA214" t="str">
        <f t="shared" si="45"/>
        <v>CLAR</v>
      </c>
      <c r="BB214" s="1" t="str">
        <f t="shared" si="37"/>
        <v>3 G</v>
      </c>
      <c r="BC214" s="1">
        <f t="shared" si="38"/>
        <v>205.98</v>
      </c>
      <c r="BD214" s="62" t="s">
        <v>346</v>
      </c>
      <c r="BE214" s="55" t="s">
        <v>315</v>
      </c>
      <c r="BF214" s="55" t="s">
        <v>407</v>
      </c>
      <c r="BG214" s="55" t="s">
        <v>311</v>
      </c>
      <c r="BH214" s="36" t="s">
        <v>328</v>
      </c>
      <c r="BJ214" t="str" cm="1">
        <f t="array" ref="BJ214">_xlfn.SWITCH(L3,P!$BN$21,P!$BE$206:$BE$207,P!$BN$19,P!$BE$214:$BE$233,P!$BN$18,P!$BE$254:$BE$257,P!$BN$17,P!$BE$262:$BE$264,P!$BN$23,P!$BE$267:$BE$270,P!$BN$24,P!$BH$207,P!$BE$90)</f>
        <v>N/A</v>
      </c>
      <c r="BK214"/>
      <c r="BM214"/>
    </row>
    <row r="215" spans="22:65" x14ac:dyDescent="0.35">
      <c r="V215" s="1" t="str">
        <v xml:space="preserve"> MVP EPOXYN//A15 </v>
      </c>
      <c r="X215" s="1" t="str">
        <f t="shared" si="46"/>
        <v xml:space="preserve"> 3504 HIGHGRAY10 </v>
      </c>
      <c r="Y215" s="1" t="str" cm="1">
        <f t="array" ref="Y215">IFERROR(VLOOKUP($X215,$AN:AO,COLUMN(AO:AO)-COLUMN($AN:$AN)+1,FALSE),"")</f>
        <v>RESUPRIME 3504 HIGH SOLID CLEAR PRIMER/SEALERGRAY10 GAL</v>
      </c>
      <c r="Z215" s="63" cm="1">
        <f t="array" ref="Z215">IFERROR(VLOOKUP($X215,$AN:AP,COLUMN(AP:AP)-COLUMN($AN:$AN)+1,FALSE),"")</f>
        <v>800.36</v>
      </c>
      <c r="AA215" s="1" t="str" cm="1">
        <f t="array" ref="AA215">IFERROR(VLOOKUP($X215,$AN:AQ,COLUMN(AQ:AQ)-COLUMN($AN:$AN)+1,FALSE),"")</f>
        <v>10 GAL</v>
      </c>
      <c r="AC215" s="1" t="str" cm="1">
        <f t="array" ref="AC215">IFERROR(VLOOKUP($X215,$AN:AS,COLUMN(AS:AS)-COLUMN($AN:$AN)+1,FALSE),"")</f>
        <v>GRAY</v>
      </c>
      <c r="AD215" s="1" t="s">
        <v>19</v>
      </c>
      <c r="AF215" s="1">
        <f>Table1[[#This Row],[C:C]]*1.1</f>
        <v>0</v>
      </c>
      <c r="AI215" s="1">
        <f>IFERROR(VLOOKUP(X215,#REF!,8,FALSE),0)</f>
        <v>0</v>
      </c>
      <c r="AN215" s="1" t="str">
        <f>PROD_ID_TABLE[[#This Row],[PROD ID]]</f>
        <v>3746 HIGH CUOM3 G</v>
      </c>
      <c r="AO215" s="1" t="str">
        <f t="shared" si="39"/>
        <v>RESUFLOR 3746 HIGH PERFORMANCE EPOXYCUSTOM3 GAL</v>
      </c>
      <c r="AP215" s="3">
        <f t="shared" si="40"/>
        <v>205.98</v>
      </c>
      <c r="AQ215" s="1" t="str">
        <f t="shared" si="41"/>
        <v>3 GAL</v>
      </c>
      <c r="AS215" s="1" t="str">
        <f t="shared" si="42"/>
        <v>CUSTOM</v>
      </c>
      <c r="AT215"/>
      <c r="AU215"/>
      <c r="AV215"/>
      <c r="AY215" t="str">
        <f t="shared" si="43"/>
        <v>3746 HIGH CUOM3 G</v>
      </c>
      <c r="AZ215" s="1" t="str">
        <f t="shared" si="44"/>
        <v xml:space="preserve">3746 HIGH </v>
      </c>
      <c r="BA215" t="str">
        <f t="shared" si="45"/>
        <v>CUOM</v>
      </c>
      <c r="BB215" s="1" t="str">
        <f t="shared" si="37"/>
        <v>3 G</v>
      </c>
      <c r="BC215" s="1">
        <f t="shared" si="38"/>
        <v>205.98</v>
      </c>
      <c r="BD215" s="62" t="s">
        <v>346</v>
      </c>
      <c r="BE215" s="55" t="s">
        <v>316</v>
      </c>
      <c r="BF215" s="55" t="s">
        <v>407</v>
      </c>
      <c r="BG215" s="55" t="s">
        <v>311</v>
      </c>
      <c r="BH215" s="36" t="s">
        <v>317</v>
      </c>
      <c r="BK215"/>
      <c r="BM215"/>
    </row>
    <row r="216" spans="22:65" x14ac:dyDescent="0.35">
      <c r="V216" s="1" t="str">
        <v xml:space="preserve"> 5531 OIL N//A1 Q</v>
      </c>
      <c r="X216" s="1" t="str">
        <f t="shared" si="46"/>
        <v xml:space="preserve"> 3504 HIGHWHTE10 </v>
      </c>
      <c r="Y216" s="1" t="str" cm="1">
        <f t="array" ref="Y216">IFERROR(VLOOKUP($X216,$AN:AO,COLUMN(AO:AO)-COLUMN($AN:$AN)+1,FALSE),"")</f>
        <v>RESUPRIME 3504 HIGH SOLID CLEAR PRIMER/SEALERWHITE10 GAL</v>
      </c>
      <c r="Z216" s="63" cm="1">
        <f t="array" ref="Z216">IFERROR(VLOOKUP($X216,$AN:AP,COLUMN(AP:AP)-COLUMN($AN:$AN)+1,FALSE),"")</f>
        <v>800.36</v>
      </c>
      <c r="AA216" s="1" t="str" cm="1">
        <f t="array" ref="AA216">IFERROR(VLOOKUP($X216,$AN:AQ,COLUMN(AQ:AQ)-COLUMN($AN:$AN)+1,FALSE),"")</f>
        <v>10 GAL</v>
      </c>
      <c r="AC216" s="1" t="str" cm="1">
        <f t="array" ref="AC216">IFERROR(VLOOKUP($X216,$AN:AS,COLUMN(AS:AS)-COLUMN($AN:$AN)+1,FALSE),"")</f>
        <v>WHITE</v>
      </c>
      <c r="AD216" s="1" t="s">
        <v>19</v>
      </c>
      <c r="AF216" s="1">
        <f>Table1[[#This Row],[C:C]]*1.1</f>
        <v>0</v>
      </c>
      <c r="AI216" s="1">
        <f>IFERROR(VLOOKUP(X216,#REF!,8,FALSE),0)</f>
        <v>0</v>
      </c>
      <c r="AN216" s="1" t="str">
        <f>PROD_ID_TABLE[[#This Row],[PROD ID]]</f>
        <v>3746 HIGH WHTE3 G</v>
      </c>
      <c r="AO216" s="1" t="str">
        <f t="shared" si="39"/>
        <v>RESUFLOR 3746 HIGH PERFORMANCE EPOXYWHITE3 GAL</v>
      </c>
      <c r="AP216" s="3">
        <f t="shared" si="40"/>
        <v>205.98</v>
      </c>
      <c r="AQ216" s="1" t="str">
        <f t="shared" si="41"/>
        <v>3 GAL</v>
      </c>
      <c r="AS216" s="1" t="str">
        <f t="shared" si="42"/>
        <v>WHITE</v>
      </c>
      <c r="AT216"/>
      <c r="AU216"/>
      <c r="AV216"/>
      <c r="AY216" t="str">
        <f t="shared" si="43"/>
        <v>3746 HIGH WHTE3 G</v>
      </c>
      <c r="AZ216" s="1" t="str">
        <f t="shared" si="44"/>
        <v xml:space="preserve">3746 HIGH </v>
      </c>
      <c r="BA216" t="str">
        <f t="shared" si="45"/>
        <v>WHTE</v>
      </c>
      <c r="BB216" s="1" t="str">
        <f t="shared" si="37"/>
        <v>3 G</v>
      </c>
      <c r="BC216" s="1">
        <f t="shared" si="38"/>
        <v>205.98</v>
      </c>
      <c r="BD216" s="62" t="s">
        <v>346</v>
      </c>
      <c r="BE216" s="55" t="s">
        <v>322</v>
      </c>
      <c r="BF216" s="55" t="s">
        <v>407</v>
      </c>
      <c r="BG216" s="55" t="s">
        <v>311</v>
      </c>
      <c r="BH216" s="36" t="s">
        <v>384</v>
      </c>
      <c r="BJ216" t="str" cm="1">
        <f t="array" ref="BJ216:BJ217">_xlfn.SWITCH(L3,P!$BN$21,P!$BF$207:$BF$208,P!$BN$24,P!$BF$213,P!$BF$233:$BF$234)</f>
        <v>3 GAL</v>
      </c>
      <c r="BK216"/>
      <c r="BM216"/>
    </row>
    <row r="217" spans="22:65" x14ac:dyDescent="0.35">
      <c r="V217" s="1" t="str">
        <v xml:space="preserve"> 5531 OIL N//A5 G</v>
      </c>
      <c r="X217" s="1" t="str">
        <f t="shared" si="46"/>
        <v xml:space="preserve"> 3579 HIGHCOAY3 G</v>
      </c>
      <c r="Y217" s="1" t="str" cm="1">
        <f t="array" ref="Y217">IFERROR(VLOOKUP($X217,$AN:AO,COLUMN(AO:AO)-COLUMN($AN:$AN)+1,FALSE),"")</f>
        <v>RESUPRIME 3579 HIGH SOLID EPOXY PRIMER/BINDERCONCRETE GRAY3 GAL</v>
      </c>
      <c r="Z217" s="63" cm="1">
        <f t="array" ref="Z217">IFERROR(VLOOKUP($X217,$AN:AP,COLUMN(AP:AP)-COLUMN($AN:$AN)+1,FALSE),"")</f>
        <v>187.14</v>
      </c>
      <c r="AA217" s="1" t="str" cm="1">
        <f t="array" ref="AA217">IFERROR(VLOOKUP($X217,$AN:AQ,COLUMN(AQ:AQ)-COLUMN($AN:$AN)+1,FALSE),"")</f>
        <v>3 GAL</v>
      </c>
      <c r="AC217" s="1" t="str" cm="1">
        <f t="array" ref="AC217">IFERROR(VLOOKUP($X217,$AN:AS,COLUMN(AS:AS)-COLUMN($AN:$AN)+1,FALSE),"")</f>
        <v>CONCRETE GRAY</v>
      </c>
      <c r="AD217" s="1" t="s">
        <v>19</v>
      </c>
      <c r="AF217" s="1">
        <f>Table1[[#This Row],[C:C]]*1.1</f>
        <v>0</v>
      </c>
      <c r="AI217" s="1">
        <f>IFERROR(VLOOKUP(X217,#REF!,8,FALSE),0)</f>
        <v>0</v>
      </c>
      <c r="AN217" s="1" t="str">
        <f>PROD_ID_TABLE[[#This Row],[PROD ID]]</f>
        <v>3746 HIGH GRAY3 G</v>
      </c>
      <c r="AO217" s="1" t="str">
        <f t="shared" si="39"/>
        <v>RESUFLOR 3746 HIGH PERFORMANCE EPOXYGRAY3 GAL</v>
      </c>
      <c r="AP217" s="3">
        <f t="shared" si="40"/>
        <v>205.98</v>
      </c>
      <c r="AQ217" s="1" t="str">
        <f t="shared" si="41"/>
        <v>3 GAL</v>
      </c>
      <c r="AS217" s="1" t="str">
        <f t="shared" si="42"/>
        <v>GRAY</v>
      </c>
      <c r="AT217"/>
      <c r="AU217"/>
      <c r="AV217"/>
      <c r="AY217" t="str">
        <f t="shared" si="43"/>
        <v>3746 HIGH GRAY3 G</v>
      </c>
      <c r="AZ217" s="1" t="str">
        <f t="shared" si="44"/>
        <v xml:space="preserve">3746 HIGH </v>
      </c>
      <c r="BA217" t="str">
        <f t="shared" si="45"/>
        <v>GRAY</v>
      </c>
      <c r="BB217" s="1" t="str">
        <f t="shared" si="37"/>
        <v>3 G</v>
      </c>
      <c r="BC217" s="1">
        <f t="shared" si="38"/>
        <v>205.98</v>
      </c>
      <c r="BD217" s="62" t="s">
        <v>346</v>
      </c>
      <c r="BE217" s="55" t="s">
        <v>317</v>
      </c>
      <c r="BF217" s="55" t="s">
        <v>407</v>
      </c>
      <c r="BG217" s="55" t="s">
        <v>311</v>
      </c>
      <c r="BH217" s="36" t="s">
        <v>333</v>
      </c>
      <c r="BJ217" t="str">
        <v>15 GAL</v>
      </c>
      <c r="BK217"/>
      <c r="BM217"/>
    </row>
    <row r="218" spans="22:65" x14ac:dyDescent="0.35">
      <c r="V218" s="1" t="str">
        <v>E TF PLUS BLUE1.7</v>
      </c>
      <c r="X218" s="1" t="str">
        <f t="shared" si="46"/>
        <v xml:space="preserve"> 3579 HIGHWHTE3 G</v>
      </c>
      <c r="Y218" s="1" t="str" cm="1">
        <f t="array" ref="Y218">IFERROR(VLOOKUP($X218,$AN:AO,COLUMN(AO:AO)-COLUMN($AN:$AN)+1,FALSE),"")</f>
        <v>RESUPRIME 3579 HIGH SOLID EPOXY PRIMER/BINDERWHITE3 GAL</v>
      </c>
      <c r="Z218" s="63" cm="1">
        <f t="array" ref="Z218">IFERROR(VLOOKUP($X218,$AN:AP,COLUMN(AP:AP)-COLUMN($AN:$AN)+1,FALSE),"")</f>
        <v>187.14</v>
      </c>
      <c r="AA218" s="1" t="str" cm="1">
        <f t="array" ref="AA218">IFERROR(VLOOKUP($X218,$AN:AQ,COLUMN(AQ:AQ)-COLUMN($AN:$AN)+1,FALSE),"")</f>
        <v>3 GAL</v>
      </c>
      <c r="AC218" s="1" t="str" cm="1">
        <f t="array" ref="AC218">IFERROR(VLOOKUP($X218,$AN:AS,COLUMN(AS:AS)-COLUMN($AN:$AN)+1,FALSE),"")</f>
        <v>WHITE</v>
      </c>
      <c r="AD218" s="1" t="s">
        <v>19</v>
      </c>
      <c r="AF218" s="1">
        <f>Table1[[#This Row],[C:C]]*1.1</f>
        <v>0</v>
      </c>
      <c r="AI218" s="1">
        <f>IFERROR(VLOOKUP(X218,#REF!,8,FALSE),0)</f>
        <v>0</v>
      </c>
      <c r="AN218" s="1" t="str">
        <f>PROD_ID_TABLE[[#This Row],[PROD ID]]</f>
        <v>3746 HIGH MEAY3 G</v>
      </c>
      <c r="AO218" s="1" t="str">
        <f t="shared" si="39"/>
        <v>RESUFLOR 3746 HIGH PERFORMANCE EPOXYMEDIUM GRAY3 GAL</v>
      </c>
      <c r="AP218" s="3">
        <f t="shared" si="40"/>
        <v>205.98</v>
      </c>
      <c r="AQ218" s="1" t="str">
        <f t="shared" si="41"/>
        <v>3 GAL</v>
      </c>
      <c r="AS218" s="1" t="str">
        <f t="shared" si="42"/>
        <v>MEDIUM GRAY</v>
      </c>
      <c r="AT218"/>
      <c r="AU218"/>
      <c r="AV218"/>
      <c r="AY218" t="str">
        <f t="shared" si="43"/>
        <v>3746 HIGH MEAY3 G</v>
      </c>
      <c r="AZ218" s="1" t="str">
        <f t="shared" si="44"/>
        <v xml:space="preserve">3746 HIGH </v>
      </c>
      <c r="BA218" t="str">
        <f t="shared" si="45"/>
        <v>MEAY</v>
      </c>
      <c r="BB218" s="1" t="str">
        <f t="shared" si="37"/>
        <v>3 G</v>
      </c>
      <c r="BC218" s="1">
        <f t="shared" si="38"/>
        <v>205.98</v>
      </c>
      <c r="BD218" s="62" t="s">
        <v>346</v>
      </c>
      <c r="BE218" s="55" t="s">
        <v>333</v>
      </c>
      <c r="BF218" s="55" t="s">
        <v>407</v>
      </c>
      <c r="BG218" s="55" t="s">
        <v>311</v>
      </c>
      <c r="BH218" s="36" t="s">
        <v>324</v>
      </c>
      <c r="BJ218"/>
      <c r="BK218"/>
      <c r="BM218"/>
    </row>
    <row r="219" spans="22:65" x14ac:dyDescent="0.35">
      <c r="V219" s="1" t="str">
        <v>E TF PLUS CHAL1.7</v>
      </c>
      <c r="X219" s="1" t="str">
        <f t="shared" si="46"/>
        <v xml:space="preserve"> 3579 HIGHBLCK3 G</v>
      </c>
      <c r="Y219" s="1" t="str" cm="1">
        <f t="array" ref="Y219">IFERROR(VLOOKUP($X219,$AN:AO,COLUMN(AO:AO)-COLUMN($AN:$AN)+1,FALSE),"")</f>
        <v>RESUPRIME 3579 HIGH SOLID EPOXY PRIMER/BINDERBLACK3 GAL</v>
      </c>
      <c r="Z219" s="63" cm="1">
        <f t="array" ref="Z219">IFERROR(VLOOKUP($X219,$AN:AP,COLUMN(AP:AP)-COLUMN($AN:$AN)+1,FALSE),"")</f>
        <v>187.14</v>
      </c>
      <c r="AA219" s="1" t="str" cm="1">
        <f t="array" ref="AA219">IFERROR(VLOOKUP($X219,$AN:AQ,COLUMN(AQ:AQ)-COLUMN($AN:$AN)+1,FALSE),"")</f>
        <v>3 GAL</v>
      </c>
      <c r="AC219" s="1" t="str" cm="1">
        <f t="array" ref="AC219">IFERROR(VLOOKUP($X219,$AN:AS,COLUMN(AS:AS)-COLUMN($AN:$AN)+1,FALSE),"")</f>
        <v>BLACK</v>
      </c>
      <c r="AD219" s="1" t="s">
        <v>19</v>
      </c>
      <c r="AF219" s="1">
        <f>Table1[[#This Row],[C:C]]*1.1</f>
        <v>0</v>
      </c>
      <c r="AI219" s="1">
        <f>IFERROR(VLOOKUP(X219,#REF!,8,FALSE),0)</f>
        <v>0</v>
      </c>
      <c r="AN219" s="1" t="str">
        <f>PROD_ID_TABLE[[#This Row],[PROD ID]]</f>
        <v>3746 HIGH CAAY3 G</v>
      </c>
      <c r="AO219" s="1" t="str">
        <f t="shared" si="39"/>
        <v>RESUFLOR 3746 HIGH PERFORMANCE EPOXYCANADA GRAY3 GAL</v>
      </c>
      <c r="AP219" s="3">
        <f t="shared" si="40"/>
        <v>205.98</v>
      </c>
      <c r="AQ219" s="1" t="str">
        <f t="shared" si="41"/>
        <v>3 GAL</v>
      </c>
      <c r="AS219" s="1" t="str">
        <f t="shared" si="42"/>
        <v>CANADA GRAY</v>
      </c>
      <c r="AT219"/>
      <c r="AU219"/>
      <c r="AV219"/>
      <c r="AY219" t="str">
        <f t="shared" si="43"/>
        <v>3746 HIGH CAAY3 G</v>
      </c>
      <c r="AZ219" s="1" t="str">
        <f t="shared" si="44"/>
        <v xml:space="preserve">3746 HIGH </v>
      </c>
      <c r="BA219" t="str">
        <f t="shared" si="45"/>
        <v>CAAY</v>
      </c>
      <c r="BB219" s="1" t="str">
        <f t="shared" si="37"/>
        <v>3 G</v>
      </c>
      <c r="BC219" s="1">
        <f t="shared" si="38"/>
        <v>205.98</v>
      </c>
      <c r="BD219" s="62" t="s">
        <v>346</v>
      </c>
      <c r="BE219" s="55" t="s">
        <v>332</v>
      </c>
      <c r="BF219" s="55" t="s">
        <v>407</v>
      </c>
      <c r="BG219" s="55" t="s">
        <v>311</v>
      </c>
      <c r="BH219" s="36" t="s">
        <v>327</v>
      </c>
      <c r="BJ219"/>
      <c r="BK219"/>
      <c r="BM219"/>
    </row>
    <row r="220" spans="22:65" x14ac:dyDescent="0.35">
      <c r="V220" s="1" t="str">
        <v>E TF PLUS CHUT1.7</v>
      </c>
      <c r="X220" s="1" t="str">
        <f t="shared" si="46"/>
        <v xml:space="preserve"> 3579 HIGHTIED3 G</v>
      </c>
      <c r="Y220" s="1" t="str" cm="1">
        <f t="array" ref="Y220">IFERROR(VLOOKUP($X220,$AN:AO,COLUMN(AO:AO)-COLUMN($AN:$AN)+1,FALSE),"")</f>
        <v>RESUPRIME 3579 HIGH SOLID EPOXY PRIMER/BINDERTILE RED3 GAL</v>
      </c>
      <c r="Z220" s="63" cm="1">
        <f t="array" ref="Z220">IFERROR(VLOOKUP($X220,$AN:AP,COLUMN(AP:AP)-COLUMN($AN:$AN)+1,FALSE),"")</f>
        <v>187.14</v>
      </c>
      <c r="AA220" s="1" t="str" cm="1">
        <f t="array" ref="AA220">IFERROR(VLOOKUP($X220,$AN:AQ,COLUMN(AQ:AQ)-COLUMN($AN:$AN)+1,FALSE),"")</f>
        <v>3 GAL</v>
      </c>
      <c r="AC220" s="1" t="str" cm="1">
        <f t="array" ref="AC220">IFERROR(VLOOKUP($X220,$AN:AS,COLUMN(AS:AS)-COLUMN($AN:$AN)+1,FALSE),"")</f>
        <v>TILE RED</v>
      </c>
      <c r="AD220" s="1" t="s">
        <v>19</v>
      </c>
      <c r="AF220" s="1">
        <f>Table1[[#This Row],[C:C]]*1.1</f>
        <v>0</v>
      </c>
      <c r="AI220" s="1">
        <f>IFERROR(VLOOKUP(X220,#REF!,8,FALSE),0)</f>
        <v>0</v>
      </c>
      <c r="AN220" s="1" t="str">
        <f>PROD_ID_TABLE[[#This Row],[PROD ID]]</f>
        <v>3746 HIGH CHAL3 G</v>
      </c>
      <c r="AO220" s="1" t="str">
        <f t="shared" si="39"/>
        <v>RESUFLOR 3746 HIGH PERFORMANCE EPOXYCHARCOAL3 GAL</v>
      </c>
      <c r="AP220" s="3">
        <f t="shared" si="40"/>
        <v>205.98</v>
      </c>
      <c r="AQ220" s="1" t="str">
        <f t="shared" si="41"/>
        <v>3 GAL</v>
      </c>
      <c r="AS220" s="1" t="str">
        <f t="shared" si="42"/>
        <v>CHARCOAL</v>
      </c>
      <c r="AT220"/>
      <c r="AU220"/>
      <c r="AV220"/>
      <c r="AY220" t="str">
        <f t="shared" si="43"/>
        <v>3746 HIGH CHAL3 G</v>
      </c>
      <c r="AZ220" s="1" t="str">
        <f t="shared" si="44"/>
        <v xml:space="preserve">3746 HIGH </v>
      </c>
      <c r="BA220" t="str">
        <f t="shared" si="45"/>
        <v>CHAL</v>
      </c>
      <c r="BB220" s="1" t="str">
        <f t="shared" si="37"/>
        <v>3 G</v>
      </c>
      <c r="BC220" s="1">
        <f t="shared" si="38"/>
        <v>205.98</v>
      </c>
      <c r="BD220" s="62" t="s">
        <v>346</v>
      </c>
      <c r="BE220" s="55" t="s">
        <v>318</v>
      </c>
      <c r="BF220" s="55" t="s">
        <v>407</v>
      </c>
      <c r="BG220" s="55" t="s">
        <v>311</v>
      </c>
      <c r="BH220" s="36" t="s">
        <v>428</v>
      </c>
      <c r="BJ220"/>
      <c r="BK220"/>
      <c r="BM220"/>
    </row>
    <row r="221" spans="22:65" x14ac:dyDescent="0.35">
      <c r="V221" s="1" t="str">
        <v>E TF PLUS COAY1.7</v>
      </c>
      <c r="X221" s="1" t="str">
        <f t="shared" si="46"/>
        <v xml:space="preserve"> 3579 HIGHCOAY15 </v>
      </c>
      <c r="Y221" s="1" t="str" cm="1">
        <f t="array" ref="Y221">IFERROR(VLOOKUP($X221,$AN:AO,COLUMN(AO:AO)-COLUMN($AN:$AN)+1,FALSE),"")</f>
        <v>RESUPRIME 3579 HIGH SOLID EPOXY PRIMER/BINDERCONCRETE GRAY15 GAL</v>
      </c>
      <c r="Z221" s="63" cm="1">
        <f t="array" ref="Z221">IFERROR(VLOOKUP($X221,$AN:AP,COLUMN(AP:AP)-COLUMN($AN:$AN)+1,FALSE),"")</f>
        <v>873.92</v>
      </c>
      <c r="AA221" s="1" t="str" cm="1">
        <f t="array" ref="AA221">IFERROR(VLOOKUP($X221,$AN:AQ,COLUMN(AQ:AQ)-COLUMN($AN:$AN)+1,FALSE),"")</f>
        <v>15 GAL</v>
      </c>
      <c r="AC221" s="1" t="str" cm="1">
        <f t="array" ref="AC221">IFERROR(VLOOKUP($X221,$AN:AS,COLUMN(AS:AS)-COLUMN($AN:$AN)+1,FALSE),"")</f>
        <v>CONCRETE GRAY</v>
      </c>
      <c r="AD221" s="1" t="s">
        <v>19</v>
      </c>
      <c r="AF221" s="1">
        <f>Table1[[#This Row],[C:C]]*1.1</f>
        <v>0</v>
      </c>
      <c r="AI221" s="1">
        <f>IFERROR(VLOOKUP(X221,#REF!,8,FALSE),0)</f>
        <v>0</v>
      </c>
      <c r="AN221" s="1" t="str">
        <f>PROD_ID_TABLE[[#This Row],[PROD ID]]</f>
        <v>3746 HIGH STAY3 G</v>
      </c>
      <c r="AO221" s="1" t="str">
        <f t="shared" si="39"/>
        <v>RESUFLOR 3746 HIGH PERFORMANCE EPOXYSTEEL GRAY3 GAL</v>
      </c>
      <c r="AP221" s="3">
        <f t="shared" si="40"/>
        <v>205.98</v>
      </c>
      <c r="AQ221" s="1" t="str">
        <f t="shared" si="41"/>
        <v>3 GAL</v>
      </c>
      <c r="AS221" s="1" t="str">
        <f t="shared" si="42"/>
        <v>STEEL GRAY</v>
      </c>
      <c r="AT221"/>
      <c r="AU221"/>
      <c r="AV221"/>
      <c r="AY221" t="str">
        <f t="shared" si="43"/>
        <v>3746 HIGH STAY3 G</v>
      </c>
      <c r="AZ221" s="1" t="str">
        <f t="shared" si="44"/>
        <v xml:space="preserve">3746 HIGH </v>
      </c>
      <c r="BA221" t="str">
        <f t="shared" si="45"/>
        <v>STAY</v>
      </c>
      <c r="BB221" s="1" t="str">
        <f t="shared" si="37"/>
        <v>3 G</v>
      </c>
      <c r="BC221" s="1">
        <f t="shared" si="38"/>
        <v>205.98</v>
      </c>
      <c r="BD221" s="62" t="s">
        <v>346</v>
      </c>
      <c r="BE221" s="55" t="s">
        <v>319</v>
      </c>
      <c r="BF221" s="55" t="s">
        <v>407</v>
      </c>
      <c r="BG221" s="55" t="s">
        <v>311</v>
      </c>
      <c r="BH221" s="36" t="s">
        <v>325</v>
      </c>
      <c r="BI221" s="1" t="s">
        <v>407</v>
      </c>
      <c r="BJ221"/>
      <c r="BK221"/>
      <c r="BM221"/>
    </row>
    <row r="222" spans="22:65" x14ac:dyDescent="0.35">
      <c r="V222" s="1" t="str">
        <v>E TF PLUS DAAY1.7</v>
      </c>
      <c r="X222" s="1" t="str">
        <f t="shared" si="46"/>
        <v xml:space="preserve"> 3579 HIGHWHTE15 </v>
      </c>
      <c r="Y222" s="1" t="str" cm="1">
        <f t="array" ref="Y222">IFERROR(VLOOKUP($X222,$AN:AO,COLUMN(AO:AO)-COLUMN($AN:$AN)+1,FALSE),"")</f>
        <v>RESUPRIME 3579 HIGH SOLID EPOXY PRIMER/BINDERWHITE15 GAL</v>
      </c>
      <c r="Z222" s="63" cm="1">
        <f t="array" ref="Z222">IFERROR(VLOOKUP($X222,$AN:AP,COLUMN(AP:AP)-COLUMN($AN:$AN)+1,FALSE),"")</f>
        <v>873.92</v>
      </c>
      <c r="AA222" s="1" t="str" cm="1">
        <f t="array" ref="AA222">IFERROR(VLOOKUP($X222,$AN:AQ,COLUMN(AQ:AQ)-COLUMN($AN:$AN)+1,FALSE),"")</f>
        <v>15 GAL</v>
      </c>
      <c r="AC222" s="1" t="str" cm="1">
        <f t="array" ref="AC222">IFERROR(VLOOKUP($X222,$AN:AS,COLUMN(AS:AS)-COLUMN($AN:$AN)+1,FALSE),"")</f>
        <v>WHITE</v>
      </c>
      <c r="AD222" s="1" t="s">
        <v>19</v>
      </c>
      <c r="AF222" s="1">
        <f>Table1[[#This Row],[C:C]]*1.1</f>
        <v>0</v>
      </c>
      <c r="AI222" s="1">
        <f>IFERROR(VLOOKUP(X222,#REF!,8,FALSE),0)</f>
        <v>0</v>
      </c>
      <c r="AN222" s="1" t="str">
        <f>PROD_ID_TABLE[[#This Row],[PROD ID]]</f>
        <v>3746 HIGH BOTE3 G</v>
      </c>
      <c r="AO222" s="1" t="str">
        <f t="shared" si="39"/>
        <v>RESUFLOR 3746 HIGH PERFORMANCE EPOXYBONE WHITE3 GAL</v>
      </c>
      <c r="AP222" s="3">
        <f t="shared" si="40"/>
        <v>205.98</v>
      </c>
      <c r="AQ222" s="1" t="str">
        <f t="shared" si="41"/>
        <v>3 GAL</v>
      </c>
      <c r="AS222" s="1" t="str">
        <f t="shared" si="42"/>
        <v>BONE WHITE</v>
      </c>
      <c r="AT222"/>
      <c r="AU222"/>
      <c r="AV222"/>
      <c r="AY222" t="str">
        <f t="shared" si="43"/>
        <v>3746 HIGH BOTE3 G</v>
      </c>
      <c r="AZ222" s="1" t="str">
        <f t="shared" si="44"/>
        <v xml:space="preserve">3746 HIGH </v>
      </c>
      <c r="BA222" t="str">
        <f t="shared" si="45"/>
        <v>BOTE</v>
      </c>
      <c r="BB222" s="1" t="str">
        <f t="shared" si="37"/>
        <v>3 G</v>
      </c>
      <c r="BC222" s="1">
        <f t="shared" si="38"/>
        <v>205.98</v>
      </c>
      <c r="BD222" s="62" t="s">
        <v>346</v>
      </c>
      <c r="BE222" s="55" t="s">
        <v>320</v>
      </c>
      <c r="BF222" s="55" t="s">
        <v>407</v>
      </c>
      <c r="BG222" s="55" t="s">
        <v>311</v>
      </c>
      <c r="BH222" s="36" t="s">
        <v>326</v>
      </c>
      <c r="BI222" s="1" t="s">
        <v>408</v>
      </c>
      <c r="BJ222"/>
      <c r="BK222"/>
      <c r="BM222"/>
    </row>
    <row r="223" spans="22:65" x14ac:dyDescent="0.35">
      <c r="V223" s="1" t="str">
        <v>E TF PLUS GREN1.7</v>
      </c>
      <c r="X223" s="1" t="str">
        <f t="shared" si="46"/>
        <v xml:space="preserve"> 3579 HIGHBLCK15 </v>
      </c>
      <c r="Y223" s="1" t="str" cm="1">
        <f t="array" ref="Y223">IFERROR(VLOOKUP($X223,$AN:AO,COLUMN(AO:AO)-COLUMN($AN:$AN)+1,FALSE),"")</f>
        <v>RESUPRIME 3579 HIGH SOLID EPOXY PRIMER/BINDERBLACK15 GAL</v>
      </c>
      <c r="Z223" s="63" cm="1">
        <f t="array" ref="Z223">IFERROR(VLOOKUP($X223,$AN:AP,COLUMN(AP:AP)-COLUMN($AN:$AN)+1,FALSE),"")</f>
        <v>873.92</v>
      </c>
      <c r="AA223" s="1" t="str" cm="1">
        <f t="array" ref="AA223">IFERROR(VLOOKUP($X223,$AN:AQ,COLUMN(AQ:AQ)-COLUMN($AN:$AN)+1,FALSE),"")</f>
        <v>15 GAL</v>
      </c>
      <c r="AC223" s="1" t="str" cm="1">
        <f t="array" ref="AC223">IFERROR(VLOOKUP($X223,$AN:AS,COLUMN(AS:AS)-COLUMN($AN:$AN)+1,FALSE),"")</f>
        <v>BLACK</v>
      </c>
      <c r="AD223" s="1" t="s">
        <v>19</v>
      </c>
      <c r="AF223" s="1">
        <f>Table1[[#This Row],[C:C]]*1.1</f>
        <v>0</v>
      </c>
      <c r="AI223" s="1">
        <f>IFERROR(VLOOKUP(X223,#REF!,8,FALSE),0)</f>
        <v>0</v>
      </c>
      <c r="AN223" s="1" t="str">
        <f>PROD_ID_TABLE[[#This Row],[PROD ID]]</f>
        <v>3746 HIGH SIAY3 G</v>
      </c>
      <c r="AO223" s="1" t="str">
        <f t="shared" si="39"/>
        <v>RESUFLOR 3746 HIGH PERFORMANCE EPOXYSILVER GRAY3 GAL</v>
      </c>
      <c r="AP223" s="3">
        <f t="shared" si="40"/>
        <v>205.98</v>
      </c>
      <c r="AQ223" s="1" t="str">
        <f t="shared" si="41"/>
        <v>3 GAL</v>
      </c>
      <c r="AS223" s="1" t="str">
        <f t="shared" si="42"/>
        <v>SILVER GRAY</v>
      </c>
      <c r="AT223"/>
      <c r="AU223"/>
      <c r="AV223"/>
      <c r="AY223" t="str">
        <f t="shared" si="43"/>
        <v>3746 HIGH SIAY3 G</v>
      </c>
      <c r="AZ223" s="1" t="str">
        <f t="shared" si="44"/>
        <v xml:space="preserve">3746 HIGH </v>
      </c>
      <c r="BA223" t="str">
        <f t="shared" si="45"/>
        <v>SIAY</v>
      </c>
      <c r="BB223" s="1" t="str">
        <f t="shared" si="37"/>
        <v>3 G</v>
      </c>
      <c r="BC223" s="1">
        <f t="shared" si="38"/>
        <v>205.98</v>
      </c>
      <c r="BD223" s="62" t="s">
        <v>346</v>
      </c>
      <c r="BE223" s="55" t="s">
        <v>321</v>
      </c>
      <c r="BF223" s="55" t="s">
        <v>407</v>
      </c>
      <c r="BG223" s="55" t="s">
        <v>311</v>
      </c>
      <c r="BH223" s="36" t="s">
        <v>321</v>
      </c>
      <c r="BI223" s="1" t="s">
        <v>1041</v>
      </c>
      <c r="BJ223"/>
      <c r="BK223"/>
      <c r="BM223"/>
    </row>
    <row r="224" spans="22:65" x14ac:dyDescent="0.35">
      <c r="V224" s="1" t="str">
        <v>E TF PLUS GRAY1.7</v>
      </c>
      <c r="X224" s="1" t="str">
        <f t="shared" si="46"/>
        <v xml:space="preserve"> 3831 MVB N//A2 G</v>
      </c>
      <c r="Y224" s="1" t="str" cm="1">
        <f t="array" ref="Y224">IFERROR(VLOOKUP($X224,$AN:AO,COLUMN(AO:AO)-COLUMN($AN:$AN)+1,FALSE),"")</f>
        <v>RESUPRIME 3831 MVB MOISTURE EPOXY PRIMERN/A2 GAL</v>
      </c>
      <c r="Z224" s="63" cm="1">
        <f t="array" ref="Z224">IFERROR(VLOOKUP($X224,$AN:AP,COLUMN(AP:AP)-COLUMN($AN:$AN)+1,FALSE),"")</f>
        <v>135.36000000000001</v>
      </c>
      <c r="AA224" s="1" t="str" cm="1">
        <f t="array" ref="AA224">IFERROR(VLOOKUP($X224,$AN:AQ,COLUMN(AQ:AQ)-COLUMN($AN:$AN)+1,FALSE),"")</f>
        <v>2 GAL</v>
      </c>
      <c r="AC224" s="1" t="str" cm="1">
        <f t="array" ref="AC224">IFERROR(VLOOKUP($X224,$AN:AS,COLUMN(AS:AS)-COLUMN($AN:$AN)+1,FALSE),"")</f>
        <v>N/A</v>
      </c>
      <c r="AD224" s="1" t="s">
        <v>19</v>
      </c>
      <c r="AF224" s="1">
        <f>Table1[[#This Row],[C:C]]*1.1</f>
        <v>0</v>
      </c>
      <c r="AI224" s="1">
        <f>IFERROR(VLOOKUP(X224,#REF!,8,FALSE),0)</f>
        <v>0</v>
      </c>
      <c r="AN224" s="1" t="str">
        <f>PROD_ID_TABLE[[#This Row],[PROD ID]]</f>
        <v>3746 HIGH BLCK3 G</v>
      </c>
      <c r="AO224" s="1" t="str">
        <f t="shared" si="39"/>
        <v>RESUFLOR 3746 HIGH PERFORMANCE EPOXYBLACK3 GAL</v>
      </c>
      <c r="AP224" s="3">
        <f t="shared" si="40"/>
        <v>205.98</v>
      </c>
      <c r="AQ224" s="1" t="str">
        <f t="shared" si="41"/>
        <v>3 GAL</v>
      </c>
      <c r="AS224" s="1" t="str">
        <f t="shared" si="42"/>
        <v>BLACK</v>
      </c>
      <c r="AT224"/>
      <c r="AU224"/>
      <c r="AV224"/>
      <c r="AY224" t="str">
        <f t="shared" si="43"/>
        <v>3746 HIGH BLCK3 G</v>
      </c>
      <c r="AZ224" s="1" t="str">
        <f t="shared" si="44"/>
        <v xml:space="preserve">3746 HIGH </v>
      </c>
      <c r="BA224" t="str">
        <f t="shared" si="45"/>
        <v>BLCK</v>
      </c>
      <c r="BB224" s="1" t="str">
        <f t="shared" si="37"/>
        <v>3 G</v>
      </c>
      <c r="BC224" s="1">
        <f t="shared" si="38"/>
        <v>205.98</v>
      </c>
      <c r="BD224" s="62" t="s">
        <v>346</v>
      </c>
      <c r="BE224" s="55" t="s">
        <v>323</v>
      </c>
      <c r="BF224" s="55" t="s">
        <v>407</v>
      </c>
      <c r="BG224" s="55" t="s">
        <v>311</v>
      </c>
      <c r="BH224" s="36" t="s">
        <v>319</v>
      </c>
      <c r="BJ224"/>
      <c r="BK224"/>
      <c r="BM224"/>
    </row>
    <row r="225" spans="22:65" x14ac:dyDescent="0.35">
      <c r="V225" s="1" t="str">
        <v>E TF PLUS REED1.7</v>
      </c>
      <c r="X225" s="1" t="str">
        <f t="shared" si="46"/>
        <v xml:space="preserve"> 3831 MVB N//A10 </v>
      </c>
      <c r="Y225" s="1" t="str" cm="1">
        <f t="array" ref="Y225">IFERROR(VLOOKUP($X225,$AN:AO,COLUMN(AO:AO)-COLUMN($AN:$AN)+1,FALSE),"")</f>
        <v>RESUPRIME 3831 MVB MOISTURE EPOXY PRIMERN/A10 GAL</v>
      </c>
      <c r="Z225" s="63" cm="1">
        <f t="array" ref="Z225">IFERROR(VLOOKUP($X225,$AN:AP,COLUMN(AP:AP)-COLUMN($AN:$AN)+1,FALSE),"")</f>
        <v>641.47</v>
      </c>
      <c r="AA225" s="1" t="str" cm="1">
        <f t="array" ref="AA225">IFERROR(VLOOKUP($X225,$AN:AQ,COLUMN(AQ:AQ)-COLUMN($AN:$AN)+1,FALSE),"")</f>
        <v>10 GAL</v>
      </c>
      <c r="AC225" s="1" t="str" cm="1">
        <f t="array" ref="AC225">IFERROR(VLOOKUP($X225,$AN:AS,COLUMN(AS:AS)-COLUMN($AN:$AN)+1,FALSE),"")</f>
        <v>N/A</v>
      </c>
      <c r="AD225" s="1" t="s">
        <v>19</v>
      </c>
      <c r="AF225" s="1">
        <f>Table1[[#This Row],[C:C]]*1.1</f>
        <v>0</v>
      </c>
      <c r="AI225" s="1">
        <f>IFERROR(VLOOKUP(X225,#REF!,8,FALSE),0)</f>
        <v>0</v>
      </c>
      <c r="AN225" s="1" t="str">
        <f>PROD_ID_TABLE[[#This Row],[PROD ID]]</f>
        <v>3746 HIGH PANT3 G</v>
      </c>
      <c r="AO225" s="1" t="str">
        <f t="shared" si="39"/>
        <v>RESUFLOR 3746 HIGH PERFORMANCE EPOXYPARCHMENT3 GAL</v>
      </c>
      <c r="AP225" s="3">
        <f t="shared" si="40"/>
        <v>205.98</v>
      </c>
      <c r="AQ225" s="1" t="str">
        <f t="shared" si="41"/>
        <v>3 GAL</v>
      </c>
      <c r="AS225" s="1" t="str">
        <f t="shared" si="42"/>
        <v>PARCHMENT</v>
      </c>
      <c r="AT225"/>
      <c r="AU225"/>
      <c r="AV225"/>
      <c r="AY225" t="str">
        <f t="shared" si="43"/>
        <v>3746 HIGH PANT3 G</v>
      </c>
      <c r="AZ225" s="1" t="str">
        <f t="shared" si="44"/>
        <v xml:space="preserve">3746 HIGH </v>
      </c>
      <c r="BA225" t="str">
        <f t="shared" si="45"/>
        <v>PANT</v>
      </c>
      <c r="BB225" s="1" t="str">
        <f t="shared" si="37"/>
        <v>3 G</v>
      </c>
      <c r="BC225" s="1">
        <f t="shared" si="38"/>
        <v>205.98</v>
      </c>
      <c r="BD225" s="62" t="s">
        <v>346</v>
      </c>
      <c r="BE225" s="55" t="s">
        <v>324</v>
      </c>
      <c r="BF225" s="55" t="s">
        <v>407</v>
      </c>
      <c r="BG225" s="55" t="s">
        <v>311</v>
      </c>
      <c r="BH225" s="36" t="s">
        <v>330</v>
      </c>
      <c r="BJ225"/>
      <c r="BK225"/>
      <c r="BM225"/>
    </row>
    <row r="226" spans="22:65" x14ac:dyDescent="0.35">
      <c r="V226" s="1" t="str">
        <v>E TF PLUS BLUE0.4</v>
      </c>
      <c r="X226" s="1" t="str">
        <f t="shared" si="46"/>
        <v xml:space="preserve"> MVP EPOXYN//A3 G</v>
      </c>
      <c r="Y226" s="1" t="str" cm="1">
        <f t="array" ref="Y226">IFERROR(VLOOKUP($X226,$AN:AO,COLUMN(AO:AO)-COLUMN($AN:$AN)+1,FALSE),"")</f>
        <v>RESUPRIME MVP EPOXY PRIMERN/A3 GAL</v>
      </c>
      <c r="Z226" s="63" cm="1">
        <f t="array" ref="Z226">IFERROR(VLOOKUP($X226,$AN:AP,COLUMN(AP:AP)-COLUMN($AN:$AN)+1,FALSE),"")</f>
        <v>421.2</v>
      </c>
      <c r="AA226" s="1" t="str" cm="1">
        <f t="array" ref="AA226">IFERROR(VLOOKUP($X226,$AN:AQ,COLUMN(AQ:AQ)-COLUMN($AN:$AN)+1,FALSE),"")</f>
        <v>3 GAL</v>
      </c>
      <c r="AC226" s="1" t="str" cm="1">
        <f t="array" ref="AC226">IFERROR(VLOOKUP($X226,$AN:AS,COLUMN(AS:AS)-COLUMN($AN:$AN)+1,FALSE),"")</f>
        <v>N/A</v>
      </c>
      <c r="AD226" s="1" t="s">
        <v>19</v>
      </c>
      <c r="AF226" s="1">
        <f>Table1[[#This Row],[C:C]]*1.1</f>
        <v>0</v>
      </c>
      <c r="AI226" s="1">
        <f>IFERROR(VLOOKUP(X226,#REF!,8,FALSE),0)</f>
        <v>0</v>
      </c>
      <c r="AN226" s="1" t="str">
        <f>PROD_ID_TABLE[[#This Row],[PROD ID]]</f>
        <v>3746 HIGH SAED3 G</v>
      </c>
      <c r="AO226" s="1" t="str">
        <f t="shared" si="39"/>
        <v>RESUFLOR 3746 HIGH PERFORMANCE EPOXYSAFETY RED3 GAL</v>
      </c>
      <c r="AP226" s="3">
        <f t="shared" si="40"/>
        <v>205.98</v>
      </c>
      <c r="AQ226" s="1" t="str">
        <f t="shared" si="41"/>
        <v>3 GAL</v>
      </c>
      <c r="AS226" s="1" t="str">
        <f t="shared" si="42"/>
        <v>SAFETY RED</v>
      </c>
      <c r="AT226"/>
      <c r="AU226"/>
      <c r="AV226"/>
      <c r="AY226" t="str">
        <f t="shared" si="43"/>
        <v>3746 HIGH SAED3 G</v>
      </c>
      <c r="AZ226" s="1" t="str">
        <f t="shared" si="44"/>
        <v xml:space="preserve">3746 HIGH </v>
      </c>
      <c r="BA226" t="str">
        <f t="shared" si="45"/>
        <v>SAED</v>
      </c>
      <c r="BB226" s="1" t="str">
        <f t="shared" si="37"/>
        <v>3 G</v>
      </c>
      <c r="BC226" s="1">
        <f t="shared" si="38"/>
        <v>205.98</v>
      </c>
      <c r="BD226" s="62" t="s">
        <v>346</v>
      </c>
      <c r="BE226" s="55" t="s">
        <v>325</v>
      </c>
      <c r="BF226" s="55" t="s">
        <v>407</v>
      </c>
      <c r="BG226" s="55" t="s">
        <v>311</v>
      </c>
      <c r="BH226" s="36" t="s">
        <v>322</v>
      </c>
      <c r="BJ226"/>
      <c r="BK226"/>
      <c r="BM226"/>
    </row>
    <row r="227" spans="22:65" x14ac:dyDescent="0.35">
      <c r="V227" s="1" t="str">
        <v>E TF PLUS CHAL0.4</v>
      </c>
      <c r="X227" s="1" t="str">
        <f t="shared" si="46"/>
        <v xml:space="preserve"> MVP EPOXYN//A15 </v>
      </c>
      <c r="Y227" s="1" t="str" cm="1">
        <f t="array" ref="Y227">IFERROR(VLOOKUP($X227,$AN:AO,COLUMN(AO:AO)-COLUMN($AN:$AN)+1,FALSE),"")</f>
        <v>RESUPRIME MVP EPOXY PRIMERN/A15 GAL</v>
      </c>
      <c r="Z227" s="63" cm="1">
        <f t="array" ref="Z227">IFERROR(VLOOKUP($X227,$AN:AP,COLUMN(AP:AP)-COLUMN($AN:$AN)+1,FALSE),"")</f>
        <v>1787.3999999999999</v>
      </c>
      <c r="AA227" s="1" t="str" cm="1">
        <f t="array" ref="AA227">IFERROR(VLOOKUP($X227,$AN:AQ,COLUMN(AQ:AQ)-COLUMN($AN:$AN)+1,FALSE),"")</f>
        <v>15 GAL</v>
      </c>
      <c r="AC227" s="1" t="str" cm="1">
        <f t="array" ref="AC227">IFERROR(VLOOKUP($X227,$AN:AS,COLUMN(AS:AS)-COLUMN($AN:$AN)+1,FALSE),"")</f>
        <v>N/A</v>
      </c>
      <c r="AD227" s="1" t="s">
        <v>19</v>
      </c>
      <c r="AF227" s="1">
        <f>Table1[[#This Row],[C:C]]*1.1</f>
        <v>0</v>
      </c>
      <c r="AI227" s="1">
        <f>IFERROR(VLOOKUP(X227,#REF!,8,FALSE),0)</f>
        <v>0</v>
      </c>
      <c r="AN227" s="1" t="str">
        <f>PROD_ID_TABLE[[#This Row],[PROD ID]]</f>
        <v>3746 HIGH SAOW3 G</v>
      </c>
      <c r="AO227" s="1" t="str">
        <f t="shared" si="39"/>
        <v>RESUFLOR 3746 HIGH PERFORMANCE EPOXYSAFETY YELLOW3 GAL</v>
      </c>
      <c r="AP227" s="3">
        <f t="shared" si="40"/>
        <v>205.98</v>
      </c>
      <c r="AQ227" s="1" t="str">
        <f t="shared" si="41"/>
        <v>3 GAL</v>
      </c>
      <c r="AS227" s="1" t="str">
        <f t="shared" si="42"/>
        <v>SAFETY YELLOW</v>
      </c>
      <c r="AT227"/>
      <c r="AU227"/>
      <c r="AV227"/>
      <c r="AY227" t="str">
        <f t="shared" si="43"/>
        <v>3746 HIGH SAOW3 G</v>
      </c>
      <c r="AZ227" s="1" t="str">
        <f t="shared" si="44"/>
        <v xml:space="preserve">3746 HIGH </v>
      </c>
      <c r="BA227" t="str">
        <f t="shared" si="45"/>
        <v>SAOW</v>
      </c>
      <c r="BB227" s="1" t="str">
        <f t="shared" si="37"/>
        <v>3 G</v>
      </c>
      <c r="BC227" s="1">
        <f t="shared" si="38"/>
        <v>205.98</v>
      </c>
      <c r="BD227" s="62" t="s">
        <v>346</v>
      </c>
      <c r="BE227" s="55" t="s">
        <v>326</v>
      </c>
      <c r="BF227" s="55" t="s">
        <v>407</v>
      </c>
      <c r="BG227" s="55" t="s">
        <v>311</v>
      </c>
      <c r="BH227" s="36" t="s">
        <v>331</v>
      </c>
      <c r="BJ227"/>
      <c r="BK227"/>
      <c r="BM227"/>
    </row>
    <row r="228" spans="22:65" x14ac:dyDescent="0.35">
      <c r="V228" s="1" t="str">
        <v>E TF PLUS CHUT0.4</v>
      </c>
      <c r="X228" s="1" t="str">
        <f t="shared" si="46"/>
        <v xml:space="preserve"> 5531 OIL N//A1 Q</v>
      </c>
      <c r="Y228" s="1" t="str" cm="1">
        <f t="array" ref="Y228">IFERROR(VLOOKUP($X228,$AN:AO,COLUMN(AO:AO)-COLUMN($AN:$AN)+1,FALSE),"")</f>
        <v>RESUPRIME 5531 OIL STOP PRIMERN/A1 QT</v>
      </c>
      <c r="Z228" s="63" cm="1">
        <f t="array" ref="Z228">IFERROR(VLOOKUP($X228,$AN:AP,COLUMN(AP:AP)-COLUMN($AN:$AN)+1,FALSE),"")</f>
        <v>48.26</v>
      </c>
      <c r="AA228" s="1" t="str" cm="1">
        <f t="array" ref="AA228">IFERROR(VLOOKUP($X228,$AN:AQ,COLUMN(AQ:AQ)-COLUMN($AN:$AN)+1,FALSE),"")</f>
        <v>1 QT</v>
      </c>
      <c r="AC228" s="1" t="str" cm="1">
        <f t="array" ref="AC228">IFERROR(VLOOKUP($X228,$AN:AS,COLUMN(AS:AS)-COLUMN($AN:$AN)+1,FALSE),"")</f>
        <v>N/A</v>
      </c>
      <c r="AD228" s="1" t="s">
        <v>19</v>
      </c>
      <c r="AF228" s="1">
        <f>Table1[[#This Row],[C:C]]*1.1</f>
        <v>0</v>
      </c>
      <c r="AI228" s="1">
        <f>IFERROR(VLOOKUP(X228,#REF!,8,FALSE),0)</f>
        <v>0</v>
      </c>
      <c r="AN228" s="1" t="str">
        <f>PROD_ID_TABLE[[#This Row],[PROD ID]]</f>
        <v>3746 HIGH ROUE3 G</v>
      </c>
      <c r="AO228" s="1" t="str">
        <f t="shared" si="39"/>
        <v>RESUFLOR 3746 HIGH PERFORMANCE EPOXYROYAL BLUE3 GAL</v>
      </c>
      <c r="AP228" s="3">
        <f t="shared" si="40"/>
        <v>205.98</v>
      </c>
      <c r="AQ228" s="1" t="str">
        <f t="shared" si="41"/>
        <v>3 GAL</v>
      </c>
      <c r="AS228" s="1" t="str">
        <f t="shared" si="42"/>
        <v>ROYAL BLUE</v>
      </c>
      <c r="AT228"/>
      <c r="AU228"/>
      <c r="AV228"/>
      <c r="AY228" t="str">
        <f t="shared" si="43"/>
        <v>3746 HIGH ROUE3 G</v>
      </c>
      <c r="AZ228" s="1" t="str">
        <f t="shared" si="44"/>
        <v xml:space="preserve">3746 HIGH </v>
      </c>
      <c r="BA228" t="str">
        <f t="shared" si="45"/>
        <v>ROUE</v>
      </c>
      <c r="BB228" s="1" t="str">
        <f t="shared" si="37"/>
        <v>3 G</v>
      </c>
      <c r="BC228" s="1">
        <f t="shared" si="38"/>
        <v>205.98</v>
      </c>
      <c r="BD228" s="62" t="s">
        <v>346</v>
      </c>
      <c r="BE228" s="55" t="s">
        <v>428</v>
      </c>
      <c r="BF228" s="55" t="s">
        <v>407</v>
      </c>
      <c r="BG228" s="55" t="s">
        <v>311</v>
      </c>
      <c r="BH228" s="36"/>
      <c r="BJ228"/>
      <c r="BK228"/>
      <c r="BM228"/>
    </row>
    <row r="229" spans="22:65" x14ac:dyDescent="0.35">
      <c r="V229" s="1" t="str">
        <v>E TF PLUS COAY0.4</v>
      </c>
      <c r="X229" s="1" t="str">
        <f t="shared" si="46"/>
        <v xml:space="preserve"> 5531 OIL N//A5 G</v>
      </c>
      <c r="Y229" s="1" t="str" cm="1">
        <f t="array" ref="Y229">IFERROR(VLOOKUP($X229,$AN:AO,COLUMN(AO:AO)-COLUMN($AN:$AN)+1,FALSE),"")</f>
        <v>RESUPRIME 5531 OIL STOP PRIMERN/A5 GAL</v>
      </c>
      <c r="Z229" s="63" cm="1">
        <f t="array" ref="Z229">IFERROR(VLOOKUP($X229,$AN:AP,COLUMN(AP:AP)-COLUMN($AN:$AN)+1,FALSE),"")</f>
        <v>123</v>
      </c>
      <c r="AA229" s="1" t="str" cm="1">
        <f t="array" ref="AA229">IFERROR(VLOOKUP($X229,$AN:AQ,COLUMN(AQ:AQ)-COLUMN($AN:$AN)+1,FALSE),"")</f>
        <v>5 GAL</v>
      </c>
      <c r="AC229" s="1" t="str" cm="1">
        <f t="array" ref="AC229">IFERROR(VLOOKUP($X229,$AN:AS,COLUMN(AS:AS)-COLUMN($AN:$AN)+1,FALSE),"")</f>
        <v>N/A</v>
      </c>
      <c r="AD229" s="1" t="s">
        <v>19</v>
      </c>
      <c r="AF229" s="1">
        <f>Table1[[#This Row],[C:C]]*1.1</f>
        <v>0</v>
      </c>
      <c r="AI229" s="1">
        <f>IFERROR(VLOOKUP(X229,#REF!,8,FALSE),0)</f>
        <v>0</v>
      </c>
      <c r="AN229" s="1" t="str">
        <f>PROD_ID_TABLE[[#This Row],[PROD ID]]</f>
        <v>3746 HIGH PEER3 G</v>
      </c>
      <c r="AO229" s="1" t="str">
        <f t="shared" si="39"/>
        <v>RESUFLOR 3746 HIGH PERFORMANCE EPOXYPEWTER3 GAL</v>
      </c>
      <c r="AP229" s="3">
        <f t="shared" si="40"/>
        <v>205.98</v>
      </c>
      <c r="AQ229" s="1" t="str">
        <f t="shared" si="41"/>
        <v>3 GAL</v>
      </c>
      <c r="AS229" s="1" t="str">
        <f t="shared" si="42"/>
        <v>PEWTER</v>
      </c>
      <c r="AT229"/>
      <c r="AU229"/>
      <c r="AV229"/>
      <c r="AY229" t="str">
        <f t="shared" si="43"/>
        <v>3746 HIGH PEER3 G</v>
      </c>
      <c r="AZ229" s="1" t="str">
        <f t="shared" si="44"/>
        <v xml:space="preserve">3746 HIGH </v>
      </c>
      <c r="BA229" t="str">
        <f t="shared" si="45"/>
        <v>PEER</v>
      </c>
      <c r="BB229" s="1" t="str">
        <f t="shared" si="37"/>
        <v>3 G</v>
      </c>
      <c r="BC229" s="1">
        <f t="shared" si="38"/>
        <v>205.98</v>
      </c>
      <c r="BD229" s="62" t="s">
        <v>346</v>
      </c>
      <c r="BE229" s="55" t="s">
        <v>327</v>
      </c>
      <c r="BF229" s="55" t="s">
        <v>407</v>
      </c>
      <c r="BG229" s="55" t="s">
        <v>311</v>
      </c>
      <c r="BH229" s="36"/>
      <c r="BJ229"/>
      <c r="BK229"/>
      <c r="BM229"/>
    </row>
    <row r="230" spans="22:65" ht="15" thickBot="1" x14ac:dyDescent="0.4">
      <c r="V230" s="1" t="str">
        <v>E TF PLUS DAAY0.4</v>
      </c>
      <c r="X230" s="1" t="str">
        <f t="shared" si="46"/>
        <v>E TF PLUS BLUE1.7</v>
      </c>
      <c r="Y230" s="1" t="str" cm="1">
        <f t="array" ref="Y230">IFERROR(VLOOKUP($X230,$AN:AO,COLUMN(AO:AO)-COLUMN($AN:$AN)+1,FALSE),"")</f>
        <v>POLY-CRETE TF PLUS PRIMER/TOPCOATBLUEKIT</v>
      </c>
      <c r="Z230" s="63" cm="1">
        <f t="array" ref="Z230">IFERROR(VLOOKUP($X230,$AN:AP,COLUMN(AP:AP)-COLUMN($AN:$AN)+1,FALSE),"")</f>
        <v>53.55</v>
      </c>
      <c r="AA230" s="1" t="str" cm="1">
        <f t="array" ref="AA230">IFERROR(VLOOKUP($X230,$AN:AQ,COLUMN(AQ:AQ)-COLUMN($AN:$AN)+1,FALSE),"")</f>
        <v>KIT</v>
      </c>
      <c r="AC230" s="1" t="str" cm="1">
        <f t="array" ref="AC230">IFERROR(VLOOKUP($X230,$AN:AS,COLUMN(AS:AS)-COLUMN($AN:$AN)+1,FALSE),"")</f>
        <v>BLUE</v>
      </c>
      <c r="AD230" s="1" t="s">
        <v>19</v>
      </c>
      <c r="AF230" s="1">
        <f>Table1[[#This Row],[C:C]]*1.1</f>
        <v>0</v>
      </c>
      <c r="AI230" s="1">
        <f>IFERROR(VLOOKUP(X230,#REF!,8,FALSE),0)</f>
        <v>0</v>
      </c>
      <c r="AN230" s="1" t="str">
        <f>PROD_ID_TABLE[[#This Row],[PROD ID]]</f>
        <v>3746 HIGH CLLE3 G</v>
      </c>
      <c r="AO230" s="1" t="str">
        <f t="shared" si="39"/>
        <v>RESUFLOR 3746 HIGH PERFORMANCE EPOXYCLASIC RED TILE3 GAL</v>
      </c>
      <c r="AP230" s="3">
        <f t="shared" si="40"/>
        <v>205.98</v>
      </c>
      <c r="AQ230" s="1" t="str">
        <f t="shared" si="41"/>
        <v>3 GAL</v>
      </c>
      <c r="AS230" s="1" t="str">
        <f t="shared" si="42"/>
        <v>CLASIC RED TILE</v>
      </c>
      <c r="AT230"/>
      <c r="AU230"/>
      <c r="AV230"/>
      <c r="AY230" t="str">
        <f t="shared" si="43"/>
        <v>3746 HIGH CLLE3 G</v>
      </c>
      <c r="AZ230" s="1" t="str">
        <f t="shared" si="44"/>
        <v xml:space="preserve">3746 HIGH </v>
      </c>
      <c r="BA230" t="str">
        <f t="shared" si="45"/>
        <v>CLLE</v>
      </c>
      <c r="BB230" s="1" t="str">
        <f t="shared" si="37"/>
        <v>3 G</v>
      </c>
      <c r="BC230" s="1">
        <f t="shared" si="38"/>
        <v>205.98</v>
      </c>
      <c r="BD230" s="62" t="s">
        <v>346</v>
      </c>
      <c r="BE230" s="55" t="s">
        <v>328</v>
      </c>
      <c r="BF230" s="55" t="s">
        <v>407</v>
      </c>
      <c r="BG230" s="55" t="s">
        <v>311</v>
      </c>
      <c r="BH230" s="37"/>
      <c r="BJ230"/>
      <c r="BK230"/>
      <c r="BM230"/>
    </row>
    <row r="231" spans="22:65" x14ac:dyDescent="0.35">
      <c r="V231" s="1" t="str">
        <v>E TF PLUS GREN0.4</v>
      </c>
      <c r="X231" s="1" t="str">
        <f t="shared" si="46"/>
        <v>E TF PLUS CHAL1.7</v>
      </c>
      <c r="Y231" s="1" t="str" cm="1">
        <f t="array" ref="Y231">IFERROR(VLOOKUP($X231,$AN:AO,COLUMN(AO:AO)-COLUMN($AN:$AN)+1,FALSE),"")</f>
        <v>POLY-CRETE TF PLUS PRIMER/TOPCOATCHARCOALKIT</v>
      </c>
      <c r="Z231" s="63" cm="1">
        <f t="array" ref="Z231">IFERROR(VLOOKUP($X231,$AN:AP,COLUMN(AP:AP)-COLUMN($AN:$AN)+1,FALSE),"")</f>
        <v>53.55</v>
      </c>
      <c r="AA231" s="1" t="str" cm="1">
        <f t="array" ref="AA231">IFERROR(VLOOKUP($X231,$AN:AQ,COLUMN(AQ:AQ)-COLUMN($AN:$AN)+1,FALSE),"")</f>
        <v>KIT</v>
      </c>
      <c r="AC231" s="1" t="str" cm="1">
        <f t="array" ref="AC231">IFERROR(VLOOKUP($X231,$AN:AS,COLUMN(AS:AS)-COLUMN($AN:$AN)+1,FALSE),"")</f>
        <v>CHARCOAL</v>
      </c>
      <c r="AD231" s="1" t="s">
        <v>19</v>
      </c>
      <c r="AF231" s="1">
        <f>Table1[[#This Row],[C:C]]*1.1</f>
        <v>0</v>
      </c>
      <c r="AI231" s="1">
        <f>IFERROR(VLOOKUP(X231,#REF!,8,FALSE),0)</f>
        <v>0</v>
      </c>
      <c r="AN231" s="1" t="str">
        <f>PROD_ID_TABLE[[#This Row],[PROD ID]]</f>
        <v>3746 HIGH CAEL3 G</v>
      </c>
      <c r="AO231" s="1" t="str">
        <f t="shared" si="39"/>
        <v>RESUFLOR 3746 HIGH PERFORMANCE EPOXYCARAMEL3 GAL</v>
      </c>
      <c r="AP231" s="3">
        <f t="shared" si="40"/>
        <v>205.98</v>
      </c>
      <c r="AQ231" s="1" t="str">
        <f t="shared" si="41"/>
        <v>3 GAL</v>
      </c>
      <c r="AS231" s="1" t="str">
        <f t="shared" si="42"/>
        <v>CARAMEL</v>
      </c>
      <c r="AT231"/>
      <c r="AU231"/>
      <c r="AV231"/>
      <c r="AY231" t="str">
        <f t="shared" si="43"/>
        <v>3746 HIGH CAEL3 G</v>
      </c>
      <c r="AZ231" s="1" t="str">
        <f t="shared" si="44"/>
        <v xml:space="preserve">3746 HIGH </v>
      </c>
      <c r="BA231" t="str">
        <f t="shared" si="45"/>
        <v>CAEL</v>
      </c>
      <c r="BB231" s="1" t="str">
        <f t="shared" si="37"/>
        <v>3 G</v>
      </c>
      <c r="BC231" s="1">
        <f t="shared" si="38"/>
        <v>205.98</v>
      </c>
      <c r="BD231" s="62" t="s">
        <v>346</v>
      </c>
      <c r="BE231" s="55" t="s">
        <v>329</v>
      </c>
      <c r="BF231" s="55" t="s">
        <v>407</v>
      </c>
      <c r="BG231" s="55" t="s">
        <v>311</v>
      </c>
      <c r="BH231" s="36" t="s">
        <v>421</v>
      </c>
      <c r="BJ231"/>
      <c r="BK231"/>
      <c r="BM231"/>
    </row>
    <row r="232" spans="22:65" x14ac:dyDescent="0.35">
      <c r="V232" s="1" t="str">
        <v>E TF PLUS GRAY0.4</v>
      </c>
      <c r="X232" s="1" t="str">
        <f t="shared" si="46"/>
        <v>E TF PLUS CHUT1.7</v>
      </c>
      <c r="Y232" s="1" t="str" cm="1">
        <f t="array" ref="Y232">IFERROR(VLOOKUP($X232,$AN:AO,COLUMN(AO:AO)-COLUMN($AN:$AN)+1,FALSE),"")</f>
        <v>POLY-CRETE TF PLUS PRIMER/TOPCOATCHESTNUTKIT</v>
      </c>
      <c r="Z232" s="63" cm="1">
        <f t="array" ref="Z232">IFERROR(VLOOKUP($X232,$AN:AP,COLUMN(AP:AP)-COLUMN($AN:$AN)+1,FALSE),"")</f>
        <v>53.55</v>
      </c>
      <c r="AA232" s="1" t="str" cm="1">
        <f t="array" ref="AA232">IFERROR(VLOOKUP($X232,$AN:AQ,COLUMN(AQ:AQ)-COLUMN($AN:$AN)+1,FALSE),"")</f>
        <v>KIT</v>
      </c>
      <c r="AC232" s="1" t="str" cm="1">
        <f t="array" ref="AC232">IFERROR(VLOOKUP($X232,$AN:AS,COLUMN(AS:AS)-COLUMN($AN:$AN)+1,FALSE),"")</f>
        <v>CHESTNUT</v>
      </c>
      <c r="AD232" s="1" t="s">
        <v>19</v>
      </c>
      <c r="AF232" s="1">
        <f>Table1[[#This Row],[C:C]]*1.1</f>
        <v>0</v>
      </c>
      <c r="AI232" s="1">
        <f>IFERROR(VLOOKUP(X232,#REF!,8,FALSE),0)</f>
        <v>0</v>
      </c>
      <c r="AN232" s="1" t="str">
        <f>PROD_ID_TABLE[[#This Row],[PROD ID]]</f>
        <v>3746 HIGH ULSE3 G</v>
      </c>
      <c r="AO232" s="1" t="str">
        <f t="shared" si="39"/>
        <v>RESUFLOR 3746 HIGH PERFORMANCE EPOXYULTRA DEEP BASE3 GAL</v>
      </c>
      <c r="AP232" s="3">
        <f t="shared" si="40"/>
        <v>205.98</v>
      </c>
      <c r="AQ232" s="1" t="str">
        <f t="shared" si="41"/>
        <v>3 GAL</v>
      </c>
      <c r="AS232" s="1" t="str">
        <f t="shared" si="42"/>
        <v>ULTRA DEEP BASE</v>
      </c>
      <c r="AT232"/>
      <c r="AU232"/>
      <c r="AV232"/>
      <c r="AY232" t="str">
        <f t="shared" si="43"/>
        <v>3746 HIGH ULSE3 G</v>
      </c>
      <c r="AZ232" s="1" t="str">
        <f t="shared" si="44"/>
        <v xml:space="preserve">3746 HIGH </v>
      </c>
      <c r="BA232" t="str">
        <f t="shared" si="45"/>
        <v>ULSE</v>
      </c>
      <c r="BB232" s="1" t="str">
        <f t="shared" si="37"/>
        <v>3 G</v>
      </c>
      <c r="BC232" s="1">
        <f t="shared" si="38"/>
        <v>205.98</v>
      </c>
      <c r="BD232" s="62" t="s">
        <v>346</v>
      </c>
      <c r="BE232" s="55" t="s">
        <v>330</v>
      </c>
      <c r="BF232" s="55" t="s">
        <v>407</v>
      </c>
      <c r="BG232" s="55" t="s">
        <v>311</v>
      </c>
      <c r="BH232" s="36" t="s">
        <v>422</v>
      </c>
      <c r="BJ232"/>
      <c r="BK232"/>
      <c r="BM232"/>
    </row>
    <row r="233" spans="22:65" x14ac:dyDescent="0.35">
      <c r="V233" s="1" t="str">
        <v>E TF PLUS REED0.4</v>
      </c>
      <c r="X233" s="1" t="str">
        <f t="shared" si="46"/>
        <v>E TF PLUS COAY1.7</v>
      </c>
      <c r="Y233" s="1" t="str" cm="1">
        <f t="array" ref="Y233">IFERROR(VLOOKUP($X233,$AN:AO,COLUMN(AO:AO)-COLUMN($AN:$AN)+1,FALSE),"")</f>
        <v>POLY-CRETE TF PLUS PRIMER/TOPCOATCONCRETE GRAYKIT</v>
      </c>
      <c r="Z233" s="63" cm="1">
        <f t="array" ref="Z233">IFERROR(VLOOKUP($X233,$AN:AP,COLUMN(AP:AP)-COLUMN($AN:$AN)+1,FALSE),"")</f>
        <v>53.55</v>
      </c>
      <c r="AA233" s="1" t="str" cm="1">
        <f t="array" ref="AA233">IFERROR(VLOOKUP($X233,$AN:AQ,COLUMN(AQ:AQ)-COLUMN($AN:$AN)+1,FALSE),"")</f>
        <v>KIT</v>
      </c>
      <c r="AC233" s="1" t="str" cm="1">
        <f t="array" ref="AC233">IFERROR(VLOOKUP($X233,$AN:AS,COLUMN(AS:AS)-COLUMN($AN:$AN)+1,FALSE),"")</f>
        <v>CONCRETE GRAY</v>
      </c>
      <c r="AD233" s="1" t="s">
        <v>19</v>
      </c>
      <c r="AF233" s="1">
        <f>Table1[[#This Row],[C:C]]*1.1</f>
        <v>0</v>
      </c>
      <c r="AI233" s="1">
        <f>IFERROR(VLOOKUP(X233,#REF!,8,FALSE),0)</f>
        <v>0</v>
      </c>
      <c r="AN233" s="1" t="str">
        <f>PROD_ID_TABLE[[#This Row],[PROD ID]]</f>
        <v>3746 HIGH WHSE3 G</v>
      </c>
      <c r="AO233" s="1" t="str">
        <f t="shared" si="39"/>
        <v>RESUFLOR 3746 HIGH PERFORMANCE EPOXYWHITE TINT BASE3 GAL</v>
      </c>
      <c r="AP233" s="3">
        <f t="shared" si="40"/>
        <v>205.98</v>
      </c>
      <c r="AQ233" s="1" t="str">
        <f t="shared" si="41"/>
        <v>3 GAL</v>
      </c>
      <c r="AS233" s="1" t="str">
        <f t="shared" si="42"/>
        <v>WHITE TINT BASE</v>
      </c>
      <c r="AT233"/>
      <c r="AU233"/>
      <c r="AV233"/>
      <c r="AY233" t="str">
        <f t="shared" si="43"/>
        <v>3746 HIGH WHSE3 G</v>
      </c>
      <c r="AZ233" s="1" t="str">
        <f t="shared" si="44"/>
        <v xml:space="preserve">3746 HIGH </v>
      </c>
      <c r="BA233" t="str">
        <f t="shared" si="45"/>
        <v>WHSE</v>
      </c>
      <c r="BB233" s="1" t="str">
        <f t="shared" si="37"/>
        <v>3 G</v>
      </c>
      <c r="BC233" s="1">
        <f t="shared" si="38"/>
        <v>205.98</v>
      </c>
      <c r="BD233" s="62" t="s">
        <v>346</v>
      </c>
      <c r="BE233" s="55" t="s">
        <v>331</v>
      </c>
      <c r="BF233" s="55" t="s">
        <v>407</v>
      </c>
      <c r="BG233" s="55" t="s">
        <v>311</v>
      </c>
      <c r="BH233" s="36" t="s">
        <v>407</v>
      </c>
      <c r="BJ233"/>
      <c r="BK233"/>
      <c r="BM233"/>
    </row>
    <row r="234" spans="22:65" x14ac:dyDescent="0.35">
      <c r="V234" s="1" t="str">
        <v>E SL HS SEBLUEKIT</v>
      </c>
      <c r="X234" s="1" t="str">
        <f t="shared" si="46"/>
        <v>E TF PLUS DAAY1.7</v>
      </c>
      <c r="Y234" s="1" t="str" cm="1">
        <f t="array" ref="Y234">IFERROR(VLOOKUP($X234,$AN:AO,COLUMN(AO:AO)-COLUMN($AN:$AN)+1,FALSE),"")</f>
        <v>POLY-CRETE TF PLUS PRIMER/TOPCOATDARK GRAYKIT</v>
      </c>
      <c r="Z234" s="63" cm="1">
        <f t="array" ref="Z234">IFERROR(VLOOKUP($X234,$AN:AP,COLUMN(AP:AP)-COLUMN($AN:$AN)+1,FALSE),"")</f>
        <v>53.55</v>
      </c>
      <c r="AA234" s="1" t="str" cm="1">
        <f t="array" ref="AA234">IFERROR(VLOOKUP($X234,$AN:AQ,COLUMN(AQ:AQ)-COLUMN($AN:$AN)+1,FALSE),"")</f>
        <v>KIT</v>
      </c>
      <c r="AC234" s="1" t="str" cm="1">
        <f t="array" ref="AC234">IFERROR(VLOOKUP($X234,$AN:AS,COLUMN(AS:AS)-COLUMN($AN:$AN)+1,FALSE),"")</f>
        <v>DARK GRAY</v>
      </c>
      <c r="AD234" s="1" t="s">
        <v>19</v>
      </c>
      <c r="AF234" s="1">
        <f>Table1[[#This Row],[C:C]]*1.1</f>
        <v>0</v>
      </c>
      <c r="AI234" s="1">
        <f>IFERROR(VLOOKUP(X234,#REF!,8,FALSE),0)</f>
        <v>0</v>
      </c>
      <c r="AN234" s="1" t="str">
        <f>PROD_ID_TABLE[[#This Row],[PROD ID]]</f>
        <v xml:space="preserve">3746 HIGH CLAR15 </v>
      </c>
      <c r="AO234" s="1" t="str">
        <f t="shared" si="39"/>
        <v>RESUFLOR 3746 HIGH PERFORMANCE EPOXYCLEAR15 GAL</v>
      </c>
      <c r="AP234" s="3">
        <f t="shared" si="40"/>
        <v>982.21</v>
      </c>
      <c r="AQ234" s="1" t="str">
        <f t="shared" si="41"/>
        <v>15 GAL</v>
      </c>
      <c r="AS234" s="1" t="str">
        <f t="shared" si="42"/>
        <v>CLEAR</v>
      </c>
      <c r="AT234"/>
      <c r="AU234"/>
      <c r="AV234"/>
      <c r="AY234" t="str">
        <f t="shared" si="43"/>
        <v xml:space="preserve">3746 HIGH CLAR15 </v>
      </c>
      <c r="AZ234" s="1" t="str">
        <f t="shared" si="44"/>
        <v xml:space="preserve">3746 HIGH </v>
      </c>
      <c r="BA234" t="str">
        <f t="shared" si="45"/>
        <v>CLAR</v>
      </c>
      <c r="BB234" s="1" t="str">
        <f t="shared" si="37"/>
        <v xml:space="preserve">15 </v>
      </c>
      <c r="BC234" s="1">
        <f t="shared" si="38"/>
        <v>982.21</v>
      </c>
      <c r="BD234" s="62" t="s">
        <v>346</v>
      </c>
      <c r="BE234" s="55" t="s">
        <v>315</v>
      </c>
      <c r="BF234" s="55" t="s">
        <v>408</v>
      </c>
      <c r="BG234" s="55" t="s">
        <v>311</v>
      </c>
      <c r="BH234" s="36" t="s">
        <v>408</v>
      </c>
      <c r="BJ234"/>
      <c r="BK234"/>
      <c r="BM234"/>
    </row>
    <row r="235" spans="22:65" x14ac:dyDescent="0.35">
      <c r="V235" s="1" t="str">
        <v>E SL HS SECHALKIT</v>
      </c>
      <c r="X235" s="1" t="str">
        <f t="shared" si="46"/>
        <v>E TF PLUS GREN1.7</v>
      </c>
      <c r="Y235" s="1" t="str" cm="1">
        <f t="array" ref="Y235">IFERROR(VLOOKUP($X235,$AN:AO,COLUMN(AO:AO)-COLUMN($AN:$AN)+1,FALSE),"")</f>
        <v>POLY-CRETE TF PLUS PRIMER/TOPCOATGREENKIT</v>
      </c>
      <c r="Z235" s="63" cm="1">
        <f t="array" ref="Z235">IFERROR(VLOOKUP($X235,$AN:AP,COLUMN(AP:AP)-COLUMN($AN:$AN)+1,FALSE),"")</f>
        <v>53.55</v>
      </c>
      <c r="AA235" s="1" t="str" cm="1">
        <f t="array" ref="AA235">IFERROR(VLOOKUP($X235,$AN:AQ,COLUMN(AQ:AQ)-COLUMN($AN:$AN)+1,FALSE),"")</f>
        <v>KIT</v>
      </c>
      <c r="AC235" s="1" t="str" cm="1">
        <f t="array" ref="AC235">IFERROR(VLOOKUP($X235,$AN:AS,COLUMN(AS:AS)-COLUMN($AN:$AN)+1,FALSE),"")</f>
        <v>GREEN</v>
      </c>
      <c r="AD235" s="1" t="s">
        <v>19</v>
      </c>
      <c r="AF235" s="1">
        <f>Table1[[#This Row],[C:C]]*1.1</f>
        <v>0</v>
      </c>
      <c r="AI235" s="1">
        <f>IFERROR(VLOOKUP(X235,#REF!,8,FALSE),0)</f>
        <v>0</v>
      </c>
      <c r="AN235" s="1" t="str">
        <f>PROD_ID_TABLE[[#This Row],[PROD ID]]</f>
        <v xml:space="preserve">3746 HIGH CUOM15 </v>
      </c>
      <c r="AO235" s="1" t="str">
        <f t="shared" si="39"/>
        <v>RESUFLOR 3746 HIGH PERFORMANCE EPOXYCUSTOM15 GAL</v>
      </c>
      <c r="AP235" s="3">
        <f t="shared" si="40"/>
        <v>982.21</v>
      </c>
      <c r="AQ235" s="1" t="str">
        <f t="shared" si="41"/>
        <v>15 GAL</v>
      </c>
      <c r="AS235" s="1" t="str">
        <f t="shared" si="42"/>
        <v>CUSTOM</v>
      </c>
      <c r="AT235"/>
      <c r="AU235"/>
      <c r="AV235"/>
      <c r="AY235" t="str">
        <f t="shared" si="43"/>
        <v xml:space="preserve">3746 HIGH CUOM15 </v>
      </c>
      <c r="AZ235" s="1" t="str">
        <f t="shared" si="44"/>
        <v xml:space="preserve">3746 HIGH </v>
      </c>
      <c r="BA235" t="str">
        <f t="shared" si="45"/>
        <v>CUOM</v>
      </c>
      <c r="BB235" s="1" t="str">
        <f t="shared" si="37"/>
        <v xml:space="preserve">15 </v>
      </c>
      <c r="BC235" s="1">
        <f t="shared" si="38"/>
        <v>982.21</v>
      </c>
      <c r="BD235" s="62" t="s">
        <v>346</v>
      </c>
      <c r="BE235" s="55" t="s">
        <v>316</v>
      </c>
      <c r="BF235" s="55" t="s">
        <v>408</v>
      </c>
      <c r="BG235" s="55" t="s">
        <v>311</v>
      </c>
      <c r="BH235" s="36" t="s">
        <v>1039</v>
      </c>
      <c r="BJ235"/>
      <c r="BK235"/>
      <c r="BM235"/>
    </row>
    <row r="236" spans="22:65" x14ac:dyDescent="0.35">
      <c r="V236" s="1" t="str">
        <v>E SL HS SECHUTKIT</v>
      </c>
      <c r="X236" s="1" t="str">
        <f t="shared" si="46"/>
        <v>E TF PLUS GRAY1.7</v>
      </c>
      <c r="Y236" s="1" t="str" cm="1">
        <f t="array" ref="Y236">IFERROR(VLOOKUP($X236,$AN:AO,COLUMN(AO:AO)-COLUMN($AN:$AN)+1,FALSE),"")</f>
        <v>POLY-CRETE TF PLUS PRIMER/TOPCOATGRAYKIT</v>
      </c>
      <c r="Z236" s="63" cm="1">
        <f t="array" ref="Z236">IFERROR(VLOOKUP($X236,$AN:AP,COLUMN(AP:AP)-COLUMN($AN:$AN)+1,FALSE),"")</f>
        <v>53.55</v>
      </c>
      <c r="AA236" s="1" t="str" cm="1">
        <f t="array" ref="AA236">IFERROR(VLOOKUP($X236,$AN:AQ,COLUMN(AQ:AQ)-COLUMN($AN:$AN)+1,FALSE),"")</f>
        <v>KIT</v>
      </c>
      <c r="AC236" s="1" t="str" cm="1">
        <f t="array" ref="AC236">IFERROR(VLOOKUP($X236,$AN:AS,COLUMN(AS:AS)-COLUMN($AN:$AN)+1,FALSE),"")</f>
        <v>GRAY</v>
      </c>
      <c r="AD236" s="1" t="s">
        <v>19</v>
      </c>
      <c r="AF236" s="1">
        <f>Table1[[#This Row],[C:C]]*1.1</f>
        <v>0</v>
      </c>
      <c r="AI236" s="1">
        <f>IFERROR(VLOOKUP(X236,#REF!,8,FALSE),0)</f>
        <v>0</v>
      </c>
      <c r="AN236" s="1" t="str">
        <f>PROD_ID_TABLE[[#This Row],[PROD ID]]</f>
        <v xml:space="preserve">3746 HIGH WHTE15 </v>
      </c>
      <c r="AO236" s="1" t="str">
        <f t="shared" si="39"/>
        <v>RESUFLOR 3746 HIGH PERFORMANCE EPOXYWHITE15 GAL</v>
      </c>
      <c r="AP236" s="3">
        <f t="shared" si="40"/>
        <v>982.21</v>
      </c>
      <c r="AQ236" s="1" t="str">
        <f t="shared" si="41"/>
        <v>15 GAL</v>
      </c>
      <c r="AS236" s="1" t="str">
        <f t="shared" si="42"/>
        <v>WHITE</v>
      </c>
      <c r="AT236"/>
      <c r="AU236"/>
      <c r="AV236"/>
      <c r="AY236" t="str">
        <f t="shared" si="43"/>
        <v xml:space="preserve">3746 HIGH WHTE15 </v>
      </c>
      <c r="AZ236" s="1" t="str">
        <f t="shared" si="44"/>
        <v xml:space="preserve">3746 HIGH </v>
      </c>
      <c r="BA236" t="str">
        <f t="shared" si="45"/>
        <v>WHTE</v>
      </c>
      <c r="BB236" s="1" t="str">
        <f t="shared" si="37"/>
        <v xml:space="preserve">15 </v>
      </c>
      <c r="BC236" s="1">
        <f t="shared" si="38"/>
        <v>982.21</v>
      </c>
      <c r="BD236" s="62" t="s">
        <v>346</v>
      </c>
      <c r="BE236" s="55" t="s">
        <v>322</v>
      </c>
      <c r="BF236" s="55" t="s">
        <v>408</v>
      </c>
      <c r="BG236" s="55" t="s">
        <v>311</v>
      </c>
      <c r="BH236" s="36"/>
      <c r="BJ236"/>
      <c r="BK236"/>
      <c r="BM236"/>
    </row>
    <row r="237" spans="22:65" x14ac:dyDescent="0.35">
      <c r="V237" s="1" t="str">
        <v>E SL HS SECOAYKIT</v>
      </c>
      <c r="X237" s="1" t="str">
        <f t="shared" si="46"/>
        <v>E TF PLUS REED1.7</v>
      </c>
      <c r="Y237" s="1" t="str" cm="1">
        <f t="array" ref="Y237">IFERROR(VLOOKUP($X237,$AN:AO,COLUMN(AO:AO)-COLUMN($AN:$AN)+1,FALSE),"")</f>
        <v>POLY-CRETE TF PLUS PRIMER/TOPCOATREDKIT</v>
      </c>
      <c r="Z237" s="63" cm="1">
        <f t="array" ref="Z237">IFERROR(VLOOKUP($X237,$AN:AP,COLUMN(AP:AP)-COLUMN($AN:$AN)+1,FALSE),"")</f>
        <v>53.55</v>
      </c>
      <c r="AA237" s="1" t="str" cm="1">
        <f t="array" ref="AA237">IFERROR(VLOOKUP($X237,$AN:AQ,COLUMN(AQ:AQ)-COLUMN($AN:$AN)+1,FALSE),"")</f>
        <v>KIT</v>
      </c>
      <c r="AC237" s="1" t="str" cm="1">
        <f t="array" ref="AC237">IFERROR(VLOOKUP($X237,$AN:AS,COLUMN(AS:AS)-COLUMN($AN:$AN)+1,FALSE),"")</f>
        <v>RED</v>
      </c>
      <c r="AD237" s="1" t="s">
        <v>19</v>
      </c>
      <c r="AF237" s="1">
        <f>Table1[[#This Row],[C:C]]*1.1</f>
        <v>0</v>
      </c>
      <c r="AI237" s="1">
        <f>IFERROR(VLOOKUP(X237,#REF!,8,FALSE),0)</f>
        <v>0</v>
      </c>
      <c r="AN237" s="1" t="str">
        <f>PROD_ID_TABLE[[#This Row],[PROD ID]]</f>
        <v xml:space="preserve">3746 HIGH GRAY15 </v>
      </c>
      <c r="AO237" s="1" t="str">
        <f t="shared" si="39"/>
        <v>RESUFLOR 3746 HIGH PERFORMANCE EPOXYGRAY15 GAL</v>
      </c>
      <c r="AP237" s="3">
        <f t="shared" si="40"/>
        <v>982.21</v>
      </c>
      <c r="AQ237" s="1" t="str">
        <f t="shared" si="41"/>
        <v>15 GAL</v>
      </c>
      <c r="AS237" s="1" t="str">
        <f t="shared" si="42"/>
        <v>GRAY</v>
      </c>
      <c r="AT237"/>
      <c r="AU237"/>
      <c r="AV237"/>
      <c r="AY237" t="str">
        <f t="shared" si="43"/>
        <v xml:space="preserve">3746 HIGH GRAY15 </v>
      </c>
      <c r="AZ237" s="1" t="str">
        <f t="shared" si="44"/>
        <v xml:space="preserve">3746 HIGH </v>
      </c>
      <c r="BA237" t="str">
        <f t="shared" si="45"/>
        <v>GRAY</v>
      </c>
      <c r="BB237" s="1" t="str">
        <f t="shared" si="37"/>
        <v xml:space="preserve">15 </v>
      </c>
      <c r="BC237" s="1">
        <f t="shared" si="38"/>
        <v>982.21</v>
      </c>
      <c r="BD237" s="62" t="s">
        <v>346</v>
      </c>
      <c r="BE237" s="55" t="s">
        <v>317</v>
      </c>
      <c r="BF237" s="55" t="s">
        <v>408</v>
      </c>
      <c r="BG237" s="55" t="s">
        <v>311</v>
      </c>
      <c r="BH237" s="36"/>
      <c r="BJ237"/>
      <c r="BK237"/>
      <c r="BM237"/>
    </row>
    <row r="238" spans="22:65" ht="15" thickBot="1" x14ac:dyDescent="0.4">
      <c r="V238" s="1" t="str">
        <v>E SL HS SEDAAYKIT</v>
      </c>
      <c r="X238" s="1" t="str">
        <f t="shared" si="46"/>
        <v>E TF PLUS BLUE0.4</v>
      </c>
      <c r="Y238" s="1" t="str" cm="1">
        <f t="array" ref="Y238">IFERROR(VLOOKUP($X238,$AN:AO,COLUMN(AO:AO)-COLUMN($AN:$AN)+1,FALSE),"")</f>
        <v>POLY-CRETE TF PLUS PRIMER/TOPCOATBLUEKIT</v>
      </c>
      <c r="Z238" s="63" cm="1">
        <f t="array" ref="Z238">IFERROR(VLOOKUP($X238,$AN:AP,COLUMN(AP:AP)-COLUMN($AN:$AN)+1,FALSE),"")</f>
        <v>53.55</v>
      </c>
      <c r="AA238" s="1" t="str" cm="1">
        <f t="array" ref="AA238">IFERROR(VLOOKUP($X238,$AN:AQ,COLUMN(AQ:AQ)-COLUMN($AN:$AN)+1,FALSE),"")</f>
        <v>KIT</v>
      </c>
      <c r="AC238" s="1" t="str" cm="1">
        <f t="array" ref="AC238">IFERROR(VLOOKUP($X238,$AN:AS,COLUMN(AS:AS)-COLUMN($AN:$AN)+1,FALSE),"")</f>
        <v>BLUE</v>
      </c>
      <c r="AD238" s="1" t="s">
        <v>19</v>
      </c>
      <c r="AF238" s="1">
        <f>Table1[[#This Row],[C:C]]*1.1</f>
        <v>0</v>
      </c>
      <c r="AI238" s="1">
        <f>IFERROR(VLOOKUP(X238,#REF!,8,FALSE),0)</f>
        <v>0</v>
      </c>
      <c r="AN238" s="1" t="str">
        <f>PROD_ID_TABLE[[#This Row],[PROD ID]]</f>
        <v xml:space="preserve">3746 HIGH MEAY15 </v>
      </c>
      <c r="AO238" s="1" t="str">
        <f t="shared" si="39"/>
        <v>RESUFLOR 3746 HIGH PERFORMANCE EPOXYMEDIUM GRAY15 GAL</v>
      </c>
      <c r="AP238" s="3">
        <f t="shared" si="40"/>
        <v>982.21</v>
      </c>
      <c r="AQ238" s="1" t="str">
        <f t="shared" si="41"/>
        <v>15 GAL</v>
      </c>
      <c r="AS238" s="1" t="str">
        <f t="shared" si="42"/>
        <v>MEDIUM GRAY</v>
      </c>
      <c r="AT238"/>
      <c r="AU238"/>
      <c r="AV238"/>
      <c r="AY238" t="str">
        <f t="shared" si="43"/>
        <v xml:space="preserve">3746 HIGH MEAY15 </v>
      </c>
      <c r="AZ238" s="1" t="str">
        <f t="shared" si="44"/>
        <v xml:space="preserve">3746 HIGH </v>
      </c>
      <c r="BA238" t="str">
        <f t="shared" si="45"/>
        <v>MEAY</v>
      </c>
      <c r="BB238" s="1" t="str">
        <f t="shared" si="37"/>
        <v xml:space="preserve">15 </v>
      </c>
      <c r="BC238" s="1">
        <f t="shared" si="38"/>
        <v>982.21</v>
      </c>
      <c r="BD238" s="62" t="s">
        <v>346</v>
      </c>
      <c r="BE238" s="55" t="s">
        <v>333</v>
      </c>
      <c r="BF238" s="55" t="s">
        <v>408</v>
      </c>
      <c r="BG238" s="55" t="s">
        <v>311</v>
      </c>
      <c r="BH238" s="37"/>
      <c r="BJ238"/>
      <c r="BK238"/>
      <c r="BM238"/>
    </row>
    <row r="239" spans="22:65" x14ac:dyDescent="0.35">
      <c r="V239" s="1" t="str">
        <v>E SL HS SEGRENKIT</v>
      </c>
      <c r="X239" s="1" t="str">
        <f t="shared" si="46"/>
        <v>E TF PLUS CHAL0.4</v>
      </c>
      <c r="Y239" s="1" t="str" cm="1">
        <f t="array" ref="Y239">IFERROR(VLOOKUP($X239,$AN:AO,COLUMN(AO:AO)-COLUMN($AN:$AN)+1,FALSE),"")</f>
        <v>POLY-CRETE TF PLUS PRIMER/TOPCOATCHARCOALKIT</v>
      </c>
      <c r="Z239" s="63" cm="1">
        <f t="array" ref="Z239">IFERROR(VLOOKUP($X239,$AN:AP,COLUMN(AP:AP)-COLUMN($AN:$AN)+1,FALSE),"")</f>
        <v>53.55</v>
      </c>
      <c r="AA239" s="1" t="str" cm="1">
        <f t="array" ref="AA239">IFERROR(VLOOKUP($X239,$AN:AQ,COLUMN(AQ:AQ)-COLUMN($AN:$AN)+1,FALSE),"")</f>
        <v>KIT</v>
      </c>
      <c r="AC239" s="1" t="str" cm="1">
        <f t="array" ref="AC239">IFERROR(VLOOKUP($X239,$AN:AS,COLUMN(AS:AS)-COLUMN($AN:$AN)+1,FALSE),"")</f>
        <v>CHARCOAL</v>
      </c>
      <c r="AD239" s="1" t="s">
        <v>19</v>
      </c>
      <c r="AF239" s="1">
        <f>Table1[[#This Row],[C:C]]*1.1</f>
        <v>0</v>
      </c>
      <c r="AI239" s="1">
        <f>IFERROR(VLOOKUP(X239,#REF!,8,FALSE),0)</f>
        <v>0</v>
      </c>
      <c r="AN239" s="1" t="str">
        <f>PROD_ID_TABLE[[#This Row],[PROD ID]]</f>
        <v xml:space="preserve">3746 HIGH CAAY15 </v>
      </c>
      <c r="AO239" s="1" t="str">
        <f t="shared" si="39"/>
        <v>RESUFLOR 3746 HIGH PERFORMANCE EPOXYCANADA GRAY15 GAL</v>
      </c>
      <c r="AP239" s="3">
        <f t="shared" si="40"/>
        <v>982.21</v>
      </c>
      <c r="AQ239" s="1" t="str">
        <f t="shared" si="41"/>
        <v>15 GAL</v>
      </c>
      <c r="AS239" s="1" t="str">
        <f t="shared" si="42"/>
        <v>CANADA GRAY</v>
      </c>
      <c r="AT239"/>
      <c r="AU239"/>
      <c r="AV239"/>
      <c r="AY239" t="str">
        <f t="shared" si="43"/>
        <v xml:space="preserve">3746 HIGH CAAY15 </v>
      </c>
      <c r="AZ239" s="1" t="str">
        <f t="shared" si="44"/>
        <v xml:space="preserve">3746 HIGH </v>
      </c>
      <c r="BA239" t="str">
        <f t="shared" si="45"/>
        <v>CAAY</v>
      </c>
      <c r="BB239" s="1" t="str">
        <f t="shared" si="37"/>
        <v xml:space="preserve">15 </v>
      </c>
      <c r="BC239" s="1">
        <f t="shared" si="38"/>
        <v>982.21</v>
      </c>
      <c r="BD239" s="62" t="s">
        <v>346</v>
      </c>
      <c r="BE239" s="55" t="s">
        <v>332</v>
      </c>
      <c r="BF239" s="55" t="s">
        <v>408</v>
      </c>
      <c r="BG239" s="55" t="s">
        <v>311</v>
      </c>
      <c r="BJ239"/>
      <c r="BK239"/>
      <c r="BM239"/>
    </row>
    <row r="240" spans="22:65" x14ac:dyDescent="0.35">
      <c r="V240" s="1" t="str">
        <v>E SL HS SEGRAYKIT</v>
      </c>
      <c r="X240" s="1" t="str">
        <f t="shared" si="46"/>
        <v>E TF PLUS CHUT0.4</v>
      </c>
      <c r="Y240" s="1" t="str" cm="1">
        <f t="array" ref="Y240">IFERROR(VLOOKUP($X240,$AN:AO,COLUMN(AO:AO)-COLUMN($AN:$AN)+1,FALSE),"")</f>
        <v>POLY-CRETE TF PLUS PRIMER/TOPCOATCHESTNUTKIT</v>
      </c>
      <c r="Z240" s="63" cm="1">
        <f t="array" ref="Z240">IFERROR(VLOOKUP($X240,$AN:AP,COLUMN(AP:AP)-COLUMN($AN:$AN)+1,FALSE),"")</f>
        <v>53.55</v>
      </c>
      <c r="AA240" s="1" t="str" cm="1">
        <f t="array" ref="AA240">IFERROR(VLOOKUP($X240,$AN:AQ,COLUMN(AQ:AQ)-COLUMN($AN:$AN)+1,FALSE),"")</f>
        <v>KIT</v>
      </c>
      <c r="AC240" s="1" t="str" cm="1">
        <f t="array" ref="AC240">IFERROR(VLOOKUP($X240,$AN:AS,COLUMN(AS:AS)-COLUMN($AN:$AN)+1,FALSE),"")</f>
        <v>CHESTNUT</v>
      </c>
      <c r="AD240" s="1" t="s">
        <v>19</v>
      </c>
      <c r="AF240" s="1">
        <f>Table1[[#This Row],[C:C]]*1.1</f>
        <v>0</v>
      </c>
      <c r="AI240" s="1">
        <f>IFERROR(VLOOKUP(X240,#REF!,8,FALSE),0)</f>
        <v>0</v>
      </c>
      <c r="AN240" s="1" t="str">
        <f>PROD_ID_TABLE[[#This Row],[PROD ID]]</f>
        <v xml:space="preserve">3746 HIGH CHAL15 </v>
      </c>
      <c r="AO240" s="1" t="str">
        <f t="shared" si="39"/>
        <v>RESUFLOR 3746 HIGH PERFORMANCE EPOXYCHARCOAL15 GAL</v>
      </c>
      <c r="AP240" s="3">
        <f t="shared" si="40"/>
        <v>982.21</v>
      </c>
      <c r="AQ240" s="1" t="str">
        <f t="shared" si="41"/>
        <v>15 GAL</v>
      </c>
      <c r="AS240" s="1" t="str">
        <f t="shared" si="42"/>
        <v>CHARCOAL</v>
      </c>
      <c r="AT240"/>
      <c r="AU240"/>
      <c r="AV240"/>
      <c r="AY240" t="str">
        <f t="shared" si="43"/>
        <v xml:space="preserve">3746 HIGH CHAL15 </v>
      </c>
      <c r="AZ240" s="1" t="str">
        <f t="shared" si="44"/>
        <v xml:space="preserve">3746 HIGH </v>
      </c>
      <c r="BA240" t="str">
        <f t="shared" si="45"/>
        <v>CHAL</v>
      </c>
      <c r="BB240" s="1" t="str">
        <f t="shared" si="37"/>
        <v xml:space="preserve">15 </v>
      </c>
      <c r="BC240" s="1">
        <f t="shared" si="38"/>
        <v>982.21</v>
      </c>
      <c r="BD240" s="62" t="s">
        <v>346</v>
      </c>
      <c r="BE240" s="55" t="s">
        <v>318</v>
      </c>
      <c r="BF240" s="55" t="s">
        <v>408</v>
      </c>
      <c r="BG240" s="55" t="s">
        <v>311</v>
      </c>
      <c r="BJ240"/>
      <c r="BK240"/>
      <c r="BM240"/>
    </row>
    <row r="241" spans="22:65" x14ac:dyDescent="0.35">
      <c r="V241" s="1" t="str">
        <v>E SL HS SEREEDKIT</v>
      </c>
      <c r="X241" s="1" t="str">
        <f t="shared" si="46"/>
        <v>E TF PLUS COAY0.4</v>
      </c>
      <c r="Y241" s="1" t="str" cm="1">
        <f t="array" ref="Y241">IFERROR(VLOOKUP($X241,$AN:AO,COLUMN(AO:AO)-COLUMN($AN:$AN)+1,FALSE),"")</f>
        <v>POLY-CRETE TF PLUS PRIMER/TOPCOATCONCRETE GRAYKIT</v>
      </c>
      <c r="Z241" s="63" cm="1">
        <f t="array" ref="Z241">IFERROR(VLOOKUP($X241,$AN:AP,COLUMN(AP:AP)-COLUMN($AN:$AN)+1,FALSE),"")</f>
        <v>53.55</v>
      </c>
      <c r="AA241" s="1" t="str" cm="1">
        <f t="array" ref="AA241">IFERROR(VLOOKUP($X241,$AN:AQ,COLUMN(AQ:AQ)-COLUMN($AN:$AN)+1,FALSE),"")</f>
        <v>KIT</v>
      </c>
      <c r="AC241" s="1" t="str" cm="1">
        <f t="array" ref="AC241">IFERROR(VLOOKUP($X241,$AN:AS,COLUMN(AS:AS)-COLUMN($AN:$AN)+1,FALSE),"")</f>
        <v>CONCRETE GRAY</v>
      </c>
      <c r="AD241" s="1" t="s">
        <v>19</v>
      </c>
      <c r="AF241" s="1">
        <f>Table1[[#This Row],[C:C]]*1.1</f>
        <v>0</v>
      </c>
      <c r="AI241" s="1">
        <f>IFERROR(VLOOKUP(X241,#REF!,8,FALSE),0)</f>
        <v>0</v>
      </c>
      <c r="AN241" s="1" t="str">
        <f>PROD_ID_TABLE[[#This Row],[PROD ID]]</f>
        <v xml:space="preserve">3746 HIGH STAY15 </v>
      </c>
      <c r="AO241" s="1" t="str">
        <f t="shared" si="39"/>
        <v>RESUFLOR 3746 HIGH PERFORMANCE EPOXYSTEEL GRAY15 GAL</v>
      </c>
      <c r="AP241" s="3">
        <f t="shared" si="40"/>
        <v>982.21</v>
      </c>
      <c r="AQ241" s="1" t="str">
        <f t="shared" si="41"/>
        <v>15 GAL</v>
      </c>
      <c r="AS241" s="1" t="str">
        <f t="shared" si="42"/>
        <v>STEEL GRAY</v>
      </c>
      <c r="AT241"/>
      <c r="AU241"/>
      <c r="AV241"/>
      <c r="AY241" t="str">
        <f t="shared" si="43"/>
        <v xml:space="preserve">3746 HIGH STAY15 </v>
      </c>
      <c r="AZ241" s="1" t="str">
        <f t="shared" si="44"/>
        <v xml:space="preserve">3746 HIGH </v>
      </c>
      <c r="BA241" t="str">
        <f t="shared" si="45"/>
        <v>STAY</v>
      </c>
      <c r="BB241" s="1" t="str">
        <f t="shared" si="37"/>
        <v xml:space="preserve">15 </v>
      </c>
      <c r="BC241" s="1">
        <f t="shared" si="38"/>
        <v>982.21</v>
      </c>
      <c r="BD241" s="62" t="s">
        <v>346</v>
      </c>
      <c r="BE241" s="55" t="s">
        <v>319</v>
      </c>
      <c r="BF241" s="55" t="s">
        <v>408</v>
      </c>
      <c r="BG241" s="55" t="s">
        <v>311</v>
      </c>
      <c r="BJ241"/>
      <c r="BK241"/>
      <c r="BM241"/>
    </row>
    <row r="242" spans="22:65" x14ac:dyDescent="0.35">
      <c r="V242" s="1" t="str">
        <v>E MD HS URBLUEKIT</v>
      </c>
      <c r="X242" s="1" t="str">
        <f t="shared" si="46"/>
        <v>E TF PLUS DAAY0.4</v>
      </c>
      <c r="Y242" s="1" t="str" cm="1">
        <f t="array" ref="Y242">IFERROR(VLOOKUP($X242,$AN:AO,COLUMN(AO:AO)-COLUMN($AN:$AN)+1,FALSE),"")</f>
        <v>POLY-CRETE TF PLUS PRIMER/TOPCOATDARK GRAYKIT</v>
      </c>
      <c r="Z242" s="63" cm="1">
        <f t="array" ref="Z242">IFERROR(VLOOKUP($X242,$AN:AP,COLUMN(AP:AP)-COLUMN($AN:$AN)+1,FALSE),"")</f>
        <v>53.55</v>
      </c>
      <c r="AA242" s="1" t="str" cm="1">
        <f t="array" ref="AA242">IFERROR(VLOOKUP($X242,$AN:AQ,COLUMN(AQ:AQ)-COLUMN($AN:$AN)+1,FALSE),"")</f>
        <v>KIT</v>
      </c>
      <c r="AC242" s="1" t="str" cm="1">
        <f t="array" ref="AC242">IFERROR(VLOOKUP($X242,$AN:AS,COLUMN(AS:AS)-COLUMN($AN:$AN)+1,FALSE),"")</f>
        <v>DARK GRAY</v>
      </c>
      <c r="AD242" s="1" t="s">
        <v>19</v>
      </c>
      <c r="AF242" s="1">
        <f>Table1[[#This Row],[C:C]]*1.1</f>
        <v>0</v>
      </c>
      <c r="AI242" s="1">
        <f>IFERROR(VLOOKUP(X242,#REF!,8,FALSE),0)</f>
        <v>0</v>
      </c>
      <c r="AN242" s="1" t="str">
        <f>PROD_ID_TABLE[[#This Row],[PROD ID]]</f>
        <v xml:space="preserve">3746 HIGH BOTE15 </v>
      </c>
      <c r="AO242" s="1" t="str">
        <f t="shared" si="39"/>
        <v>RESUFLOR 3746 HIGH PERFORMANCE EPOXYBONE WHITE15 GAL</v>
      </c>
      <c r="AP242" s="3">
        <f t="shared" si="40"/>
        <v>982.21</v>
      </c>
      <c r="AQ242" s="1" t="str">
        <f t="shared" si="41"/>
        <v>15 GAL</v>
      </c>
      <c r="AS242" s="1" t="str">
        <f t="shared" si="42"/>
        <v>BONE WHITE</v>
      </c>
      <c r="AT242"/>
      <c r="AU242"/>
      <c r="AV242"/>
      <c r="AY242" t="str">
        <f t="shared" si="43"/>
        <v xml:space="preserve">3746 HIGH BOTE15 </v>
      </c>
      <c r="AZ242" s="1" t="str">
        <f t="shared" si="44"/>
        <v xml:space="preserve">3746 HIGH </v>
      </c>
      <c r="BA242" t="str">
        <f t="shared" si="45"/>
        <v>BOTE</v>
      </c>
      <c r="BB242" s="1" t="str">
        <f t="shared" si="37"/>
        <v xml:space="preserve">15 </v>
      </c>
      <c r="BC242" s="1">
        <f t="shared" si="38"/>
        <v>982.21</v>
      </c>
      <c r="BD242" s="62" t="s">
        <v>346</v>
      </c>
      <c r="BE242" s="55" t="s">
        <v>320</v>
      </c>
      <c r="BF242" s="55" t="s">
        <v>408</v>
      </c>
      <c r="BG242" s="55" t="s">
        <v>311</v>
      </c>
      <c r="BJ242"/>
      <c r="BK242"/>
      <c r="BM242"/>
    </row>
    <row r="243" spans="22:65" x14ac:dyDescent="0.35">
      <c r="V243" s="1" t="str">
        <v>E MD HS URCHALKIT</v>
      </c>
      <c r="X243" s="1" t="str">
        <f t="shared" si="46"/>
        <v>E TF PLUS GREN0.4</v>
      </c>
      <c r="Y243" s="1" t="str" cm="1">
        <f t="array" ref="Y243">IFERROR(VLOOKUP($X243,$AN:AO,COLUMN(AO:AO)-COLUMN($AN:$AN)+1,FALSE),"")</f>
        <v>POLY-CRETE TF PLUS PRIMER/TOPCOATGREENKIT</v>
      </c>
      <c r="Z243" s="63" cm="1">
        <f t="array" ref="Z243">IFERROR(VLOOKUP($X243,$AN:AP,COLUMN(AP:AP)-COLUMN($AN:$AN)+1,FALSE),"")</f>
        <v>53.55</v>
      </c>
      <c r="AA243" s="1" t="str" cm="1">
        <f t="array" ref="AA243">IFERROR(VLOOKUP($X243,$AN:AQ,COLUMN(AQ:AQ)-COLUMN($AN:$AN)+1,FALSE),"")</f>
        <v>KIT</v>
      </c>
      <c r="AC243" s="1" t="str" cm="1">
        <f t="array" ref="AC243">IFERROR(VLOOKUP($X243,$AN:AS,COLUMN(AS:AS)-COLUMN($AN:$AN)+1,FALSE),"")</f>
        <v>GREEN</v>
      </c>
      <c r="AD243" s="1" t="s">
        <v>19</v>
      </c>
      <c r="AF243" s="1">
        <f>Table1[[#This Row],[C:C]]*1.1</f>
        <v>0</v>
      </c>
      <c r="AI243" s="1">
        <f>IFERROR(VLOOKUP(X243,#REF!,8,FALSE),0)</f>
        <v>0</v>
      </c>
      <c r="AN243" s="1" t="str">
        <f>PROD_ID_TABLE[[#This Row],[PROD ID]]</f>
        <v xml:space="preserve">3746 HIGH SIAY15 </v>
      </c>
      <c r="AO243" s="1" t="str">
        <f t="shared" si="39"/>
        <v>RESUFLOR 3746 HIGH PERFORMANCE EPOXYSILVER GRAY15 GAL</v>
      </c>
      <c r="AP243" s="3">
        <f t="shared" si="40"/>
        <v>982.21</v>
      </c>
      <c r="AQ243" s="1" t="str">
        <f t="shared" si="41"/>
        <v>15 GAL</v>
      </c>
      <c r="AS243" s="1" t="str">
        <f t="shared" si="42"/>
        <v>SILVER GRAY</v>
      </c>
      <c r="AT243"/>
      <c r="AU243"/>
      <c r="AV243"/>
      <c r="AY243" t="str">
        <f t="shared" si="43"/>
        <v xml:space="preserve">3746 HIGH SIAY15 </v>
      </c>
      <c r="AZ243" s="1" t="str">
        <f t="shared" si="44"/>
        <v xml:space="preserve">3746 HIGH </v>
      </c>
      <c r="BA243" t="str">
        <f t="shared" si="45"/>
        <v>SIAY</v>
      </c>
      <c r="BB243" s="1" t="str">
        <f t="shared" si="37"/>
        <v xml:space="preserve">15 </v>
      </c>
      <c r="BC243" s="1">
        <f t="shared" si="38"/>
        <v>982.21</v>
      </c>
      <c r="BD243" s="62" t="s">
        <v>346</v>
      </c>
      <c r="BE243" s="55" t="s">
        <v>321</v>
      </c>
      <c r="BF243" s="55" t="s">
        <v>408</v>
      </c>
      <c r="BG243" s="55" t="s">
        <v>311</v>
      </c>
      <c r="BJ243"/>
      <c r="BK243"/>
      <c r="BM243"/>
    </row>
    <row r="244" spans="22:65" x14ac:dyDescent="0.35">
      <c r="V244" s="1" t="str">
        <v>E MD HS URCHUTKIT</v>
      </c>
      <c r="X244" s="1" t="str">
        <f t="shared" si="46"/>
        <v>E TF PLUS GRAY0.4</v>
      </c>
      <c r="Y244" s="1" t="str" cm="1">
        <f t="array" ref="Y244">IFERROR(VLOOKUP($X244,$AN:AO,COLUMN(AO:AO)-COLUMN($AN:$AN)+1,FALSE),"")</f>
        <v>POLY-CRETE TF PLUS PRIMER/TOPCOATGRAYKIT</v>
      </c>
      <c r="Z244" s="63" cm="1">
        <f t="array" ref="Z244">IFERROR(VLOOKUP($X244,$AN:AP,COLUMN(AP:AP)-COLUMN($AN:$AN)+1,FALSE),"")</f>
        <v>53.55</v>
      </c>
      <c r="AA244" s="1" t="str" cm="1">
        <f t="array" ref="AA244">IFERROR(VLOOKUP($X244,$AN:AQ,COLUMN(AQ:AQ)-COLUMN($AN:$AN)+1,FALSE),"")</f>
        <v>KIT</v>
      </c>
      <c r="AC244" s="1" t="str" cm="1">
        <f t="array" ref="AC244">IFERROR(VLOOKUP($X244,$AN:AS,COLUMN(AS:AS)-COLUMN($AN:$AN)+1,FALSE),"")</f>
        <v>GRAY</v>
      </c>
      <c r="AD244" s="1" t="s">
        <v>19</v>
      </c>
      <c r="AF244" s="1">
        <f>Table1[[#This Row],[C:C]]*1.1</f>
        <v>0</v>
      </c>
      <c r="AI244" s="1">
        <f>IFERROR(VLOOKUP(X244,#REF!,8,FALSE),0)</f>
        <v>0</v>
      </c>
      <c r="AN244" s="1" t="str">
        <f>PROD_ID_TABLE[[#This Row],[PROD ID]]</f>
        <v xml:space="preserve">3746 HIGH BLCK15 </v>
      </c>
      <c r="AO244" s="1" t="str">
        <f t="shared" si="39"/>
        <v>RESUFLOR 3746 HIGH PERFORMANCE EPOXYBLACK15 GAL</v>
      </c>
      <c r="AP244" s="3">
        <f t="shared" si="40"/>
        <v>982.21</v>
      </c>
      <c r="AQ244" s="1" t="str">
        <f t="shared" si="41"/>
        <v>15 GAL</v>
      </c>
      <c r="AS244" s="1" t="str">
        <f t="shared" si="42"/>
        <v>BLACK</v>
      </c>
      <c r="AT244"/>
      <c r="AU244"/>
      <c r="AV244"/>
      <c r="AY244" t="str">
        <f t="shared" si="43"/>
        <v xml:space="preserve">3746 HIGH BLCK15 </v>
      </c>
      <c r="AZ244" s="1" t="str">
        <f t="shared" si="44"/>
        <v xml:space="preserve">3746 HIGH </v>
      </c>
      <c r="BA244" t="str">
        <f t="shared" si="45"/>
        <v>BLCK</v>
      </c>
      <c r="BB244" s="1" t="str">
        <f t="shared" si="37"/>
        <v xml:space="preserve">15 </v>
      </c>
      <c r="BC244" s="1">
        <f t="shared" si="38"/>
        <v>982.21</v>
      </c>
      <c r="BD244" s="62" t="s">
        <v>346</v>
      </c>
      <c r="BE244" s="55" t="s">
        <v>323</v>
      </c>
      <c r="BF244" s="55" t="s">
        <v>408</v>
      </c>
      <c r="BG244" s="55" t="s">
        <v>311</v>
      </c>
      <c r="BJ244"/>
      <c r="BK244"/>
      <c r="BM244"/>
    </row>
    <row r="245" spans="22:65" x14ac:dyDescent="0.35">
      <c r="V245" s="1" t="str">
        <v>E MD HS URCOAYKIT</v>
      </c>
      <c r="X245" s="1" t="str">
        <f t="shared" si="46"/>
        <v>E TF PLUS REED0.4</v>
      </c>
      <c r="Y245" s="1" t="str" cm="1">
        <f t="array" ref="Y245">IFERROR(VLOOKUP($X245,$AN:AO,COLUMN(AO:AO)-COLUMN($AN:$AN)+1,FALSE),"")</f>
        <v>POLY-CRETE TF PLUS PRIMER/TOPCOATREDKIT</v>
      </c>
      <c r="Z245" s="63" cm="1">
        <f t="array" ref="Z245">IFERROR(VLOOKUP($X245,$AN:AP,COLUMN(AP:AP)-COLUMN($AN:$AN)+1,FALSE),"")</f>
        <v>53.55</v>
      </c>
      <c r="AA245" s="1" t="str" cm="1">
        <f t="array" ref="AA245">IFERROR(VLOOKUP($X245,$AN:AQ,COLUMN(AQ:AQ)-COLUMN($AN:$AN)+1,FALSE),"")</f>
        <v>KIT</v>
      </c>
      <c r="AC245" s="1" t="str" cm="1">
        <f t="array" ref="AC245">IFERROR(VLOOKUP($X245,$AN:AS,COLUMN(AS:AS)-COLUMN($AN:$AN)+1,FALSE),"")</f>
        <v>RED</v>
      </c>
      <c r="AD245" s="1" t="s">
        <v>19</v>
      </c>
      <c r="AF245" s="1">
        <f>Table1[[#This Row],[C:C]]*1.1</f>
        <v>0</v>
      </c>
      <c r="AI245" s="1">
        <f>IFERROR(VLOOKUP(X245,#REF!,8,FALSE),0)</f>
        <v>0</v>
      </c>
      <c r="AN245" s="1" t="str">
        <f>PROD_ID_TABLE[[#This Row],[PROD ID]]</f>
        <v xml:space="preserve">3746 HIGH PANT15 </v>
      </c>
      <c r="AO245" s="1" t="str">
        <f t="shared" si="39"/>
        <v>RESUFLOR 3746 HIGH PERFORMANCE EPOXYPARCHMENT15 GAL</v>
      </c>
      <c r="AP245" s="3">
        <f t="shared" si="40"/>
        <v>982.21</v>
      </c>
      <c r="AQ245" s="1" t="str">
        <f t="shared" si="41"/>
        <v>15 GAL</v>
      </c>
      <c r="AS245" s="1" t="str">
        <f t="shared" si="42"/>
        <v>PARCHMENT</v>
      </c>
      <c r="AT245"/>
      <c r="AU245"/>
      <c r="AV245"/>
      <c r="AY245" t="str">
        <f t="shared" si="43"/>
        <v xml:space="preserve">3746 HIGH PANT15 </v>
      </c>
      <c r="AZ245" s="1" t="str">
        <f t="shared" si="44"/>
        <v xml:space="preserve">3746 HIGH </v>
      </c>
      <c r="BA245" t="str">
        <f t="shared" si="45"/>
        <v>PANT</v>
      </c>
      <c r="BB245" s="1" t="str">
        <f t="shared" si="37"/>
        <v xml:space="preserve">15 </v>
      </c>
      <c r="BC245" s="1">
        <f t="shared" si="38"/>
        <v>982.21</v>
      </c>
      <c r="BD245" s="62" t="s">
        <v>346</v>
      </c>
      <c r="BE245" s="55" t="s">
        <v>324</v>
      </c>
      <c r="BF245" s="55" t="s">
        <v>408</v>
      </c>
      <c r="BG245" s="55" t="s">
        <v>311</v>
      </c>
      <c r="BJ245"/>
      <c r="BK245"/>
      <c r="BM245"/>
    </row>
    <row r="246" spans="22:65" x14ac:dyDescent="0.35">
      <c r="V246" s="1" t="str">
        <v>E MD HS URDAAYKIT</v>
      </c>
      <c r="X246" s="1" t="str">
        <f t="shared" si="46"/>
        <v>E SL HS SEBLUEKIT</v>
      </c>
      <c r="Y246" s="1" t="str" cm="1">
        <f t="array" ref="Y246">IFERROR(VLOOKUP($X246,$AN:AO,COLUMN(AO:AO)-COLUMN($AN:$AN)+1,FALSE),"")</f>
        <v>POLY-CRETE SL HS SELF LEVELING URETHANEBLUEKIT</v>
      </c>
      <c r="Z246" s="63" cm="1">
        <f t="array" ref="Z246">IFERROR(VLOOKUP($X246,$AN:AP,COLUMN(AP:AP)-COLUMN($AN:$AN)+1,FALSE),"")</f>
        <v>102.4</v>
      </c>
      <c r="AA246" s="1" t="str" cm="1">
        <f t="array" ref="AA246">IFERROR(VLOOKUP($X246,$AN:AQ,COLUMN(AQ:AQ)-COLUMN($AN:$AN)+1,FALSE),"")</f>
        <v>KIT</v>
      </c>
      <c r="AC246" s="1" t="str" cm="1">
        <f t="array" ref="AC246">IFERROR(VLOOKUP($X246,$AN:AS,COLUMN(AS:AS)-COLUMN($AN:$AN)+1,FALSE),"")</f>
        <v>BLUE</v>
      </c>
      <c r="AD246" s="1" t="s">
        <v>19</v>
      </c>
      <c r="AF246" s="1">
        <f>Table1[[#This Row],[C:C]]*1.1</f>
        <v>0</v>
      </c>
      <c r="AI246" s="1">
        <f>IFERROR(VLOOKUP(X246,#REF!,8,FALSE),0)</f>
        <v>0</v>
      </c>
      <c r="AN246" s="1" t="str">
        <f>PROD_ID_TABLE[[#This Row],[PROD ID]]</f>
        <v xml:space="preserve">3746 HIGH SAED15 </v>
      </c>
      <c r="AO246" s="1" t="str">
        <f t="shared" si="39"/>
        <v>RESUFLOR 3746 HIGH PERFORMANCE EPOXYSAFETY RED15 GAL</v>
      </c>
      <c r="AP246" s="3">
        <f t="shared" si="40"/>
        <v>982.21</v>
      </c>
      <c r="AQ246" s="1" t="str">
        <f t="shared" si="41"/>
        <v>15 GAL</v>
      </c>
      <c r="AS246" s="1" t="str">
        <f t="shared" si="42"/>
        <v>SAFETY RED</v>
      </c>
      <c r="AT246"/>
      <c r="AU246"/>
      <c r="AV246"/>
      <c r="AY246" t="str">
        <f t="shared" si="43"/>
        <v xml:space="preserve">3746 HIGH SAED15 </v>
      </c>
      <c r="AZ246" s="1" t="str">
        <f t="shared" si="44"/>
        <v xml:space="preserve">3746 HIGH </v>
      </c>
      <c r="BA246" t="str">
        <f t="shared" si="45"/>
        <v>SAED</v>
      </c>
      <c r="BB246" s="1" t="str">
        <f t="shared" si="37"/>
        <v xml:space="preserve">15 </v>
      </c>
      <c r="BC246" s="1">
        <f t="shared" si="38"/>
        <v>982.21</v>
      </c>
      <c r="BD246" s="62" t="s">
        <v>346</v>
      </c>
      <c r="BE246" s="55" t="s">
        <v>325</v>
      </c>
      <c r="BF246" s="55" t="s">
        <v>408</v>
      </c>
      <c r="BG246" s="55" t="s">
        <v>311</v>
      </c>
      <c r="BJ246"/>
      <c r="BK246"/>
      <c r="BM246"/>
    </row>
    <row r="247" spans="22:65" x14ac:dyDescent="0.35">
      <c r="V247" s="1" t="str">
        <v>E MD HS URGRENKIT</v>
      </c>
      <c r="X247" s="1" t="str">
        <f t="shared" si="46"/>
        <v>E SL HS SECHALKIT</v>
      </c>
      <c r="Y247" s="1" t="str" cm="1">
        <f t="array" ref="Y247">IFERROR(VLOOKUP($X247,$AN:AO,COLUMN(AO:AO)-COLUMN($AN:$AN)+1,FALSE),"")</f>
        <v>POLY-CRETE SL HS SELF LEVELING URETHANECHARCOALKIT</v>
      </c>
      <c r="Z247" s="63" cm="1">
        <f t="array" ref="Z247">IFERROR(VLOOKUP($X247,$AN:AP,COLUMN(AP:AP)-COLUMN($AN:$AN)+1,FALSE),"")</f>
        <v>102.4</v>
      </c>
      <c r="AA247" s="1" t="str" cm="1">
        <f t="array" ref="AA247">IFERROR(VLOOKUP($X247,$AN:AQ,COLUMN(AQ:AQ)-COLUMN($AN:$AN)+1,FALSE),"")</f>
        <v>KIT</v>
      </c>
      <c r="AC247" s="1" t="str" cm="1">
        <f t="array" ref="AC247">IFERROR(VLOOKUP($X247,$AN:AS,COLUMN(AS:AS)-COLUMN($AN:$AN)+1,FALSE),"")</f>
        <v>CHARCOAL</v>
      </c>
      <c r="AD247" s="1" t="s">
        <v>19</v>
      </c>
      <c r="AF247" s="1">
        <f>Table1[[#This Row],[C:C]]*1.1</f>
        <v>0</v>
      </c>
      <c r="AI247" s="1">
        <f>IFERROR(VLOOKUP(X247,#REF!,8,FALSE),0)</f>
        <v>0</v>
      </c>
      <c r="AN247" s="1" t="str">
        <f>PROD_ID_TABLE[[#This Row],[PROD ID]]</f>
        <v xml:space="preserve">3746 HIGH SAOW15 </v>
      </c>
      <c r="AO247" s="1" t="str">
        <f t="shared" si="39"/>
        <v>RESUFLOR 3746 HIGH PERFORMANCE EPOXYSAFETY YELLOW15 GAL</v>
      </c>
      <c r="AP247" s="3">
        <f t="shared" si="40"/>
        <v>982.21</v>
      </c>
      <c r="AQ247" s="1" t="str">
        <f t="shared" si="41"/>
        <v>15 GAL</v>
      </c>
      <c r="AS247" s="1" t="str">
        <f t="shared" si="42"/>
        <v>SAFETY YELLOW</v>
      </c>
      <c r="AT247"/>
      <c r="AU247"/>
      <c r="AV247"/>
      <c r="AY247" t="str">
        <f t="shared" si="43"/>
        <v xml:space="preserve">3746 HIGH SAOW15 </v>
      </c>
      <c r="AZ247" s="1" t="str">
        <f t="shared" si="44"/>
        <v xml:space="preserve">3746 HIGH </v>
      </c>
      <c r="BA247" t="str">
        <f t="shared" si="45"/>
        <v>SAOW</v>
      </c>
      <c r="BB247" s="1" t="str">
        <f t="shared" si="37"/>
        <v xml:space="preserve">15 </v>
      </c>
      <c r="BC247" s="1">
        <f t="shared" si="38"/>
        <v>982.21</v>
      </c>
      <c r="BD247" s="62" t="s">
        <v>346</v>
      </c>
      <c r="BE247" s="55" t="s">
        <v>326</v>
      </c>
      <c r="BF247" s="55" t="s">
        <v>408</v>
      </c>
      <c r="BG247" s="55" t="s">
        <v>311</v>
      </c>
      <c r="BJ247"/>
      <c r="BK247"/>
      <c r="BM247"/>
    </row>
    <row r="248" spans="22:65" x14ac:dyDescent="0.35">
      <c r="V248" s="1" t="str">
        <v>E MD HS URGRAYKIT</v>
      </c>
      <c r="X248" s="1" t="str">
        <f t="shared" si="46"/>
        <v>E SL HS SECHUTKIT</v>
      </c>
      <c r="Y248" s="1" t="str" cm="1">
        <f t="array" ref="Y248">IFERROR(VLOOKUP($X248,$AN:AO,COLUMN(AO:AO)-COLUMN($AN:$AN)+1,FALSE),"")</f>
        <v>POLY-CRETE SL HS SELF LEVELING URETHANECHESTNUTKIT</v>
      </c>
      <c r="Z248" s="63" cm="1">
        <f t="array" ref="Z248">IFERROR(VLOOKUP($X248,$AN:AP,COLUMN(AP:AP)-COLUMN($AN:$AN)+1,FALSE),"")</f>
        <v>102.4</v>
      </c>
      <c r="AA248" s="1" t="str" cm="1">
        <f t="array" ref="AA248">IFERROR(VLOOKUP($X248,$AN:AQ,COLUMN(AQ:AQ)-COLUMN($AN:$AN)+1,FALSE),"")</f>
        <v>KIT</v>
      </c>
      <c r="AC248" s="1" t="str" cm="1">
        <f t="array" ref="AC248">IFERROR(VLOOKUP($X248,$AN:AS,COLUMN(AS:AS)-COLUMN($AN:$AN)+1,FALSE),"")</f>
        <v>CHESTNUT</v>
      </c>
      <c r="AD248" s="1" t="s">
        <v>19</v>
      </c>
      <c r="AF248" s="1">
        <f>Table1[[#This Row],[C:C]]*1.1</f>
        <v>0</v>
      </c>
      <c r="AI248" s="1">
        <f>IFERROR(VLOOKUP(X248,#REF!,8,FALSE),0)</f>
        <v>0</v>
      </c>
      <c r="AN248" s="1" t="str">
        <f>PROD_ID_TABLE[[#This Row],[PROD ID]]</f>
        <v xml:space="preserve">3746 HIGH ROUE15 </v>
      </c>
      <c r="AO248" s="1" t="str">
        <f t="shared" si="39"/>
        <v>RESUFLOR 3746 HIGH PERFORMANCE EPOXYROYAL BLUE15 GAL</v>
      </c>
      <c r="AP248" s="3">
        <f t="shared" si="40"/>
        <v>982.21</v>
      </c>
      <c r="AQ248" s="1" t="str">
        <f t="shared" si="41"/>
        <v>15 GAL</v>
      </c>
      <c r="AS248" s="1" t="str">
        <f t="shared" si="42"/>
        <v>ROYAL BLUE</v>
      </c>
      <c r="AT248"/>
      <c r="AU248"/>
      <c r="AV248"/>
      <c r="AY248" t="str">
        <f t="shared" si="43"/>
        <v xml:space="preserve">3746 HIGH ROUE15 </v>
      </c>
      <c r="AZ248" s="1" t="str">
        <f t="shared" si="44"/>
        <v xml:space="preserve">3746 HIGH </v>
      </c>
      <c r="BA248" t="str">
        <f t="shared" si="45"/>
        <v>ROUE</v>
      </c>
      <c r="BB248" s="1" t="str">
        <f t="shared" si="37"/>
        <v xml:space="preserve">15 </v>
      </c>
      <c r="BC248" s="1">
        <f t="shared" si="38"/>
        <v>982.21</v>
      </c>
      <c r="BD248" s="62" t="s">
        <v>346</v>
      </c>
      <c r="BE248" s="55" t="s">
        <v>428</v>
      </c>
      <c r="BF248" s="55" t="s">
        <v>408</v>
      </c>
      <c r="BG248" s="55" t="s">
        <v>311</v>
      </c>
      <c r="BJ248"/>
      <c r="BK248"/>
      <c r="BM248"/>
    </row>
    <row r="249" spans="22:65" x14ac:dyDescent="0.35">
      <c r="V249" s="1" t="str">
        <v>E MD HS URREEDKIT</v>
      </c>
      <c r="X249" s="1" t="str">
        <f t="shared" si="46"/>
        <v>E SL HS SECOAYKIT</v>
      </c>
      <c r="Y249" s="1" t="str" cm="1">
        <f t="array" ref="Y249">IFERROR(VLOOKUP($X249,$AN:AO,COLUMN(AO:AO)-COLUMN($AN:$AN)+1,FALSE),"")</f>
        <v>POLY-CRETE SL HS SELF LEVELING URETHANECONCRETE GRAYKIT</v>
      </c>
      <c r="Z249" s="63" cm="1">
        <f t="array" ref="Z249">IFERROR(VLOOKUP($X249,$AN:AP,COLUMN(AP:AP)-COLUMN($AN:$AN)+1,FALSE),"")</f>
        <v>102.4</v>
      </c>
      <c r="AA249" s="1" t="str" cm="1">
        <f t="array" ref="AA249">IFERROR(VLOOKUP($X249,$AN:AQ,COLUMN(AQ:AQ)-COLUMN($AN:$AN)+1,FALSE),"")</f>
        <v>KIT</v>
      </c>
      <c r="AC249" s="1" t="str" cm="1">
        <f t="array" ref="AC249">IFERROR(VLOOKUP($X249,$AN:AS,COLUMN(AS:AS)-COLUMN($AN:$AN)+1,FALSE),"")</f>
        <v>CONCRETE GRAY</v>
      </c>
      <c r="AD249" s="1" t="s">
        <v>19</v>
      </c>
      <c r="AF249" s="1">
        <f>Table1[[#This Row],[C:C]]*1.1</f>
        <v>0</v>
      </c>
      <c r="AI249" s="1">
        <f>IFERROR(VLOOKUP(X249,#REF!,8,FALSE),0)</f>
        <v>0</v>
      </c>
      <c r="AN249" s="1" t="str">
        <f>PROD_ID_TABLE[[#This Row],[PROD ID]]</f>
        <v xml:space="preserve">3746 HIGH PEER15 </v>
      </c>
      <c r="AO249" s="1" t="str">
        <f t="shared" si="39"/>
        <v>RESUFLOR 3746 HIGH PERFORMANCE EPOXYPEWTER15 GAL</v>
      </c>
      <c r="AP249" s="3">
        <f t="shared" si="40"/>
        <v>982.21</v>
      </c>
      <c r="AQ249" s="1" t="str">
        <f t="shared" si="41"/>
        <v>15 GAL</v>
      </c>
      <c r="AS249" s="1" t="str">
        <f t="shared" si="42"/>
        <v>PEWTER</v>
      </c>
      <c r="AT249"/>
      <c r="AU249"/>
      <c r="AV249"/>
      <c r="AY249" t="str">
        <f t="shared" si="43"/>
        <v xml:space="preserve">3746 HIGH PEER15 </v>
      </c>
      <c r="AZ249" s="1" t="str">
        <f t="shared" si="44"/>
        <v xml:space="preserve">3746 HIGH </v>
      </c>
      <c r="BA249" t="str">
        <f t="shared" si="45"/>
        <v>PEER</v>
      </c>
      <c r="BB249" s="1" t="str">
        <f t="shared" si="37"/>
        <v xml:space="preserve">15 </v>
      </c>
      <c r="BC249" s="1">
        <f t="shared" si="38"/>
        <v>982.21</v>
      </c>
      <c r="BD249" s="62" t="s">
        <v>346</v>
      </c>
      <c r="BE249" s="55" t="s">
        <v>327</v>
      </c>
      <c r="BF249" s="55" t="s">
        <v>408</v>
      </c>
      <c r="BG249" s="55" t="s">
        <v>311</v>
      </c>
      <c r="BJ249"/>
      <c r="BK249"/>
      <c r="BM249"/>
    </row>
    <row r="250" spans="22:65" x14ac:dyDescent="0.35">
      <c r="V250" s="1" t="str">
        <v>E TF PLUS N//AKIT</v>
      </c>
      <c r="X250" s="1" t="str">
        <f t="shared" si="46"/>
        <v>E SL HS SEDAAYKIT</v>
      </c>
      <c r="Y250" s="1" t="str" cm="1">
        <f t="array" ref="Y250">IFERROR(VLOOKUP($X250,$AN:AO,COLUMN(AO:AO)-COLUMN($AN:$AN)+1,FALSE),"")</f>
        <v>POLY-CRETE SL HS SELF LEVELING URETHANEDARK GRAYKIT</v>
      </c>
      <c r="Z250" s="63" cm="1">
        <f t="array" ref="Z250">IFERROR(VLOOKUP($X250,$AN:AP,COLUMN(AP:AP)-COLUMN($AN:$AN)+1,FALSE),"")</f>
        <v>102.4</v>
      </c>
      <c r="AA250" s="1" t="str" cm="1">
        <f t="array" ref="AA250">IFERROR(VLOOKUP($X250,$AN:AQ,COLUMN(AQ:AQ)-COLUMN($AN:$AN)+1,FALSE),"")</f>
        <v>KIT</v>
      </c>
      <c r="AC250" s="1" t="str" cm="1">
        <f t="array" ref="AC250">IFERROR(VLOOKUP($X250,$AN:AS,COLUMN(AS:AS)-COLUMN($AN:$AN)+1,FALSE),"")</f>
        <v>DARK GRAY</v>
      </c>
      <c r="AD250" s="1" t="s">
        <v>19</v>
      </c>
      <c r="AF250" s="1">
        <f>Table1[[#This Row],[C:C]]*1.1</f>
        <v>0</v>
      </c>
      <c r="AI250" s="1">
        <f>IFERROR(VLOOKUP(X250,#REF!,8,FALSE),0)</f>
        <v>0</v>
      </c>
      <c r="AN250" s="1" t="str">
        <f>PROD_ID_TABLE[[#This Row],[PROD ID]]</f>
        <v xml:space="preserve">3746 HIGH CLLE15 </v>
      </c>
      <c r="AO250" s="1" t="str">
        <f t="shared" si="39"/>
        <v>RESUFLOR 3746 HIGH PERFORMANCE EPOXYCLASIC RED TILE15 GAL</v>
      </c>
      <c r="AP250" s="3">
        <f t="shared" si="40"/>
        <v>982.21</v>
      </c>
      <c r="AQ250" s="1" t="str">
        <f t="shared" si="41"/>
        <v>15 GAL</v>
      </c>
      <c r="AS250" s="1" t="str">
        <f t="shared" si="42"/>
        <v>CLASIC RED TILE</v>
      </c>
      <c r="AT250"/>
      <c r="AU250"/>
      <c r="AV250"/>
      <c r="AY250" t="str">
        <f t="shared" si="43"/>
        <v xml:space="preserve">3746 HIGH CLLE15 </v>
      </c>
      <c r="AZ250" s="1" t="str">
        <f t="shared" si="44"/>
        <v xml:space="preserve">3746 HIGH </v>
      </c>
      <c r="BA250" t="str">
        <f t="shared" si="45"/>
        <v>CLLE</v>
      </c>
      <c r="BB250" s="1" t="str">
        <f t="shared" si="37"/>
        <v xml:space="preserve">15 </v>
      </c>
      <c r="BC250" s="1">
        <f t="shared" si="38"/>
        <v>982.21</v>
      </c>
      <c r="BD250" s="62" t="s">
        <v>346</v>
      </c>
      <c r="BE250" s="55" t="s">
        <v>328</v>
      </c>
      <c r="BF250" s="55" t="s">
        <v>408</v>
      </c>
      <c r="BG250" s="55" t="s">
        <v>311</v>
      </c>
      <c r="BJ250"/>
      <c r="BK250"/>
      <c r="BM250"/>
    </row>
    <row r="251" spans="22:65" x14ac:dyDescent="0.35">
      <c r="V251" s="1" t="str">
        <v>E HF HS URCHALKIT</v>
      </c>
      <c r="X251" s="1" t="str">
        <f t="shared" si="46"/>
        <v>E SL HS SEGRENKIT</v>
      </c>
      <c r="Y251" s="1" t="str" cm="1">
        <f t="array" ref="Y251">IFERROR(VLOOKUP($X251,$AN:AO,COLUMN(AO:AO)-COLUMN($AN:$AN)+1,FALSE),"")</f>
        <v>POLY-CRETE SL HS SELF LEVELING URETHANEGREENKIT</v>
      </c>
      <c r="Z251" s="63" cm="1">
        <f t="array" ref="Z251">IFERROR(VLOOKUP($X251,$AN:AP,COLUMN(AP:AP)-COLUMN($AN:$AN)+1,FALSE),"")</f>
        <v>102.4</v>
      </c>
      <c r="AA251" s="1" t="str" cm="1">
        <f t="array" ref="AA251">IFERROR(VLOOKUP($X251,$AN:AQ,COLUMN(AQ:AQ)-COLUMN($AN:$AN)+1,FALSE),"")</f>
        <v>KIT</v>
      </c>
      <c r="AC251" s="1" t="str" cm="1">
        <f t="array" ref="AC251">IFERROR(VLOOKUP($X251,$AN:AS,COLUMN(AS:AS)-COLUMN($AN:$AN)+1,FALSE),"")</f>
        <v>GREEN</v>
      </c>
      <c r="AD251" s="1" t="s">
        <v>19</v>
      </c>
      <c r="AF251" s="1">
        <f>Table1[[#This Row],[C:C]]*1.1</f>
        <v>0</v>
      </c>
      <c r="AI251" s="1">
        <f>IFERROR(VLOOKUP(X251,#REF!,8,FALSE),0)</f>
        <v>0</v>
      </c>
      <c r="AN251" s="1" t="str">
        <f>PROD_ID_TABLE[[#This Row],[PROD ID]]</f>
        <v xml:space="preserve">3746 HIGH CAEL15 </v>
      </c>
      <c r="AO251" s="1" t="str">
        <f t="shared" si="39"/>
        <v>RESUFLOR 3746 HIGH PERFORMANCE EPOXYCARAMEL15 GAL</v>
      </c>
      <c r="AP251" s="3">
        <f t="shared" si="40"/>
        <v>982.21</v>
      </c>
      <c r="AQ251" s="1" t="str">
        <f t="shared" si="41"/>
        <v>15 GAL</v>
      </c>
      <c r="AS251" s="1" t="str">
        <f t="shared" si="42"/>
        <v>CARAMEL</v>
      </c>
      <c r="AT251"/>
      <c r="AU251"/>
      <c r="AV251"/>
      <c r="AY251" t="str">
        <f t="shared" si="43"/>
        <v xml:space="preserve">3746 HIGH CAEL15 </v>
      </c>
      <c r="AZ251" s="1" t="str">
        <f t="shared" si="44"/>
        <v xml:space="preserve">3746 HIGH </v>
      </c>
      <c r="BA251" t="str">
        <f t="shared" si="45"/>
        <v>CAEL</v>
      </c>
      <c r="BB251" s="1" t="str">
        <f t="shared" si="37"/>
        <v xml:space="preserve">15 </v>
      </c>
      <c r="BC251" s="1">
        <f t="shared" si="38"/>
        <v>982.21</v>
      </c>
      <c r="BD251" s="62" t="s">
        <v>346</v>
      </c>
      <c r="BE251" s="55" t="s">
        <v>329</v>
      </c>
      <c r="BF251" s="55" t="s">
        <v>408</v>
      </c>
      <c r="BG251" s="55" t="s">
        <v>311</v>
      </c>
      <c r="BJ251"/>
      <c r="BK251"/>
      <c r="BM251"/>
    </row>
    <row r="252" spans="22:65" x14ac:dyDescent="0.35">
      <c r="V252" s="1" t="str">
        <v>E HF HS URCHUTKIT</v>
      </c>
      <c r="X252" s="1" t="str">
        <f t="shared" si="46"/>
        <v>E SL HS SEGRAYKIT</v>
      </c>
      <c r="Y252" s="1" t="str" cm="1">
        <f t="array" ref="Y252">IFERROR(VLOOKUP($X252,$AN:AO,COLUMN(AO:AO)-COLUMN($AN:$AN)+1,FALSE),"")</f>
        <v>POLY-CRETE SL HS SELF LEVELING URETHANEGRAYKIT</v>
      </c>
      <c r="Z252" s="63" cm="1">
        <f t="array" ref="Z252">IFERROR(VLOOKUP($X252,$AN:AP,COLUMN(AP:AP)-COLUMN($AN:$AN)+1,FALSE),"")</f>
        <v>102.4</v>
      </c>
      <c r="AA252" s="1" t="str" cm="1">
        <f t="array" ref="AA252">IFERROR(VLOOKUP($X252,$AN:AQ,COLUMN(AQ:AQ)-COLUMN($AN:$AN)+1,FALSE),"")</f>
        <v>KIT</v>
      </c>
      <c r="AC252" s="1" t="str" cm="1">
        <f t="array" ref="AC252">IFERROR(VLOOKUP($X252,$AN:AS,COLUMN(AS:AS)-COLUMN($AN:$AN)+1,FALSE),"")</f>
        <v>GRAY</v>
      </c>
      <c r="AD252" s="1" t="s">
        <v>19</v>
      </c>
      <c r="AF252" s="1">
        <f>Table1[[#This Row],[C:C]]*1.1</f>
        <v>0</v>
      </c>
      <c r="AI252" s="1">
        <f>IFERROR(VLOOKUP(X252,#REF!,8,FALSE),0)</f>
        <v>0</v>
      </c>
      <c r="AN252" s="1" t="str">
        <f>PROD_ID_TABLE[[#This Row],[PROD ID]]</f>
        <v xml:space="preserve">3746 HIGH ULSE15 </v>
      </c>
      <c r="AO252" s="1" t="str">
        <f t="shared" si="39"/>
        <v>RESUFLOR 3746 HIGH PERFORMANCE EPOXYULTRA DEEP BASE15 GAL</v>
      </c>
      <c r="AP252" s="3">
        <f t="shared" si="40"/>
        <v>982.21</v>
      </c>
      <c r="AQ252" s="1" t="str">
        <f t="shared" si="41"/>
        <v>15 GAL</v>
      </c>
      <c r="AS252" s="1" t="str">
        <f t="shared" si="42"/>
        <v>ULTRA DEEP BASE</v>
      </c>
      <c r="AT252"/>
      <c r="AU252"/>
      <c r="AV252"/>
      <c r="AY252" t="str">
        <f t="shared" si="43"/>
        <v xml:space="preserve">3746 HIGH ULSE15 </v>
      </c>
      <c r="AZ252" s="1" t="str">
        <f t="shared" si="44"/>
        <v xml:space="preserve">3746 HIGH </v>
      </c>
      <c r="BA252" t="str">
        <f t="shared" si="45"/>
        <v>ULSE</v>
      </c>
      <c r="BB252" s="1" t="str">
        <f t="shared" si="37"/>
        <v xml:space="preserve">15 </v>
      </c>
      <c r="BC252" s="1">
        <f t="shared" si="38"/>
        <v>982.21</v>
      </c>
      <c r="BD252" s="62" t="s">
        <v>346</v>
      </c>
      <c r="BE252" s="55" t="s">
        <v>330</v>
      </c>
      <c r="BF252" s="55" t="s">
        <v>408</v>
      </c>
      <c r="BG252" s="55" t="s">
        <v>311</v>
      </c>
      <c r="BJ252"/>
      <c r="BK252"/>
      <c r="BM252"/>
    </row>
    <row r="253" spans="22:65" x14ac:dyDescent="0.35">
      <c r="V253" s="1" t="str">
        <v>E HF HS URCOAYKIT</v>
      </c>
      <c r="X253" s="1" t="str">
        <f t="shared" si="46"/>
        <v>E SL HS SEREEDKIT</v>
      </c>
      <c r="Y253" s="1" t="str" cm="1">
        <f t="array" ref="Y253">IFERROR(VLOOKUP($X253,$AN:AO,COLUMN(AO:AO)-COLUMN($AN:$AN)+1,FALSE),"")</f>
        <v>POLY-CRETE SL HS SELF LEVELING URETHANEREDKIT</v>
      </c>
      <c r="Z253" s="63" cm="1">
        <f t="array" ref="Z253">IFERROR(VLOOKUP($X253,$AN:AP,COLUMN(AP:AP)-COLUMN($AN:$AN)+1,FALSE),"")</f>
        <v>102.4</v>
      </c>
      <c r="AA253" s="1" t="str" cm="1">
        <f t="array" ref="AA253">IFERROR(VLOOKUP($X253,$AN:AQ,COLUMN(AQ:AQ)-COLUMN($AN:$AN)+1,FALSE),"")</f>
        <v>KIT</v>
      </c>
      <c r="AC253" s="1" t="str" cm="1">
        <f t="array" ref="AC253">IFERROR(VLOOKUP($X253,$AN:AS,COLUMN(AS:AS)-COLUMN($AN:$AN)+1,FALSE),"")</f>
        <v>RED</v>
      </c>
      <c r="AD253" s="1" t="s">
        <v>19</v>
      </c>
      <c r="AF253" s="1">
        <f>Table1[[#This Row],[C:C]]*1.1</f>
        <v>0</v>
      </c>
      <c r="AI253" s="1">
        <f>IFERROR(VLOOKUP(X253,#REF!,8,FALSE),0)</f>
        <v>0</v>
      </c>
      <c r="AN253" s="1" t="str">
        <f>PROD_ID_TABLE[[#This Row],[PROD ID]]</f>
        <v xml:space="preserve">3746 HIGH WHSE15 </v>
      </c>
      <c r="AO253" s="1" t="str">
        <f t="shared" si="39"/>
        <v>RESUFLOR 3746 HIGH PERFORMANCE EPOXYWHITE TINT BASE15 GAL</v>
      </c>
      <c r="AP253" s="3">
        <f t="shared" si="40"/>
        <v>982.21</v>
      </c>
      <c r="AQ253" s="1" t="str">
        <f t="shared" si="41"/>
        <v>15 GAL</v>
      </c>
      <c r="AS253" s="1" t="str">
        <f t="shared" si="42"/>
        <v>WHITE TINT BASE</v>
      </c>
      <c r="AT253"/>
      <c r="AU253"/>
      <c r="AV253"/>
      <c r="AY253" t="str">
        <f t="shared" si="43"/>
        <v xml:space="preserve">3746 HIGH WHSE15 </v>
      </c>
      <c r="AZ253" s="1" t="str">
        <f t="shared" si="44"/>
        <v xml:space="preserve">3746 HIGH </v>
      </c>
      <c r="BA253" t="str">
        <f t="shared" si="45"/>
        <v>WHSE</v>
      </c>
      <c r="BB253" s="1" t="str">
        <f t="shared" si="37"/>
        <v xml:space="preserve">15 </v>
      </c>
      <c r="BC253" s="1">
        <f t="shared" si="38"/>
        <v>982.21</v>
      </c>
      <c r="BD253" s="62" t="s">
        <v>346</v>
      </c>
      <c r="BE253" s="55" t="s">
        <v>331</v>
      </c>
      <c r="BF253" s="55" t="s">
        <v>408</v>
      </c>
      <c r="BG253" s="55" t="s">
        <v>311</v>
      </c>
      <c r="BJ253"/>
      <c r="BK253"/>
      <c r="BM253"/>
    </row>
    <row r="254" spans="22:65" x14ac:dyDescent="0.35">
      <c r="V254" s="1" t="str">
        <v>E HF HS URDAAYKIT</v>
      </c>
      <c r="X254" s="1" t="str">
        <f t="shared" si="46"/>
        <v>E MD HS URBLUEKIT</v>
      </c>
      <c r="Y254" s="1" t="str" cm="1">
        <f t="array" ref="Y254">IFERROR(VLOOKUP($X254,$AN:AO,COLUMN(AO:AO)-COLUMN($AN:$AN)+1,FALSE),"")</f>
        <v>POLY-CRETE MD HS URETHANE CONCRETE COATINGBLUEKIT</v>
      </c>
      <c r="Z254" s="63" cm="1">
        <f t="array" ref="Z254">IFERROR(VLOOKUP($X254,$AN:AP,COLUMN(AP:AP)-COLUMN($AN:$AN)+1,FALSE),"")</f>
        <v>116.52</v>
      </c>
      <c r="AA254" s="1" t="str" cm="1">
        <f t="array" ref="AA254">IFERROR(VLOOKUP($X254,$AN:AQ,COLUMN(AQ:AQ)-COLUMN($AN:$AN)+1,FALSE),"")</f>
        <v>KIT</v>
      </c>
      <c r="AC254" s="1" t="str" cm="1">
        <f t="array" ref="AC254">IFERROR(VLOOKUP($X254,$AN:AS,COLUMN(AS:AS)-COLUMN($AN:$AN)+1,FALSE),"")</f>
        <v>BLUE</v>
      </c>
      <c r="AD254" s="1" t="s">
        <v>19</v>
      </c>
      <c r="AF254" s="1">
        <f>Table1[[#This Row],[C:C]]*1.1</f>
        <v>0</v>
      </c>
      <c r="AI254" s="1">
        <f>IFERROR(VLOOKUP(X254,#REF!,8,FALSE),0)</f>
        <v>0</v>
      </c>
      <c r="AN254" s="1" t="str">
        <f>PROD_ID_TABLE[[#This Row],[PROD ID]]</f>
        <v>3741 CHEMISTAY3 G</v>
      </c>
      <c r="AO254" s="1" t="str">
        <f t="shared" si="39"/>
        <v>RESUFLOR 3741 CHEMICAL RESISTANT NOVOLACSTEEL GRAY3 GAL</v>
      </c>
      <c r="AP254" s="3">
        <f t="shared" si="40"/>
        <v>388.66</v>
      </c>
      <c r="AQ254" s="1" t="str">
        <f t="shared" si="41"/>
        <v>3 GAL</v>
      </c>
      <c r="AS254" s="1" t="str">
        <f t="shared" si="42"/>
        <v>STEEL GRAY</v>
      </c>
      <c r="AT254"/>
      <c r="AU254"/>
      <c r="AV254"/>
      <c r="AY254" t="str">
        <f t="shared" si="43"/>
        <v>3741 CHEMISTAY3 G</v>
      </c>
      <c r="AZ254" s="1" t="str">
        <f t="shared" si="44"/>
        <v>3741 CHEMI</v>
      </c>
      <c r="BA254" t="str">
        <f t="shared" si="45"/>
        <v>STAY</v>
      </c>
      <c r="BB254" s="1" t="str">
        <f t="shared" si="37"/>
        <v>3 G</v>
      </c>
      <c r="BC254" s="1">
        <f t="shared" si="38"/>
        <v>388.66</v>
      </c>
      <c r="BD254" s="1" t="s">
        <v>347</v>
      </c>
      <c r="BE254" s="14" t="s">
        <v>319</v>
      </c>
      <c r="BF254" s="14" t="s">
        <v>407</v>
      </c>
      <c r="BG254" s="14" t="s">
        <v>311</v>
      </c>
      <c r="BJ254"/>
      <c r="BK254"/>
      <c r="BM254"/>
    </row>
    <row r="255" spans="22:65" x14ac:dyDescent="0.35">
      <c r="V255" s="1" t="str">
        <v>E HF HS URGRENKIT</v>
      </c>
      <c r="X255" s="1" t="str">
        <f t="shared" si="46"/>
        <v>E MD HS URCHALKIT</v>
      </c>
      <c r="Y255" s="1" t="str" cm="1">
        <f t="array" ref="Y255">IFERROR(VLOOKUP($X255,$AN:AO,COLUMN(AO:AO)-COLUMN($AN:$AN)+1,FALSE),"")</f>
        <v>POLY-CRETE MD HS URETHANE CONCRETE COATINGCHARCOALKIT</v>
      </c>
      <c r="Z255" s="63" cm="1">
        <f t="array" ref="Z255">IFERROR(VLOOKUP($X255,$AN:AP,COLUMN(AP:AP)-COLUMN($AN:$AN)+1,FALSE),"")</f>
        <v>116.52</v>
      </c>
      <c r="AA255" s="1" t="str" cm="1">
        <f t="array" ref="AA255">IFERROR(VLOOKUP($X255,$AN:AQ,COLUMN(AQ:AQ)-COLUMN($AN:$AN)+1,FALSE),"")</f>
        <v>KIT</v>
      </c>
      <c r="AC255" s="1" t="str" cm="1">
        <f t="array" ref="AC255">IFERROR(VLOOKUP($X255,$AN:AS,COLUMN(AS:AS)-COLUMN($AN:$AN)+1,FALSE),"")</f>
        <v>CHARCOAL</v>
      </c>
      <c r="AD255" s="1" t="s">
        <v>19</v>
      </c>
      <c r="AF255" s="1">
        <f>Table1[[#This Row],[C:C]]*1.1</f>
        <v>0</v>
      </c>
      <c r="AI255" s="1">
        <f>IFERROR(VLOOKUP(X255,#REF!,8,FALSE),0)</f>
        <v>0</v>
      </c>
      <c r="AN255" s="1" t="str">
        <f>PROD_ID_TABLE[[#This Row],[PROD ID]]</f>
        <v>3741 CHEMICLLE3 G</v>
      </c>
      <c r="AO255" s="1" t="str">
        <f t="shared" si="39"/>
        <v>RESUFLOR 3741 CHEMICAL RESISTANT NOVOLACCLASIC RED TILE3 GAL</v>
      </c>
      <c r="AP255" s="3">
        <f t="shared" si="40"/>
        <v>388.66</v>
      </c>
      <c r="AQ255" s="1" t="str">
        <f t="shared" si="41"/>
        <v>3 GAL</v>
      </c>
      <c r="AS255" s="1" t="str">
        <f t="shared" si="42"/>
        <v>CLASIC RED TILE</v>
      </c>
      <c r="AT255"/>
      <c r="AU255"/>
      <c r="AV255"/>
      <c r="AY255" t="str">
        <f t="shared" si="43"/>
        <v>3741 CHEMICLLE3 G</v>
      </c>
      <c r="AZ255" s="1" t="str">
        <f t="shared" si="44"/>
        <v>3741 CHEMI</v>
      </c>
      <c r="BA255" t="str">
        <f t="shared" si="45"/>
        <v>CLLE</v>
      </c>
      <c r="BB255" s="1" t="str">
        <f t="shared" si="37"/>
        <v>3 G</v>
      </c>
      <c r="BC255" s="1">
        <f t="shared" si="38"/>
        <v>388.66</v>
      </c>
      <c r="BD255" s="1" t="s">
        <v>347</v>
      </c>
      <c r="BE255" s="14" t="s">
        <v>328</v>
      </c>
      <c r="BF255" s="14" t="s">
        <v>407</v>
      </c>
      <c r="BG255" s="14" t="s">
        <v>311</v>
      </c>
      <c r="BJ255"/>
      <c r="BK255"/>
      <c r="BM255"/>
    </row>
    <row r="256" spans="22:65" x14ac:dyDescent="0.35">
      <c r="V256" s="1" t="str">
        <v>E HF HS URGRAYKIT</v>
      </c>
      <c r="X256" s="1" t="str">
        <f t="shared" si="46"/>
        <v>E MD HS URCHUTKIT</v>
      </c>
      <c r="Y256" s="1" t="str" cm="1">
        <f t="array" ref="Y256">IFERROR(VLOOKUP($X256,$AN:AO,COLUMN(AO:AO)-COLUMN($AN:$AN)+1,FALSE),"")</f>
        <v>POLY-CRETE MD HS URETHANE CONCRETE COATINGCHESTNUTKIT</v>
      </c>
      <c r="Z256" s="63" cm="1">
        <f t="array" ref="Z256">IFERROR(VLOOKUP($X256,$AN:AP,COLUMN(AP:AP)-COLUMN($AN:$AN)+1,FALSE),"")</f>
        <v>116.52</v>
      </c>
      <c r="AA256" s="1" t="str" cm="1">
        <f t="array" ref="AA256">IFERROR(VLOOKUP($X256,$AN:AQ,COLUMN(AQ:AQ)-COLUMN($AN:$AN)+1,FALSE),"")</f>
        <v>KIT</v>
      </c>
      <c r="AC256" s="1" t="str" cm="1">
        <f t="array" ref="AC256">IFERROR(VLOOKUP($X256,$AN:AS,COLUMN(AS:AS)-COLUMN($AN:$AN)+1,FALSE),"")</f>
        <v>CHESTNUT</v>
      </c>
      <c r="AD256" s="1" t="s">
        <v>19</v>
      </c>
      <c r="AF256" s="1">
        <f>Table1[[#This Row],[C:C]]*1.1</f>
        <v>0</v>
      </c>
      <c r="AI256" s="1">
        <f>IFERROR(VLOOKUP(X256,#REF!,8,FALSE),0)</f>
        <v>0</v>
      </c>
      <c r="AN256" s="1" t="str">
        <f>PROD_ID_TABLE[[#This Row],[PROD ID]]</f>
        <v>3741 CHEMICAAY3 G</v>
      </c>
      <c r="AO256" s="1" t="str">
        <f t="shared" si="39"/>
        <v>RESUFLOR 3741 CHEMICAL RESISTANT NOVOLACCANADA GRAY3 GAL</v>
      </c>
      <c r="AP256" s="3">
        <f t="shared" si="40"/>
        <v>388.66</v>
      </c>
      <c r="AQ256" s="1" t="str">
        <f t="shared" si="41"/>
        <v>3 GAL</v>
      </c>
      <c r="AS256" s="1" t="str">
        <f t="shared" si="42"/>
        <v>CANADA GRAY</v>
      </c>
      <c r="AT256"/>
      <c r="AU256"/>
      <c r="AV256"/>
      <c r="AY256" t="str">
        <f t="shared" si="43"/>
        <v>3741 CHEMICAAY3 G</v>
      </c>
      <c r="AZ256" s="1" t="str">
        <f t="shared" si="44"/>
        <v>3741 CHEMI</v>
      </c>
      <c r="BA256" t="str">
        <f t="shared" si="45"/>
        <v>CAAY</v>
      </c>
      <c r="BB256" s="1" t="str">
        <f t="shared" si="37"/>
        <v>3 G</v>
      </c>
      <c r="BC256" s="1">
        <f t="shared" si="38"/>
        <v>388.66</v>
      </c>
      <c r="BD256" s="1" t="s">
        <v>347</v>
      </c>
      <c r="BE256" s="14" t="s">
        <v>332</v>
      </c>
      <c r="BF256" s="14" t="s">
        <v>407</v>
      </c>
      <c r="BG256" s="14" t="s">
        <v>311</v>
      </c>
      <c r="BJ256"/>
      <c r="BK256"/>
      <c r="BM256"/>
    </row>
    <row r="257" spans="22:65" x14ac:dyDescent="0.35">
      <c r="V257" s="1" t="str">
        <v>E HF HS URREEDKIT</v>
      </c>
      <c r="X257" s="1" t="str">
        <f t="shared" si="46"/>
        <v>E MD HS URCOAYKIT</v>
      </c>
      <c r="Y257" s="1" t="str" cm="1">
        <f t="array" ref="Y257">IFERROR(VLOOKUP($X257,$AN:AO,COLUMN(AO:AO)-COLUMN($AN:$AN)+1,FALSE),"")</f>
        <v>POLY-CRETE MD HS URETHANE CONCRETE COATINGCONCRETE GRAYKIT</v>
      </c>
      <c r="Z257" s="63" cm="1">
        <f t="array" ref="Z257">IFERROR(VLOOKUP($X257,$AN:AP,COLUMN(AP:AP)-COLUMN($AN:$AN)+1,FALSE),"")</f>
        <v>116.52</v>
      </c>
      <c r="AA257" s="1" t="str" cm="1">
        <f t="array" ref="AA257">IFERROR(VLOOKUP($X257,$AN:AQ,COLUMN(AQ:AQ)-COLUMN($AN:$AN)+1,FALSE),"")</f>
        <v>KIT</v>
      </c>
      <c r="AC257" s="1" t="str" cm="1">
        <f t="array" ref="AC257">IFERROR(VLOOKUP($X257,$AN:AS,COLUMN(AS:AS)-COLUMN($AN:$AN)+1,FALSE),"")</f>
        <v>CONCRETE GRAY</v>
      </c>
      <c r="AD257" s="1" t="s">
        <v>19</v>
      </c>
      <c r="AF257" s="1">
        <f>Table1[[#This Row],[C:C]]*1.1</f>
        <v>0</v>
      </c>
      <c r="AI257" s="1">
        <f>IFERROR(VLOOKUP(X257,#REF!,8,FALSE),0)</f>
        <v>0</v>
      </c>
      <c r="AN257" s="1" t="str">
        <f>PROD_ID_TABLE[[#This Row],[PROD ID]]</f>
        <v>3741 CHEMICUOM3 G</v>
      </c>
      <c r="AO257" s="1" t="str">
        <f t="shared" si="39"/>
        <v>RESUFLOR 3741 CHEMICAL RESISTANT NOVOLACCUSTOM3 GAL</v>
      </c>
      <c r="AP257" s="3">
        <f t="shared" si="40"/>
        <v>388.66</v>
      </c>
      <c r="AQ257" s="1" t="str">
        <f t="shared" si="41"/>
        <v>3 GAL</v>
      </c>
      <c r="AS257" s="1" t="str">
        <f t="shared" si="42"/>
        <v>CUSTOM</v>
      </c>
      <c r="AT257"/>
      <c r="AU257"/>
      <c r="AV257"/>
      <c r="AY257" t="str">
        <f t="shared" si="43"/>
        <v>3741 CHEMICUOM3 G</v>
      </c>
      <c r="AZ257" s="1" t="str">
        <f t="shared" si="44"/>
        <v>3741 CHEMI</v>
      </c>
      <c r="BA257" t="str">
        <f t="shared" si="45"/>
        <v>CUOM</v>
      </c>
      <c r="BB257" s="1" t="str">
        <f t="shared" si="37"/>
        <v>3 G</v>
      </c>
      <c r="BC257" s="1">
        <f t="shared" si="38"/>
        <v>388.66</v>
      </c>
      <c r="BD257" s="1" t="s">
        <v>347</v>
      </c>
      <c r="BE257" s="14" t="s">
        <v>316</v>
      </c>
      <c r="BF257" s="14" t="s">
        <v>407</v>
      </c>
      <c r="BG257" s="14" t="s">
        <v>311</v>
      </c>
      <c r="BJ257"/>
      <c r="BK257"/>
      <c r="BM257"/>
    </row>
    <row r="258" spans="22:65" x14ac:dyDescent="0.35">
      <c r="V258" s="1" t="str">
        <v>E COLOR-FABLUEKIT</v>
      </c>
      <c r="X258" s="1" t="str">
        <f t="shared" si="46"/>
        <v>E MD HS URDAAYKIT</v>
      </c>
      <c r="Y258" s="1" t="str" cm="1">
        <f t="array" ref="Y258">IFERROR(VLOOKUP($X258,$AN:AO,COLUMN(AO:AO)-COLUMN($AN:$AN)+1,FALSE),"")</f>
        <v>POLY-CRETE MD HS URETHANE CONCRETE COATINGDARK GRAYKIT</v>
      </c>
      <c r="Z258" s="63" cm="1">
        <f t="array" ref="Z258">IFERROR(VLOOKUP($X258,$AN:AP,COLUMN(AP:AP)-COLUMN($AN:$AN)+1,FALSE),"")</f>
        <v>116.52</v>
      </c>
      <c r="AA258" s="1" t="str" cm="1">
        <f t="array" ref="AA258">IFERROR(VLOOKUP($X258,$AN:AQ,COLUMN(AQ:AQ)-COLUMN($AN:$AN)+1,FALSE),"")</f>
        <v>KIT</v>
      </c>
      <c r="AC258" s="1" t="str" cm="1">
        <f t="array" ref="AC258">IFERROR(VLOOKUP($X258,$AN:AS,COLUMN(AS:AS)-COLUMN($AN:$AN)+1,FALSE),"")</f>
        <v>DARK GRAY</v>
      </c>
      <c r="AD258" s="1" t="s">
        <v>19</v>
      </c>
      <c r="AF258" s="1">
        <f>Table1[[#This Row],[C:C]]*1.1</f>
        <v>0</v>
      </c>
      <c r="AI258" s="1">
        <f>IFERROR(VLOOKUP(X258,#REF!,8,FALSE),0)</f>
        <v>0</v>
      </c>
      <c r="AN258" s="1" t="str">
        <f>PROD_ID_TABLE[[#This Row],[PROD ID]]</f>
        <v xml:space="preserve">3741 CHEMISTAY15 </v>
      </c>
      <c r="AO258" s="1" t="str">
        <f t="shared" si="39"/>
        <v>RESUFLOR 3741 CHEMICAL RESISTANT NOVOLACSTEEL GRAY15 GAL</v>
      </c>
      <c r="AP258" s="3">
        <f t="shared" si="40"/>
        <v>1900.58</v>
      </c>
      <c r="AQ258" s="1" t="str">
        <f t="shared" si="41"/>
        <v>15 GAL</v>
      </c>
      <c r="AS258" s="1" t="str">
        <f t="shared" si="42"/>
        <v>STEEL GRAY</v>
      </c>
      <c r="AT258"/>
      <c r="AU258"/>
      <c r="AV258"/>
      <c r="AY258" t="str">
        <f t="shared" si="43"/>
        <v xml:space="preserve">3741 CHEMISTAY15 </v>
      </c>
      <c r="AZ258" s="1" t="str">
        <f t="shared" si="44"/>
        <v>3741 CHEMI</v>
      </c>
      <c r="BA258" t="str">
        <f t="shared" si="45"/>
        <v>STAY</v>
      </c>
      <c r="BB258" s="1" t="str">
        <f t="shared" ref="BB258:BB303" si="47">LEFT(BF258,3)</f>
        <v xml:space="preserve">15 </v>
      </c>
      <c r="BC258" s="1">
        <f t="shared" ref="BC258:BC272" si="48">IFERROR(VLOOKUP(BD258&amp;BF258,AV:AW,2,FALSE),0)</f>
        <v>1900.58</v>
      </c>
      <c r="BD258" s="1" t="s">
        <v>347</v>
      </c>
      <c r="BE258" s="14" t="s">
        <v>319</v>
      </c>
      <c r="BF258" s="14" t="s">
        <v>408</v>
      </c>
      <c r="BG258" s="14" t="s">
        <v>311</v>
      </c>
      <c r="BJ258"/>
      <c r="BK258"/>
      <c r="BM258"/>
    </row>
    <row r="259" spans="22:65" x14ac:dyDescent="0.35">
      <c r="V259" s="1" t="str">
        <v>E COLOR-FACHALKIT</v>
      </c>
      <c r="X259" s="1" t="str">
        <f t="shared" si="46"/>
        <v>E MD HS URGRENKIT</v>
      </c>
      <c r="Y259" s="1" t="str" cm="1">
        <f t="array" ref="Y259">IFERROR(VLOOKUP($X259,$AN:AO,COLUMN(AO:AO)-COLUMN($AN:$AN)+1,FALSE),"")</f>
        <v>POLY-CRETE MD HS URETHANE CONCRETE COATINGGREENKIT</v>
      </c>
      <c r="Z259" s="63" cm="1">
        <f t="array" ref="Z259">IFERROR(VLOOKUP($X259,$AN:AP,COLUMN(AP:AP)-COLUMN($AN:$AN)+1,FALSE),"")</f>
        <v>116.52</v>
      </c>
      <c r="AA259" s="1" t="str" cm="1">
        <f t="array" ref="AA259">IFERROR(VLOOKUP($X259,$AN:AQ,COLUMN(AQ:AQ)-COLUMN($AN:$AN)+1,FALSE),"")</f>
        <v>KIT</v>
      </c>
      <c r="AC259" s="1" t="str" cm="1">
        <f t="array" ref="AC259">IFERROR(VLOOKUP($X259,$AN:AS,COLUMN(AS:AS)-COLUMN($AN:$AN)+1,FALSE),"")</f>
        <v>GREEN</v>
      </c>
      <c r="AD259" s="1" t="s">
        <v>19</v>
      </c>
      <c r="AF259" s="1">
        <f>Table1[[#This Row],[C:C]]*1.1</f>
        <v>0</v>
      </c>
      <c r="AI259" s="1">
        <f>IFERROR(VLOOKUP(X259,#REF!,8,FALSE),0)</f>
        <v>0</v>
      </c>
      <c r="AN259" s="1" t="str">
        <f>PROD_ID_TABLE[[#This Row],[PROD ID]]</f>
        <v xml:space="preserve">3741 CHEMICLLE15 </v>
      </c>
      <c r="AO259" s="1" t="str">
        <f t="shared" ref="AO259:AO322" si="49">_xlfn.CONCAT(BD259:BF259)</f>
        <v>RESUFLOR 3741 CHEMICAL RESISTANT NOVOLACCLASIC RED TILE15 GAL</v>
      </c>
      <c r="AP259" s="3">
        <f t="shared" ref="AP259:AP322" si="50">BC259</f>
        <v>1900.58</v>
      </c>
      <c r="AQ259" s="1" t="str">
        <f t="shared" ref="AQ259:AQ322" si="51">BF259</f>
        <v>15 GAL</v>
      </c>
      <c r="AS259" s="1" t="str">
        <f t="shared" ref="AS259:AS322" si="52">BE259</f>
        <v>CLASIC RED TILE</v>
      </c>
      <c r="AT259"/>
      <c r="AU259"/>
      <c r="AV259"/>
      <c r="AY259" t="str">
        <f t="shared" ref="AY259:AY319" si="53">_xlfn.CONCAT(AZ259:BB259)</f>
        <v xml:space="preserve">3741 CHEMICLLE15 </v>
      </c>
      <c r="AZ259" s="1" t="str">
        <f t="shared" ref="AZ259:AZ319" si="54">MID(BD259,10,10)</f>
        <v>3741 CHEMI</v>
      </c>
      <c r="BA259" t="str">
        <f t="shared" ref="BA259:BA319" si="55">LEFT(BE259,2)&amp;RIGHT(BE259,2)</f>
        <v>CLLE</v>
      </c>
      <c r="BB259" s="1" t="str">
        <f t="shared" si="47"/>
        <v xml:space="preserve">15 </v>
      </c>
      <c r="BC259" s="1">
        <f t="shared" si="48"/>
        <v>1900.58</v>
      </c>
      <c r="BD259" s="1" t="s">
        <v>347</v>
      </c>
      <c r="BE259" s="14" t="s">
        <v>328</v>
      </c>
      <c r="BF259" s="14" t="s">
        <v>408</v>
      </c>
      <c r="BG259" s="14" t="s">
        <v>311</v>
      </c>
      <c r="BJ259"/>
      <c r="BK259"/>
      <c r="BM259"/>
    </row>
    <row r="260" spans="22:65" x14ac:dyDescent="0.35">
      <c r="V260" s="1" t="str">
        <v>E COLOR-FACHUTKIT</v>
      </c>
      <c r="X260" s="1" t="str">
        <f t="shared" si="46"/>
        <v>E MD HS URGRAYKIT</v>
      </c>
      <c r="Y260" s="1" t="str" cm="1">
        <f t="array" ref="Y260">IFERROR(VLOOKUP($X260,$AN:AO,COLUMN(AO:AO)-COLUMN($AN:$AN)+1,FALSE),"")</f>
        <v>POLY-CRETE MD HS URETHANE CONCRETE COATINGGRAYKIT</v>
      </c>
      <c r="Z260" s="63" cm="1">
        <f t="array" ref="Z260">IFERROR(VLOOKUP($X260,$AN:AP,COLUMN(AP:AP)-COLUMN($AN:$AN)+1,FALSE),"")</f>
        <v>116.52</v>
      </c>
      <c r="AA260" s="1" t="str" cm="1">
        <f t="array" ref="AA260">IFERROR(VLOOKUP($X260,$AN:AQ,COLUMN(AQ:AQ)-COLUMN($AN:$AN)+1,FALSE),"")</f>
        <v>KIT</v>
      </c>
      <c r="AC260" s="1" t="str" cm="1">
        <f t="array" ref="AC260">IFERROR(VLOOKUP($X260,$AN:AS,COLUMN(AS:AS)-COLUMN($AN:$AN)+1,FALSE),"")</f>
        <v>GRAY</v>
      </c>
      <c r="AD260" s="1" t="s">
        <v>19</v>
      </c>
      <c r="AF260" s="1">
        <f>Table1[[#This Row],[C:C]]*1.1</f>
        <v>0</v>
      </c>
      <c r="AI260" s="1">
        <f>IFERROR(VLOOKUP(X260,#REF!,8,FALSE),0)</f>
        <v>0</v>
      </c>
      <c r="AN260" s="1" t="str">
        <f>PROD_ID_TABLE[[#This Row],[PROD ID]]</f>
        <v xml:space="preserve">3741 CHEMICAAY15 </v>
      </c>
      <c r="AO260" s="1" t="str">
        <f t="shared" si="49"/>
        <v>RESUFLOR 3741 CHEMICAL RESISTANT NOVOLACCANADA GRAY15 GAL</v>
      </c>
      <c r="AP260" s="3">
        <f t="shared" si="50"/>
        <v>1900.58</v>
      </c>
      <c r="AQ260" s="1" t="str">
        <f t="shared" si="51"/>
        <v>15 GAL</v>
      </c>
      <c r="AS260" s="1" t="str">
        <f t="shared" si="52"/>
        <v>CANADA GRAY</v>
      </c>
      <c r="AT260"/>
      <c r="AU260"/>
      <c r="AV260"/>
      <c r="AY260" t="str">
        <f t="shared" si="53"/>
        <v xml:space="preserve">3741 CHEMICAAY15 </v>
      </c>
      <c r="AZ260" s="1" t="str">
        <f t="shared" si="54"/>
        <v>3741 CHEMI</v>
      </c>
      <c r="BA260" t="str">
        <f t="shared" si="55"/>
        <v>CAAY</v>
      </c>
      <c r="BB260" s="1" t="str">
        <f t="shared" si="47"/>
        <v xml:space="preserve">15 </v>
      </c>
      <c r="BC260" s="1">
        <f t="shared" si="48"/>
        <v>1900.58</v>
      </c>
      <c r="BD260" s="1" t="s">
        <v>347</v>
      </c>
      <c r="BE260" s="14" t="s">
        <v>332</v>
      </c>
      <c r="BF260" s="14" t="s">
        <v>408</v>
      </c>
      <c r="BG260" s="14" t="s">
        <v>311</v>
      </c>
      <c r="BJ260"/>
      <c r="BK260"/>
      <c r="BM260"/>
    </row>
    <row r="261" spans="22:65" x14ac:dyDescent="0.35">
      <c r="V261" s="1" t="str">
        <v>E COLOR-FADAAYKIT</v>
      </c>
      <c r="X261" s="1" t="str">
        <f t="shared" si="46"/>
        <v>E MD HS URREEDKIT</v>
      </c>
      <c r="Y261" s="1" t="str" cm="1">
        <f t="array" ref="Y261">IFERROR(VLOOKUP($X261,$AN:AO,COLUMN(AO:AO)-COLUMN($AN:$AN)+1,FALSE),"")</f>
        <v>POLY-CRETE MD HS URETHANE CONCRETE COATINGREDKIT</v>
      </c>
      <c r="Z261" s="63" cm="1">
        <f t="array" ref="Z261">IFERROR(VLOOKUP($X261,$AN:AP,COLUMN(AP:AP)-COLUMN($AN:$AN)+1,FALSE),"")</f>
        <v>116.52</v>
      </c>
      <c r="AA261" s="1" t="str" cm="1">
        <f t="array" ref="AA261">IFERROR(VLOOKUP($X261,$AN:AQ,COLUMN(AQ:AQ)-COLUMN($AN:$AN)+1,FALSE),"")</f>
        <v>KIT</v>
      </c>
      <c r="AC261" s="1" t="str" cm="1">
        <f t="array" ref="AC261">IFERROR(VLOOKUP($X261,$AN:AS,COLUMN(AS:AS)-COLUMN($AN:$AN)+1,FALSE),"")</f>
        <v>RED</v>
      </c>
      <c r="AD261" s="1" t="s">
        <v>19</v>
      </c>
      <c r="AF261" s="1">
        <f>Table1[[#This Row],[C:C]]*1.1</f>
        <v>0</v>
      </c>
      <c r="AI261" s="1">
        <f>IFERROR(VLOOKUP(X261,#REF!,8,FALSE),0)</f>
        <v>0</v>
      </c>
      <c r="AN261" s="1" t="str">
        <f>PROD_ID_TABLE[[#This Row],[PROD ID]]</f>
        <v xml:space="preserve">3741 CHEMICUOM15 </v>
      </c>
      <c r="AO261" s="1" t="str">
        <f t="shared" si="49"/>
        <v>RESUFLOR 3741 CHEMICAL RESISTANT NOVOLACCUSTOM15 GAL</v>
      </c>
      <c r="AP261" s="3">
        <f t="shared" si="50"/>
        <v>1900.58</v>
      </c>
      <c r="AQ261" s="1" t="str">
        <f t="shared" si="51"/>
        <v>15 GAL</v>
      </c>
      <c r="AS261" s="1" t="str">
        <f t="shared" si="52"/>
        <v>CUSTOM</v>
      </c>
      <c r="AT261"/>
      <c r="AU261"/>
      <c r="AV261"/>
      <c r="AY261" t="str">
        <f t="shared" si="53"/>
        <v xml:space="preserve">3741 CHEMICUOM15 </v>
      </c>
      <c r="AZ261" s="1" t="str">
        <f t="shared" si="54"/>
        <v>3741 CHEMI</v>
      </c>
      <c r="BA261" t="str">
        <f t="shared" si="55"/>
        <v>CUOM</v>
      </c>
      <c r="BB261" s="1" t="str">
        <f t="shared" si="47"/>
        <v xml:space="preserve">15 </v>
      </c>
      <c r="BC261" s="1">
        <f t="shared" si="48"/>
        <v>1900.58</v>
      </c>
      <c r="BD261" s="1" t="s">
        <v>347</v>
      </c>
      <c r="BE261" s="14" t="s">
        <v>316</v>
      </c>
      <c r="BF261" s="14" t="s">
        <v>408</v>
      </c>
      <c r="BG261" s="14" t="s">
        <v>311</v>
      </c>
      <c r="BJ261"/>
      <c r="BK261"/>
      <c r="BM261"/>
    </row>
    <row r="262" spans="22:65" x14ac:dyDescent="0.35">
      <c r="V262" s="1" t="str">
        <v>E COLOR-FAGRENKIT</v>
      </c>
      <c r="X262" s="1" t="str">
        <f t="shared" si="46"/>
        <v>E TF PLUS N//AKIT</v>
      </c>
      <c r="Y262" s="1" t="str" cm="1">
        <f t="array" ref="Y262">IFERROR(VLOOKUP($X262,$AN:AO,COLUMN(AO:AO)-COLUMN($AN:$AN)+1,FALSE),"")</f>
        <v>POLY-CRETE TF PLUS COVE VERTICAL APPLICATIONSN/AKIT</v>
      </c>
      <c r="Z262" s="63" cm="1">
        <f t="array" ref="Z262">IFERROR(VLOOKUP($X262,$AN:AP,COLUMN(AP:AP)-COLUMN($AN:$AN)+1,FALSE),"")</f>
        <v>31.799999999999997</v>
      </c>
      <c r="AA262" s="1" t="str" cm="1">
        <f t="array" ref="AA262">IFERROR(VLOOKUP($X262,$AN:AQ,COLUMN(AQ:AQ)-COLUMN($AN:$AN)+1,FALSE),"")</f>
        <v>KIT</v>
      </c>
      <c r="AC262" s="1" t="str" cm="1">
        <f t="array" ref="AC262">IFERROR(VLOOKUP($X262,$AN:AS,COLUMN(AS:AS)-COLUMN($AN:$AN)+1,FALSE),"")</f>
        <v>N/A</v>
      </c>
      <c r="AD262" s="1" t="s">
        <v>19</v>
      </c>
      <c r="AF262" s="1">
        <f>Table1[[#This Row],[C:C]]*1.1</f>
        <v>0</v>
      </c>
      <c r="AI262" s="1">
        <f>IFERROR(VLOOKUP(X262,#REF!,8,FALSE),0)</f>
        <v>0</v>
      </c>
      <c r="AN262" s="1" t="str">
        <f>PROD_ID_TABLE[[#This Row],[PROD ID]]</f>
        <v>3725 STATILIAY3 G</v>
      </c>
      <c r="AO262" s="1" t="str">
        <f t="shared" si="49"/>
        <v>RESUFLOR 3725 STATIC CONTROL EPOXYLIGHT GRAY3 GAL</v>
      </c>
      <c r="AP262" s="3">
        <f t="shared" si="50"/>
        <v>790.19999999999993</v>
      </c>
      <c r="AQ262" s="1" t="str">
        <f t="shared" si="51"/>
        <v>3 GAL</v>
      </c>
      <c r="AS262" s="1" t="str">
        <f t="shared" si="52"/>
        <v>LIGHT GRAY</v>
      </c>
      <c r="AT262"/>
      <c r="AU262"/>
      <c r="AV262"/>
      <c r="AY262" t="str">
        <f t="shared" si="53"/>
        <v>3725 STATILIAY3 G</v>
      </c>
      <c r="AZ262" s="1" t="str">
        <f t="shared" si="54"/>
        <v>3725 STATI</v>
      </c>
      <c r="BA262" t="str">
        <f t="shared" si="55"/>
        <v>LIAY</v>
      </c>
      <c r="BB262" s="1" t="str">
        <f t="shared" si="47"/>
        <v>3 G</v>
      </c>
      <c r="BC262" s="1">
        <f t="shared" si="48"/>
        <v>790.19999999999993</v>
      </c>
      <c r="BD262" s="62" t="s">
        <v>381</v>
      </c>
      <c r="BE262" s="55" t="s">
        <v>384</v>
      </c>
      <c r="BF262" s="55" t="s">
        <v>407</v>
      </c>
      <c r="BG262" s="55" t="s">
        <v>311</v>
      </c>
      <c r="BJ262"/>
      <c r="BK262"/>
      <c r="BM262"/>
    </row>
    <row r="263" spans="22:65" x14ac:dyDescent="0.35">
      <c r="V263" s="1" t="str">
        <v>E COLOR-FAGRAYKIT</v>
      </c>
      <c r="X263" s="1" t="str">
        <f t="shared" si="46"/>
        <v>E HF HS URCHALKIT</v>
      </c>
      <c r="Y263" s="1" t="str" cm="1">
        <f t="array" ref="Y263">IFERROR(VLOOKUP($X263,$AN:AO,COLUMN(AO:AO)-COLUMN($AN:$AN)+1,FALSE),"")</f>
        <v>POLY-CRETE HF HS URETHANE CONCRETE COATINGCHARCOALKIT</v>
      </c>
      <c r="Z263" s="63" cm="1">
        <f t="array" ref="Z263">IFERROR(VLOOKUP($X263,$AN:AP,COLUMN(AP:AP)-COLUMN($AN:$AN)+1,FALSE),"")</f>
        <v>79.45</v>
      </c>
      <c r="AA263" s="1" t="str" cm="1">
        <f t="array" ref="AA263">IFERROR(VLOOKUP($X263,$AN:AQ,COLUMN(AQ:AQ)-COLUMN($AN:$AN)+1,FALSE),"")</f>
        <v>KIT</v>
      </c>
      <c r="AC263" s="1" t="str" cm="1">
        <f t="array" ref="AC263">IFERROR(VLOOKUP($X263,$AN:AS,COLUMN(AS:AS)-COLUMN($AN:$AN)+1,FALSE),"")</f>
        <v>CHARCOAL</v>
      </c>
      <c r="AD263" s="1" t="s">
        <v>19</v>
      </c>
      <c r="AF263" s="1">
        <f>Table1[[#This Row],[C:C]]*1.1</f>
        <v>0</v>
      </c>
      <c r="AI263" s="1">
        <f>IFERROR(VLOOKUP(X263,#REF!,8,FALSE),0)</f>
        <v>0</v>
      </c>
      <c r="AN263" s="1" t="str">
        <f>PROD_ID_TABLE[[#This Row],[PROD ID]]</f>
        <v>3725 STATIMEAY3 G</v>
      </c>
      <c r="AO263" s="1" t="str">
        <f t="shared" si="49"/>
        <v>RESUFLOR 3725 STATIC CONTROL EPOXYMEDIUM GRAY3 GAL</v>
      </c>
      <c r="AP263" s="3">
        <f t="shared" si="50"/>
        <v>790.19999999999993</v>
      </c>
      <c r="AQ263" s="1" t="str">
        <f t="shared" si="51"/>
        <v>3 GAL</v>
      </c>
      <c r="AS263" s="1" t="str">
        <f t="shared" si="52"/>
        <v>MEDIUM GRAY</v>
      </c>
      <c r="AT263"/>
      <c r="AU263"/>
      <c r="AV263"/>
      <c r="AY263" t="str">
        <f t="shared" si="53"/>
        <v>3725 STATIMEAY3 G</v>
      </c>
      <c r="AZ263" s="1" t="str">
        <f t="shared" si="54"/>
        <v>3725 STATI</v>
      </c>
      <c r="BA263" t="str">
        <f t="shared" si="55"/>
        <v>MEAY</v>
      </c>
      <c r="BB263" s="1" t="str">
        <f t="shared" si="47"/>
        <v>3 G</v>
      </c>
      <c r="BC263" s="1">
        <f t="shared" si="48"/>
        <v>790.19999999999993</v>
      </c>
      <c r="BD263" s="62" t="s">
        <v>381</v>
      </c>
      <c r="BE263" s="55" t="s">
        <v>333</v>
      </c>
      <c r="BF263" s="55" t="s">
        <v>407</v>
      </c>
      <c r="BG263" s="55" t="s">
        <v>311</v>
      </c>
      <c r="BJ263"/>
      <c r="BK263"/>
      <c r="BM263"/>
    </row>
    <row r="264" spans="22:65" x14ac:dyDescent="0.35">
      <c r="V264" s="1" t="str">
        <v>E COLOR-FAREEDKIT</v>
      </c>
      <c r="X264" s="1" t="str">
        <f t="shared" si="46"/>
        <v>E HF HS URCHUTKIT</v>
      </c>
      <c r="Y264" s="1" t="str" cm="1">
        <f t="array" ref="Y264">IFERROR(VLOOKUP($X264,$AN:AO,COLUMN(AO:AO)-COLUMN($AN:$AN)+1,FALSE),"")</f>
        <v>POLY-CRETE HF HS URETHANE CONCRETE COATINGCHESTNUTKIT</v>
      </c>
      <c r="Z264" s="63" cm="1">
        <f t="array" ref="Z264">IFERROR(VLOOKUP($X264,$AN:AP,COLUMN(AP:AP)-COLUMN($AN:$AN)+1,FALSE),"")</f>
        <v>79.45</v>
      </c>
      <c r="AA264" s="1" t="str" cm="1">
        <f t="array" ref="AA264">IFERROR(VLOOKUP($X264,$AN:AQ,COLUMN(AQ:AQ)-COLUMN($AN:$AN)+1,FALSE),"")</f>
        <v>KIT</v>
      </c>
      <c r="AC264" s="1" t="str" cm="1">
        <f t="array" ref="AC264">IFERROR(VLOOKUP($X264,$AN:AS,COLUMN(AS:AS)-COLUMN($AN:$AN)+1,FALSE),"")</f>
        <v>CHESTNUT</v>
      </c>
      <c r="AD264" s="1" t="s">
        <v>19</v>
      </c>
      <c r="AF264" s="1">
        <f>Table1[[#This Row],[C:C]]*1.1</f>
        <v>0</v>
      </c>
      <c r="AI264" s="1">
        <f>IFERROR(VLOOKUP(X264,#REF!,8,FALSE),0)</f>
        <v>0</v>
      </c>
      <c r="AN264" s="1" t="str">
        <f>PROD_ID_TABLE[[#This Row],[PROD ID]]</f>
        <v>3725 STATICUOM3 G</v>
      </c>
      <c r="AO264" s="1" t="str">
        <f t="shared" si="49"/>
        <v>RESUFLOR 3725 STATIC CONTROL EPOXYCUSTOM3 GAL</v>
      </c>
      <c r="AP264" s="3">
        <f t="shared" si="50"/>
        <v>790.19999999999993</v>
      </c>
      <c r="AQ264" s="1" t="str">
        <f t="shared" si="51"/>
        <v>3 GAL</v>
      </c>
      <c r="AS264" s="1" t="str">
        <f t="shared" si="52"/>
        <v>CUSTOM</v>
      </c>
      <c r="AT264"/>
      <c r="AU264"/>
      <c r="AV264"/>
      <c r="AY264" t="str">
        <f t="shared" si="53"/>
        <v>3725 STATICUOM3 G</v>
      </c>
      <c r="AZ264" s="1" t="str">
        <f t="shared" si="54"/>
        <v>3725 STATI</v>
      </c>
      <c r="BA264" t="str">
        <f t="shared" si="55"/>
        <v>CUOM</v>
      </c>
      <c r="BB264" s="1" t="str">
        <f t="shared" si="47"/>
        <v>3 G</v>
      </c>
      <c r="BC264" s="1">
        <f t="shared" si="48"/>
        <v>790.19999999999993</v>
      </c>
      <c r="BD264" s="62" t="s">
        <v>381</v>
      </c>
      <c r="BE264" s="55" t="s">
        <v>316</v>
      </c>
      <c r="BF264" s="55" t="s">
        <v>407</v>
      </c>
      <c r="BG264" s="55" t="s">
        <v>311</v>
      </c>
      <c r="BJ264"/>
      <c r="BK264"/>
      <c r="BM264"/>
    </row>
    <row r="265" spans="22:65" x14ac:dyDescent="0.35">
      <c r="V265" s="1" t="str">
        <v>E WR COVE BLUEKIT</v>
      </c>
      <c r="X265" s="1" t="str">
        <f t="shared" si="46"/>
        <v>E HF HS URCOAYKIT</v>
      </c>
      <c r="Y265" s="1" t="str" cm="1">
        <f t="array" ref="Y265">IFERROR(VLOOKUP($X265,$AN:AO,COLUMN(AO:AO)-COLUMN($AN:$AN)+1,FALSE),"")</f>
        <v>POLY-CRETE HF HS URETHANE CONCRETE COATINGCONCRETE GRAYKIT</v>
      </c>
      <c r="Z265" s="63" cm="1">
        <f t="array" ref="Z265">IFERROR(VLOOKUP($X265,$AN:AP,COLUMN(AP:AP)-COLUMN($AN:$AN)+1,FALSE),"")</f>
        <v>79.45</v>
      </c>
      <c r="AA265" s="1" t="str" cm="1">
        <f t="array" ref="AA265">IFERROR(VLOOKUP($X265,$AN:AQ,COLUMN(AQ:AQ)-COLUMN($AN:$AN)+1,FALSE),"")</f>
        <v>KIT</v>
      </c>
      <c r="AC265" s="1" t="str" cm="1">
        <f t="array" ref="AC265">IFERROR(VLOOKUP($X265,$AN:AS,COLUMN(AS:AS)-COLUMN($AN:$AN)+1,FALSE),"")</f>
        <v>CONCRETE GRAY</v>
      </c>
      <c r="AD265" s="1" t="s">
        <v>19</v>
      </c>
      <c r="AF265" s="1">
        <f>Table1[[#This Row],[C:C]]*1.1</f>
        <v>0</v>
      </c>
      <c r="AI265" s="1">
        <f>IFERROR(VLOOKUP(X265,#REF!,8,FALSE),0)</f>
        <v>0</v>
      </c>
      <c r="AN265" s="1" t="str">
        <f>PROD_ID_TABLE[[#This Row],[PROD ID]]</f>
        <v xml:space="preserve">3725 STATILIAY15 </v>
      </c>
      <c r="AO265" s="1" t="str">
        <f t="shared" si="49"/>
        <v>RESUFLOR 3725 STATIC CONTROL EPOXYLIGHT GRAY15 GAL</v>
      </c>
      <c r="AP265" s="3">
        <f t="shared" si="50"/>
        <v>3606</v>
      </c>
      <c r="AQ265" s="1" t="str">
        <f t="shared" si="51"/>
        <v>15 GAL</v>
      </c>
      <c r="AS265" s="1" t="str">
        <f t="shared" si="52"/>
        <v>LIGHT GRAY</v>
      </c>
      <c r="AT265"/>
      <c r="AU265"/>
      <c r="AV265"/>
      <c r="AY265" t="str">
        <f t="shared" si="53"/>
        <v xml:space="preserve">3725 STATILIAY15 </v>
      </c>
      <c r="AZ265" s="1" t="str">
        <f t="shared" si="54"/>
        <v>3725 STATI</v>
      </c>
      <c r="BA265" t="str">
        <f t="shared" si="55"/>
        <v>LIAY</v>
      </c>
      <c r="BB265" s="1" t="str">
        <f t="shared" si="47"/>
        <v xml:space="preserve">15 </v>
      </c>
      <c r="BC265" s="1">
        <f t="shared" si="48"/>
        <v>3606</v>
      </c>
      <c r="BD265" s="62" t="s">
        <v>381</v>
      </c>
      <c r="BE265" s="55" t="s">
        <v>384</v>
      </c>
      <c r="BF265" s="55" t="s">
        <v>408</v>
      </c>
      <c r="BG265" s="55" t="s">
        <v>311</v>
      </c>
      <c r="BJ265"/>
      <c r="BK265"/>
      <c r="BM265"/>
    </row>
    <row r="266" spans="22:65" x14ac:dyDescent="0.35">
      <c r="V266" s="1" t="str">
        <v>E WR COVE CHALKIT</v>
      </c>
      <c r="X266" s="1" t="str">
        <f t="shared" si="46"/>
        <v>E HF HS URDAAYKIT</v>
      </c>
      <c r="Y266" s="1" t="str" cm="1">
        <f t="array" ref="Y266">IFERROR(VLOOKUP($X266,$AN:AO,COLUMN(AO:AO)-COLUMN($AN:$AN)+1,FALSE),"")</f>
        <v>POLY-CRETE HF HS URETHANE CONCRETE COATINGDARK GRAYKIT</v>
      </c>
      <c r="Z266" s="63" cm="1">
        <f t="array" ref="Z266">IFERROR(VLOOKUP($X266,$AN:AP,COLUMN(AP:AP)-COLUMN($AN:$AN)+1,FALSE),"")</f>
        <v>79.45</v>
      </c>
      <c r="AA266" s="1" t="str" cm="1">
        <f t="array" ref="AA266">IFERROR(VLOOKUP($X266,$AN:AQ,COLUMN(AQ:AQ)-COLUMN($AN:$AN)+1,FALSE),"")</f>
        <v>KIT</v>
      </c>
      <c r="AC266" s="1" t="str" cm="1">
        <f t="array" ref="AC266">IFERROR(VLOOKUP($X266,$AN:AS,COLUMN(AS:AS)-COLUMN($AN:$AN)+1,FALSE),"")</f>
        <v>DARK GRAY</v>
      </c>
      <c r="AD266" s="1" t="s">
        <v>19</v>
      </c>
      <c r="AF266" s="1">
        <f>Table1[[#This Row],[C:C]]*1.1</f>
        <v>0</v>
      </c>
      <c r="AI266" s="1">
        <f>IFERROR(VLOOKUP(X266,#REF!,8,FALSE),0)</f>
        <v>0</v>
      </c>
      <c r="AN266" s="1" t="str">
        <f>PROD_ID_TABLE[[#This Row],[PROD ID]]</f>
        <v xml:space="preserve">3725 STATIMEAY15 </v>
      </c>
      <c r="AO266" s="1" t="str">
        <f t="shared" si="49"/>
        <v>RESUFLOR 3725 STATIC CONTROL EPOXYMEDIUM GRAY15 GAL</v>
      </c>
      <c r="AP266" s="3">
        <f t="shared" si="50"/>
        <v>3606</v>
      </c>
      <c r="AQ266" s="1" t="str">
        <f t="shared" si="51"/>
        <v>15 GAL</v>
      </c>
      <c r="AS266" s="1" t="str">
        <f t="shared" si="52"/>
        <v>MEDIUM GRAY</v>
      </c>
      <c r="AT266"/>
      <c r="AU266"/>
      <c r="AV266"/>
      <c r="AY266" t="str">
        <f t="shared" si="53"/>
        <v xml:space="preserve">3725 STATIMEAY15 </v>
      </c>
      <c r="AZ266" s="1" t="str">
        <f t="shared" si="54"/>
        <v>3725 STATI</v>
      </c>
      <c r="BA266" t="str">
        <f t="shared" si="55"/>
        <v>MEAY</v>
      </c>
      <c r="BB266" s="1" t="str">
        <f t="shared" si="47"/>
        <v xml:space="preserve">15 </v>
      </c>
      <c r="BC266" s="1">
        <f t="shared" si="48"/>
        <v>3606</v>
      </c>
      <c r="BD266" s="62" t="s">
        <v>381</v>
      </c>
      <c r="BE266" s="55" t="s">
        <v>333</v>
      </c>
      <c r="BF266" s="55" t="s">
        <v>408</v>
      </c>
      <c r="BG266" s="55" t="s">
        <v>311</v>
      </c>
      <c r="BJ266"/>
      <c r="BK266"/>
      <c r="BM266"/>
    </row>
    <row r="267" spans="22:65" x14ac:dyDescent="0.35">
      <c r="V267" s="1" t="str">
        <v>E WR COVE CHUTKIT</v>
      </c>
      <c r="X267" s="1" t="str">
        <f t="shared" si="46"/>
        <v>E HF HS URGRENKIT</v>
      </c>
      <c r="Y267" s="1" t="str" cm="1">
        <f t="array" ref="Y267">IFERROR(VLOOKUP($X267,$AN:AO,COLUMN(AO:AO)-COLUMN($AN:$AN)+1,FALSE),"")</f>
        <v>POLY-CRETE HF HS URETHANE CONCRETE COATINGGREENKIT</v>
      </c>
      <c r="Z267" s="63" cm="1">
        <f t="array" ref="Z267">IFERROR(VLOOKUP($X267,$AN:AP,COLUMN(AP:AP)-COLUMN($AN:$AN)+1,FALSE),"")</f>
        <v>79.45</v>
      </c>
      <c r="AA267" s="1" t="str" cm="1">
        <f t="array" ref="AA267">IFERROR(VLOOKUP($X267,$AN:AQ,COLUMN(AQ:AQ)-COLUMN($AN:$AN)+1,FALSE),"")</f>
        <v>KIT</v>
      </c>
      <c r="AC267" s="1" t="str" cm="1">
        <f t="array" ref="AC267">IFERROR(VLOOKUP($X267,$AN:AS,COLUMN(AS:AS)-COLUMN($AN:$AN)+1,FALSE),"")</f>
        <v>GREEN</v>
      </c>
      <c r="AD267" s="1" t="s">
        <v>19</v>
      </c>
      <c r="AF267" s="1">
        <f>Table1[[#This Row],[C:C]]*1.1</f>
        <v>0</v>
      </c>
      <c r="AI267" s="1">
        <f>IFERROR(VLOOKUP(X267,#REF!,8,FALSE),0)</f>
        <v>0</v>
      </c>
      <c r="AN267" s="1" t="str">
        <f>PROD_ID_TABLE[[#This Row],[PROD ID]]</f>
        <v>4638 HS POCLAR3 G</v>
      </c>
      <c r="AO267" s="1" t="str">
        <f t="shared" si="49"/>
        <v>RESUTILE 4638 HS POLYURETHANE FLOOR ENAMELCLEAR3 GAL</v>
      </c>
      <c r="AP267" s="3">
        <f t="shared" si="50"/>
        <v>305.43</v>
      </c>
      <c r="AQ267" s="1" t="str">
        <f t="shared" si="51"/>
        <v>3 GAL</v>
      </c>
      <c r="AS267" s="1" t="str">
        <f t="shared" si="52"/>
        <v>CLEAR</v>
      </c>
      <c r="AT267"/>
      <c r="AU267"/>
      <c r="AV267"/>
      <c r="AY267" t="str">
        <f t="shared" si="53"/>
        <v>4638 HS POCLAR3 G</v>
      </c>
      <c r="AZ267" s="1" t="str">
        <f t="shared" si="54"/>
        <v>4638 HS PO</v>
      </c>
      <c r="BA267" t="str">
        <f t="shared" si="55"/>
        <v>CLAR</v>
      </c>
      <c r="BB267" s="1" t="str">
        <f t="shared" si="47"/>
        <v>3 G</v>
      </c>
      <c r="BC267" s="1">
        <f t="shared" si="48"/>
        <v>305.43</v>
      </c>
      <c r="BD267" s="1" t="s">
        <v>348</v>
      </c>
      <c r="BE267" s="14" t="s">
        <v>315</v>
      </c>
      <c r="BF267" s="14" t="s">
        <v>407</v>
      </c>
      <c r="BG267" s="14" t="s">
        <v>311</v>
      </c>
      <c r="BJ267"/>
      <c r="BK267"/>
      <c r="BM267"/>
    </row>
    <row r="268" spans="22:65" x14ac:dyDescent="0.35">
      <c r="V268" s="1" t="str">
        <v>E WR COVE COAYKIT</v>
      </c>
      <c r="X268" s="1" t="str">
        <f t="shared" si="46"/>
        <v>E HF HS URGRAYKIT</v>
      </c>
      <c r="Y268" s="1" t="str" cm="1">
        <f t="array" ref="Y268">IFERROR(VLOOKUP($X268,$AN:AO,COLUMN(AO:AO)-COLUMN($AN:$AN)+1,FALSE),"")</f>
        <v>POLY-CRETE HF HS URETHANE CONCRETE COATINGGRAYKIT</v>
      </c>
      <c r="Z268" s="63" cm="1">
        <f t="array" ref="Z268">IFERROR(VLOOKUP($X268,$AN:AP,COLUMN(AP:AP)-COLUMN($AN:$AN)+1,FALSE),"")</f>
        <v>79.45</v>
      </c>
      <c r="AA268" s="1" t="str" cm="1">
        <f t="array" ref="AA268">IFERROR(VLOOKUP($X268,$AN:AQ,COLUMN(AQ:AQ)-COLUMN($AN:$AN)+1,FALSE),"")</f>
        <v>KIT</v>
      </c>
      <c r="AC268" s="1" t="str" cm="1">
        <f t="array" ref="AC268">IFERROR(VLOOKUP($X268,$AN:AS,COLUMN(AS:AS)-COLUMN($AN:$AN)+1,FALSE),"")</f>
        <v>GRAY</v>
      </c>
      <c r="AD268" s="1" t="s">
        <v>19</v>
      </c>
      <c r="AF268" s="1">
        <f>Table1[[#This Row],[C:C]]*1.1</f>
        <v>0</v>
      </c>
      <c r="AI268" s="1">
        <f>IFERROR(VLOOKUP(X268,#REF!,8,FALSE),0)</f>
        <v>0</v>
      </c>
      <c r="AN268" s="1" t="str">
        <f>PROD_ID_TABLE[[#This Row],[PROD ID]]</f>
        <v>4638 HS POCUOM3 G</v>
      </c>
      <c r="AO268" s="1" t="str">
        <f t="shared" si="49"/>
        <v>RESUTILE 4638 HS POLYURETHANE FLOOR ENAMELCUSTOM3 GAL</v>
      </c>
      <c r="AP268" s="3">
        <f t="shared" si="50"/>
        <v>305.43</v>
      </c>
      <c r="AQ268" s="1" t="str">
        <f t="shared" si="51"/>
        <v>3 GAL</v>
      </c>
      <c r="AS268" s="1" t="str">
        <f t="shared" si="52"/>
        <v>CUSTOM</v>
      </c>
      <c r="AT268"/>
      <c r="AU268"/>
      <c r="AV268"/>
      <c r="AY268" t="str">
        <f t="shared" si="53"/>
        <v>4638 HS POCUOM3 G</v>
      </c>
      <c r="AZ268" s="1" t="str">
        <f t="shared" si="54"/>
        <v>4638 HS PO</v>
      </c>
      <c r="BA268" t="str">
        <f t="shared" si="55"/>
        <v>CUOM</v>
      </c>
      <c r="BB268" s="1" t="str">
        <f t="shared" si="47"/>
        <v>3 G</v>
      </c>
      <c r="BC268" s="1">
        <f t="shared" si="48"/>
        <v>305.43</v>
      </c>
      <c r="BD268" s="1" t="s">
        <v>348</v>
      </c>
      <c r="BE268" s="14" t="s">
        <v>316</v>
      </c>
      <c r="BF268" s="14" t="s">
        <v>407</v>
      </c>
      <c r="BG268" s="14" t="s">
        <v>311</v>
      </c>
      <c r="BJ268"/>
      <c r="BK268"/>
      <c r="BM268"/>
    </row>
    <row r="269" spans="22:65" x14ac:dyDescent="0.35">
      <c r="V269" s="1" t="str">
        <v>E WR COVE DAAYKIT</v>
      </c>
      <c r="X269" s="1" t="str">
        <f t="shared" ref="X269:X332" si="56">V257</f>
        <v>E HF HS URREEDKIT</v>
      </c>
      <c r="Y269" s="1" t="str" cm="1">
        <f t="array" ref="Y269">IFERROR(VLOOKUP($X269,$AN:AO,COLUMN(AO:AO)-COLUMN($AN:$AN)+1,FALSE),"")</f>
        <v>POLY-CRETE HF HS URETHANE CONCRETE COATINGREDKIT</v>
      </c>
      <c r="Z269" s="63" cm="1">
        <f t="array" ref="Z269">IFERROR(VLOOKUP($X269,$AN:AP,COLUMN(AP:AP)-COLUMN($AN:$AN)+1,FALSE),"")</f>
        <v>79.45</v>
      </c>
      <c r="AA269" s="1" t="str" cm="1">
        <f t="array" ref="AA269">IFERROR(VLOOKUP($X269,$AN:AQ,COLUMN(AQ:AQ)-COLUMN($AN:$AN)+1,FALSE),"")</f>
        <v>KIT</v>
      </c>
      <c r="AC269" s="1" t="str" cm="1">
        <f t="array" ref="AC269">IFERROR(VLOOKUP($X269,$AN:AS,COLUMN(AS:AS)-COLUMN($AN:$AN)+1,FALSE),"")</f>
        <v>RED</v>
      </c>
      <c r="AD269" s="1" t="s">
        <v>19</v>
      </c>
      <c r="AF269" s="1">
        <f>Table1[[#This Row],[C:C]]*1.1</f>
        <v>0</v>
      </c>
      <c r="AI269" s="1">
        <f>IFERROR(VLOOKUP(X269,#REF!,8,FALSE),0)</f>
        <v>0</v>
      </c>
      <c r="AN269" s="1" t="str">
        <f>PROD_ID_TABLE[[#This Row],[PROD ID]]</f>
        <v>4638 HS POWHTE3 G</v>
      </c>
      <c r="AO269" s="1" t="str">
        <f t="shared" si="49"/>
        <v>RESUTILE 4638 HS POLYURETHANE FLOOR ENAMELWHITE3 GAL</v>
      </c>
      <c r="AP269" s="3">
        <f t="shared" si="50"/>
        <v>305.43</v>
      </c>
      <c r="AQ269" s="1" t="str">
        <f t="shared" si="51"/>
        <v>3 GAL</v>
      </c>
      <c r="AS269" s="1" t="str">
        <f t="shared" si="52"/>
        <v>WHITE</v>
      </c>
      <c r="AT269"/>
      <c r="AU269"/>
      <c r="AV269"/>
      <c r="AY269" t="str">
        <f t="shared" si="53"/>
        <v>4638 HS POWHTE3 G</v>
      </c>
      <c r="AZ269" s="1" t="str">
        <f t="shared" si="54"/>
        <v>4638 HS PO</v>
      </c>
      <c r="BA269" t="str">
        <f t="shared" si="55"/>
        <v>WHTE</v>
      </c>
      <c r="BB269" s="1" t="str">
        <f t="shared" si="47"/>
        <v>3 G</v>
      </c>
      <c r="BC269" s="1">
        <f t="shared" si="48"/>
        <v>305.43</v>
      </c>
      <c r="BD269" s="1" t="s">
        <v>348</v>
      </c>
      <c r="BE269" s="14" t="s">
        <v>322</v>
      </c>
      <c r="BF269" s="14" t="s">
        <v>407</v>
      </c>
      <c r="BG269" s="14" t="s">
        <v>311</v>
      </c>
      <c r="BJ269"/>
      <c r="BK269"/>
      <c r="BM269"/>
    </row>
    <row r="270" spans="22:65" x14ac:dyDescent="0.35">
      <c r="V270" s="1" t="str">
        <v>E WR COVE GRENKIT</v>
      </c>
      <c r="X270" s="1" t="str">
        <f t="shared" si="56"/>
        <v>E COLOR-FABLUEKIT</v>
      </c>
      <c r="Y270" s="1" t="str" cm="1">
        <f t="array" ref="Y270">IFERROR(VLOOKUP($X270,$AN:AO,COLUMN(AO:AO)-COLUMN($AN:$AN)+1,FALSE),"")</f>
        <v>POLY-CRETE COLOR-FASTBLUEKIT</v>
      </c>
      <c r="Z270" s="63" cm="1">
        <f t="array" ref="Z270">IFERROR(VLOOKUP($X270,$AN:AP,COLUMN(AP:AP)-COLUMN($AN:$AN)+1,FALSE),"")</f>
        <v>154.78</v>
      </c>
      <c r="AA270" s="1" t="str" cm="1">
        <f t="array" ref="AA270">IFERROR(VLOOKUP($X270,$AN:AQ,COLUMN(AQ:AQ)-COLUMN($AN:$AN)+1,FALSE),"")</f>
        <v>KIT</v>
      </c>
      <c r="AC270" s="1" t="str" cm="1">
        <f t="array" ref="AC270">IFERROR(VLOOKUP($X270,$AN:AS,COLUMN(AS:AS)-COLUMN($AN:$AN)+1,FALSE),"")</f>
        <v>BLUE</v>
      </c>
      <c r="AD270" s="1" t="s">
        <v>19</v>
      </c>
      <c r="AF270" s="1">
        <f>Table1[[#This Row],[C:C]]*1.1</f>
        <v>0</v>
      </c>
      <c r="AI270" s="1">
        <f>IFERROR(VLOOKUP(X270,#REF!,8,FALSE),0)</f>
        <v>0</v>
      </c>
      <c r="AN270" s="1" t="str">
        <f>PROD_ID_TABLE[[#This Row],[PROD ID]]</f>
        <v xml:space="preserve">4638 HS POCLAR15 </v>
      </c>
      <c r="AO270" s="1" t="str">
        <f t="shared" si="49"/>
        <v>RESUTILE 4638 HS POLYURETHANE FLOOR ENAMELCLEAR15 GAL</v>
      </c>
      <c r="AP270" s="3">
        <f t="shared" si="50"/>
        <v>1456.54</v>
      </c>
      <c r="AQ270" s="1" t="str">
        <f t="shared" si="51"/>
        <v>15 GAL</v>
      </c>
      <c r="AS270" s="1" t="str">
        <f t="shared" si="52"/>
        <v>CLEAR</v>
      </c>
      <c r="AT270"/>
      <c r="AU270"/>
      <c r="AV270"/>
      <c r="AY270" t="str">
        <f t="shared" si="53"/>
        <v xml:space="preserve">4638 HS POCLAR15 </v>
      </c>
      <c r="AZ270" s="1" t="str">
        <f t="shared" si="54"/>
        <v>4638 HS PO</v>
      </c>
      <c r="BA270" t="str">
        <f t="shared" si="55"/>
        <v>CLAR</v>
      </c>
      <c r="BB270" s="1" t="str">
        <f t="shared" si="47"/>
        <v xml:space="preserve">15 </v>
      </c>
      <c r="BC270" s="1">
        <f t="shared" si="48"/>
        <v>1456.54</v>
      </c>
      <c r="BD270" s="1" t="s">
        <v>348</v>
      </c>
      <c r="BE270" s="14" t="s">
        <v>315</v>
      </c>
      <c r="BF270" s="14" t="s">
        <v>408</v>
      </c>
      <c r="BG270" s="14" t="s">
        <v>311</v>
      </c>
      <c r="BJ270"/>
      <c r="BK270"/>
      <c r="BM270"/>
    </row>
    <row r="271" spans="22:65" ht="15" thickBot="1" x14ac:dyDescent="0.4">
      <c r="V271" s="1" t="str">
        <v>E WR COVE GRAYKIT</v>
      </c>
      <c r="X271" s="1" t="str">
        <f t="shared" si="56"/>
        <v>E COLOR-FACHALKIT</v>
      </c>
      <c r="Y271" s="1" t="str" cm="1">
        <f t="array" ref="Y271">IFERROR(VLOOKUP($X271,$AN:AO,COLUMN(AO:AO)-COLUMN($AN:$AN)+1,FALSE),"")</f>
        <v>POLY-CRETE COLOR-FASTCHARCOALKIT</v>
      </c>
      <c r="Z271" s="63" cm="1">
        <f t="array" ref="Z271">IFERROR(VLOOKUP($X271,$AN:AP,COLUMN(AP:AP)-COLUMN($AN:$AN)+1,FALSE),"")</f>
        <v>154.78</v>
      </c>
      <c r="AA271" s="1" t="str" cm="1">
        <f t="array" ref="AA271">IFERROR(VLOOKUP($X271,$AN:AQ,COLUMN(AQ:AQ)-COLUMN($AN:$AN)+1,FALSE),"")</f>
        <v>KIT</v>
      </c>
      <c r="AC271" s="1" t="str" cm="1">
        <f t="array" ref="AC271">IFERROR(VLOOKUP($X271,$AN:AS,COLUMN(AS:AS)-COLUMN($AN:$AN)+1,FALSE),"")</f>
        <v>CHARCOAL</v>
      </c>
      <c r="AD271" s="1" t="s">
        <v>19</v>
      </c>
      <c r="AF271" s="1">
        <f>Table1[[#This Row],[C:C]]*1.1</f>
        <v>0</v>
      </c>
      <c r="AI271" s="1">
        <f>IFERROR(VLOOKUP(X271,#REF!,8,FALSE),0)</f>
        <v>0</v>
      </c>
      <c r="AN271" s="1" t="str">
        <f>PROD_ID_TABLE[[#This Row],[PROD ID]]</f>
        <v xml:space="preserve">4638 HS POCUOM15 </v>
      </c>
      <c r="AO271" s="1" t="str">
        <f t="shared" si="49"/>
        <v>RESUTILE 4638 HS POLYURETHANE FLOOR ENAMELCUSTOM15 GAL</v>
      </c>
      <c r="AP271" s="3">
        <f t="shared" si="50"/>
        <v>1456.54</v>
      </c>
      <c r="AQ271" s="1" t="str">
        <f t="shared" si="51"/>
        <v>15 GAL</v>
      </c>
      <c r="AS271" s="1" t="str">
        <f t="shared" si="52"/>
        <v>CUSTOM</v>
      </c>
      <c r="AT271"/>
      <c r="AU271"/>
      <c r="AV271"/>
      <c r="AY271" t="str">
        <f t="shared" si="53"/>
        <v xml:space="preserve">4638 HS POCUOM15 </v>
      </c>
      <c r="AZ271" s="1" t="str">
        <f t="shared" si="54"/>
        <v>4638 HS PO</v>
      </c>
      <c r="BA271" t="str">
        <f t="shared" si="55"/>
        <v>CUOM</v>
      </c>
      <c r="BB271" s="1" t="str">
        <f t="shared" si="47"/>
        <v xml:space="preserve">15 </v>
      </c>
      <c r="BC271" s="1">
        <f t="shared" si="48"/>
        <v>1456.54</v>
      </c>
      <c r="BD271" s="1" t="s">
        <v>348</v>
      </c>
      <c r="BE271" s="14" t="s">
        <v>316</v>
      </c>
      <c r="BF271" s="14" t="s">
        <v>408</v>
      </c>
      <c r="BG271" s="14" t="s">
        <v>311</v>
      </c>
      <c r="BJ271"/>
      <c r="BK271"/>
      <c r="BM271"/>
    </row>
    <row r="272" spans="22:65" ht="15" thickBot="1" x14ac:dyDescent="0.4">
      <c r="V272" s="1" t="str">
        <v>E WR COVE REEDKIT</v>
      </c>
      <c r="X272" s="1" t="str">
        <f t="shared" si="56"/>
        <v>E COLOR-FACHUTKIT</v>
      </c>
      <c r="Y272" s="1" t="str" cm="1">
        <f t="array" ref="Y272">IFERROR(VLOOKUP($X272,$AN:AO,COLUMN(AO:AO)-COLUMN($AN:$AN)+1,FALSE),"")</f>
        <v>POLY-CRETE COLOR-FASTCHESTNUTKIT</v>
      </c>
      <c r="Z272" s="63" cm="1">
        <f t="array" ref="Z272">IFERROR(VLOOKUP($X272,$AN:AP,COLUMN(AP:AP)-COLUMN($AN:$AN)+1,FALSE),"")</f>
        <v>154.78</v>
      </c>
      <c r="AA272" s="1" t="str" cm="1">
        <f t="array" ref="AA272">IFERROR(VLOOKUP($X272,$AN:AQ,COLUMN(AQ:AQ)-COLUMN($AN:$AN)+1,FALSE),"")</f>
        <v>KIT</v>
      </c>
      <c r="AC272" s="1" t="str" cm="1">
        <f t="array" ref="AC272">IFERROR(VLOOKUP($X272,$AN:AS,COLUMN(AS:AS)-COLUMN($AN:$AN)+1,FALSE),"")</f>
        <v>CHESTNUT</v>
      </c>
      <c r="AD272" s="1" t="s">
        <v>19</v>
      </c>
      <c r="AF272" s="1">
        <f>Table1[[#This Row],[C:C]]*1.1</f>
        <v>0</v>
      </c>
      <c r="AI272" s="1">
        <f>IFERROR(VLOOKUP(X272,#REF!,8,FALSE),0)</f>
        <v>0</v>
      </c>
      <c r="AN272" s="1" t="str">
        <f>PROD_ID_TABLE[[#This Row],[PROD ID]]</f>
        <v xml:space="preserve">4638 HS POWHTE15 </v>
      </c>
      <c r="AO272" s="1" t="str">
        <f t="shared" si="49"/>
        <v>RESUTILE 4638 HS POLYURETHANE FLOOR ENAMELWHITE15 GAL</v>
      </c>
      <c r="AP272" s="3">
        <f t="shared" si="50"/>
        <v>1456.54</v>
      </c>
      <c r="AQ272" s="1" t="str">
        <f t="shared" si="51"/>
        <v>15 GAL</v>
      </c>
      <c r="AS272" s="1" t="str">
        <f t="shared" si="52"/>
        <v>WHITE</v>
      </c>
      <c r="AT272"/>
      <c r="AU272"/>
      <c r="AV272"/>
      <c r="AY272" t="str">
        <f t="shared" si="53"/>
        <v xml:space="preserve">4638 HS POWHTE15 </v>
      </c>
      <c r="AZ272" s="1" t="str">
        <f t="shared" si="54"/>
        <v>4638 HS PO</v>
      </c>
      <c r="BA272" t="str">
        <f t="shared" si="55"/>
        <v>WHTE</v>
      </c>
      <c r="BB272" s="1" t="str">
        <f t="shared" si="47"/>
        <v xml:space="preserve">15 </v>
      </c>
      <c r="BC272" s="1">
        <f t="shared" si="48"/>
        <v>1456.54</v>
      </c>
      <c r="BD272" s="52" t="s">
        <v>348</v>
      </c>
      <c r="BE272" s="15" t="s">
        <v>322</v>
      </c>
      <c r="BF272" s="15" t="s">
        <v>408</v>
      </c>
      <c r="BG272" s="15" t="s">
        <v>311</v>
      </c>
      <c r="BH272" s="53" t="s">
        <v>366</v>
      </c>
      <c r="BJ272"/>
      <c r="BK272"/>
      <c r="BM272"/>
    </row>
    <row r="273" spans="22:65" x14ac:dyDescent="0.35">
      <c r="V273" s="1" t="str">
        <v>E HF ACCELN//A1 Q</v>
      </c>
      <c r="X273" s="1" t="str">
        <f t="shared" si="56"/>
        <v>E COLOR-FADAAYKIT</v>
      </c>
      <c r="Y273" s="1" t="str" cm="1">
        <f t="array" ref="Y273">IFERROR(VLOOKUP($X273,$AN:AO,COLUMN(AO:AO)-COLUMN($AN:$AN)+1,FALSE),"")</f>
        <v>POLY-CRETE COLOR-FASTDARK GRAYKIT</v>
      </c>
      <c r="Z273" s="63" cm="1">
        <f t="array" ref="Z273">IFERROR(VLOOKUP($X273,$AN:AP,COLUMN(AP:AP)-COLUMN($AN:$AN)+1,FALSE),"")</f>
        <v>154.78</v>
      </c>
      <c r="AA273" s="1" t="str" cm="1">
        <f t="array" ref="AA273">IFERROR(VLOOKUP($X273,$AN:AQ,COLUMN(AQ:AQ)-COLUMN($AN:$AN)+1,FALSE),"")</f>
        <v>KIT</v>
      </c>
      <c r="AC273" s="1" t="str" cm="1">
        <f t="array" ref="AC273">IFERROR(VLOOKUP($X273,$AN:AS,COLUMN(AS:AS)-COLUMN($AN:$AN)+1,FALSE),"")</f>
        <v>DARK GRAY</v>
      </c>
      <c r="AD273" s="1" t="s">
        <v>19</v>
      </c>
      <c r="AF273" s="1">
        <f>Table1[[#This Row],[C:C]]*1.1</f>
        <v>0</v>
      </c>
      <c r="AI273" s="1">
        <f>IFERROR(VLOOKUP(X273,#REF!,8,FALSE),0)</f>
        <v>0</v>
      </c>
      <c r="AN273" s="1" t="str">
        <f>PROD_ID_TABLE[[#This Row],[PROD ID]]</f>
        <v xml:space="preserve">4641 HPS 1CLAR.9 </v>
      </c>
      <c r="AO273" s="1" t="str">
        <f t="shared" si="49"/>
        <v>RESUTILE 4641 HPS 100 HS ALIPHATIC URETHANE TOPCOATCLEAR.9 GAL</v>
      </c>
      <c r="AP273" s="3">
        <f t="shared" si="50"/>
        <v>234.81</v>
      </c>
      <c r="AQ273" s="1" t="str">
        <f t="shared" si="51"/>
        <v>.9 GAL</v>
      </c>
      <c r="AS273" s="1" t="str">
        <f t="shared" si="52"/>
        <v>CLEAR</v>
      </c>
      <c r="AT273"/>
      <c r="AU273"/>
      <c r="AV273"/>
      <c r="AY273" t="str">
        <f t="shared" si="53"/>
        <v xml:space="preserve">4641 HPS 1CLAR.9 </v>
      </c>
      <c r="AZ273" s="1" t="str">
        <f t="shared" si="54"/>
        <v>4641 HPS 1</v>
      </c>
      <c r="BA273" t="str">
        <f t="shared" si="55"/>
        <v>CLAR</v>
      </c>
      <c r="BB273" s="1" t="str">
        <f t="shared" si="47"/>
        <v xml:space="preserve">.9 </v>
      </c>
      <c r="BC273" s="1">
        <v>234.81</v>
      </c>
      <c r="BD273" s="50" t="s">
        <v>350</v>
      </c>
      <c r="BE273" s="49" t="s">
        <v>315</v>
      </c>
      <c r="BF273" s="95" t="s">
        <v>1052</v>
      </c>
      <c r="BG273" s="49" t="s">
        <v>366</v>
      </c>
      <c r="BH273" s="39" t="s">
        <v>315</v>
      </c>
      <c r="BJ273"/>
      <c r="BK273"/>
      <c r="BM273"/>
    </row>
    <row r="274" spans="22:65" x14ac:dyDescent="0.35">
      <c r="V274" s="1" t="str">
        <v xml:space="preserve"> BOND ENHAN//AKIT</v>
      </c>
      <c r="X274" s="1" t="str">
        <f t="shared" si="56"/>
        <v>E COLOR-FAGRENKIT</v>
      </c>
      <c r="Y274" s="1" t="str" cm="1">
        <f t="array" ref="Y274">IFERROR(VLOOKUP($X274,$AN:AO,COLUMN(AO:AO)-COLUMN($AN:$AN)+1,FALSE),"")</f>
        <v>POLY-CRETE COLOR-FASTGREENKIT</v>
      </c>
      <c r="Z274" s="63" cm="1">
        <f t="array" ref="Z274">IFERROR(VLOOKUP($X274,$AN:AP,COLUMN(AP:AP)-COLUMN($AN:$AN)+1,FALSE),"")</f>
        <v>154.78</v>
      </c>
      <c r="AA274" s="1" t="str" cm="1">
        <f t="array" ref="AA274">IFERROR(VLOOKUP($X274,$AN:AQ,COLUMN(AQ:AQ)-COLUMN($AN:$AN)+1,FALSE),"")</f>
        <v>KIT</v>
      </c>
      <c r="AC274" s="1" t="str" cm="1">
        <f t="array" ref="AC274">IFERROR(VLOOKUP($X274,$AN:AS,COLUMN(AS:AS)-COLUMN($AN:$AN)+1,FALSE),"")</f>
        <v>GREEN</v>
      </c>
      <c r="AD274" s="1" t="s">
        <v>19</v>
      </c>
      <c r="AF274" s="1">
        <f>Table1[[#This Row],[C:C]]*1.1</f>
        <v>0</v>
      </c>
      <c r="AI274" s="1">
        <f>IFERROR(VLOOKUP(X274,#REF!,8,FALSE),0)</f>
        <v>0</v>
      </c>
      <c r="AN274" s="1" t="str">
        <f>PROD_ID_TABLE[[#This Row],[PROD ID]]</f>
        <v>4641 HPS 1CLAR1.8</v>
      </c>
      <c r="AO274" s="1" t="str">
        <f t="shared" si="49"/>
        <v>RESUTILE 4641 HPS 100 HS ALIPHATIC URETHANE TOPCOATCLEAR1.8 GAL</v>
      </c>
      <c r="AP274" s="3">
        <f t="shared" si="50"/>
        <v>416.07</v>
      </c>
      <c r="AQ274" s="1" t="str">
        <f t="shared" si="51"/>
        <v>1.8 GAL</v>
      </c>
      <c r="AS274" s="1" t="str">
        <f t="shared" si="52"/>
        <v>CLEAR</v>
      </c>
      <c r="AT274"/>
      <c r="AU274"/>
      <c r="AV274"/>
      <c r="AY274" t="str">
        <f t="shared" si="53"/>
        <v>4641 HPS 1CLAR1.8</v>
      </c>
      <c r="AZ274" s="1" t="str">
        <f t="shared" si="54"/>
        <v>4641 HPS 1</v>
      </c>
      <c r="BA274" t="str">
        <f t="shared" si="55"/>
        <v>CLAR</v>
      </c>
      <c r="BB274" s="1" t="str">
        <f t="shared" si="47"/>
        <v>1.8</v>
      </c>
      <c r="BC274" s="1">
        <v>416.07</v>
      </c>
      <c r="BD274" s="1" t="s">
        <v>350</v>
      </c>
      <c r="BE274" s="14" t="s">
        <v>315</v>
      </c>
      <c r="BF274" s="14" t="s">
        <v>1053</v>
      </c>
      <c r="BG274" s="14" t="s">
        <v>366</v>
      </c>
      <c r="BH274" s="39" t="s">
        <v>316</v>
      </c>
      <c r="BJ274"/>
      <c r="BK274"/>
      <c r="BM274"/>
    </row>
    <row r="275" spans="22:65" x14ac:dyDescent="0.35">
      <c r="V275" s="1" t="str">
        <v xml:space="preserve"> P-101 PRICLAR5 G</v>
      </c>
      <c r="X275" s="1" t="str">
        <f t="shared" si="56"/>
        <v>E COLOR-FAGRAYKIT</v>
      </c>
      <c r="Y275" s="1" t="str" cm="1">
        <f t="array" ref="Y275">IFERROR(VLOOKUP($X275,$AN:AO,COLUMN(AO:AO)-COLUMN($AN:$AN)+1,FALSE),"")</f>
        <v>POLY-CRETE COLOR-FASTGRAYKIT</v>
      </c>
      <c r="Z275" s="63" cm="1">
        <f t="array" ref="Z275">IFERROR(VLOOKUP($X275,$AN:AP,COLUMN(AP:AP)-COLUMN($AN:$AN)+1,FALSE),"")</f>
        <v>154.78</v>
      </c>
      <c r="AA275" s="1" t="str" cm="1">
        <f t="array" ref="AA275">IFERROR(VLOOKUP($X275,$AN:AQ,COLUMN(AQ:AQ)-COLUMN($AN:$AN)+1,FALSE),"")</f>
        <v>KIT</v>
      </c>
      <c r="AC275" s="1" t="str" cm="1">
        <f t="array" ref="AC275">IFERROR(VLOOKUP($X275,$AN:AS,COLUMN(AS:AS)-COLUMN($AN:$AN)+1,FALSE),"")</f>
        <v>GRAY</v>
      </c>
      <c r="AD275" s="1" t="s">
        <v>19</v>
      </c>
      <c r="AF275" s="1">
        <f>Table1[[#This Row],[C:C]]*1.1</f>
        <v>0</v>
      </c>
      <c r="AI275" s="1">
        <f>IFERROR(VLOOKUP(X275,#REF!,8,FALSE),0)</f>
        <v>0</v>
      </c>
      <c r="AN275" s="1" t="str">
        <f>PROD_ID_TABLE[[#This Row],[PROD ID]]</f>
        <v>4641 HPS 1CLAR4.7</v>
      </c>
      <c r="AO275" s="1" t="str">
        <f t="shared" si="49"/>
        <v>RESUTILE 4641 HPS 100 HS ALIPHATIC URETHANE TOPCOATCLEAR4.7 GAL</v>
      </c>
      <c r="AP275" s="3">
        <f t="shared" si="50"/>
        <v>798.01</v>
      </c>
      <c r="AQ275" s="1" t="str">
        <f t="shared" si="51"/>
        <v>4.7 GAL</v>
      </c>
      <c r="AS275" s="1" t="str">
        <f t="shared" si="52"/>
        <v>CLEAR</v>
      </c>
      <c r="AT275"/>
      <c r="AU275"/>
      <c r="AV275"/>
      <c r="AW275" s="63" t="s">
        <v>463</v>
      </c>
      <c r="AY275" t="str">
        <f t="shared" si="53"/>
        <v>4641 HPS 1CLAR4.7</v>
      </c>
      <c r="AZ275" s="1" t="str">
        <f t="shared" si="54"/>
        <v>4641 HPS 1</v>
      </c>
      <c r="BA275" t="str">
        <f t="shared" si="55"/>
        <v>CLAR</v>
      </c>
      <c r="BB275" s="1" t="str">
        <f t="shared" si="47"/>
        <v>4.7</v>
      </c>
      <c r="BC275" s="1">
        <v>798.01</v>
      </c>
      <c r="BD275" s="1" t="s">
        <v>350</v>
      </c>
      <c r="BE275" s="14" t="s">
        <v>315</v>
      </c>
      <c r="BF275" s="14" t="s">
        <v>1054</v>
      </c>
      <c r="BG275" s="14" t="s">
        <v>366</v>
      </c>
      <c r="BH275" s="39" t="s">
        <v>322</v>
      </c>
      <c r="BJ275"/>
      <c r="BK275"/>
      <c r="BL275" s="1" t="str" cm="1">
        <f t="array" ref="BL275:BL276">_xlfn.SWITCH(SW!M36,$BN$2,$BF$269:$BF$270,P!$BN$4,P!$BF$273:$BF$275,P!$BN$3,P!$BF$276:$BF$277,P!$BF$278:$BF$279)</f>
        <v>3 GAL</v>
      </c>
      <c r="BM275"/>
    </row>
    <row r="276" spans="22:65" x14ac:dyDescent="0.35">
      <c r="V276" s="1" t="str">
        <v xml:space="preserve"> P-101 PRIBEGE5 G</v>
      </c>
      <c r="X276" s="1" t="str">
        <f t="shared" si="56"/>
        <v>E COLOR-FAREEDKIT</v>
      </c>
      <c r="Y276" s="1" t="str" cm="1">
        <f t="array" ref="Y276">IFERROR(VLOOKUP($X276,$AN:AO,COLUMN(AO:AO)-COLUMN($AN:$AN)+1,FALSE),"")</f>
        <v>POLY-CRETE COLOR-FASTREDKIT</v>
      </c>
      <c r="Z276" s="63" cm="1">
        <f t="array" ref="Z276">IFERROR(VLOOKUP($X276,$AN:AP,COLUMN(AP:AP)-COLUMN($AN:$AN)+1,FALSE),"")</f>
        <v>154.78</v>
      </c>
      <c r="AA276" s="1" t="str" cm="1">
        <f t="array" ref="AA276">IFERROR(VLOOKUP($X276,$AN:AQ,COLUMN(AQ:AQ)-COLUMN($AN:$AN)+1,FALSE),"")</f>
        <v>KIT</v>
      </c>
      <c r="AC276" s="1" t="str" cm="1">
        <f t="array" ref="AC276">IFERROR(VLOOKUP($X276,$AN:AS,COLUMN(AS:AS)-COLUMN($AN:$AN)+1,FALSE),"")</f>
        <v>RED</v>
      </c>
      <c r="AD276" s="1" t="s">
        <v>19</v>
      </c>
      <c r="AF276" s="1">
        <f>Table1[[#This Row],[C:C]]*1.1</f>
        <v>0</v>
      </c>
      <c r="AI276" s="1">
        <f>IFERROR(VLOOKUP(X276,#REF!,8,FALSE),0)</f>
        <v>0</v>
      </c>
      <c r="AN276" s="1" t="str">
        <f>PROD_ID_TABLE[[#This Row],[PROD ID]]</f>
        <v>4640 HTS 1CLAR3 G</v>
      </c>
      <c r="AO276" s="1" t="str">
        <f t="shared" si="49"/>
        <v>RESUTILE 4640 HTS 100 HS HIGH TRAFFIC URETHANE ENAMELCLEAR3 GAL</v>
      </c>
      <c r="AP276" s="3">
        <f t="shared" si="50"/>
        <v>487.79999999999995</v>
      </c>
      <c r="AQ276" s="1" t="str">
        <f t="shared" si="51"/>
        <v>3 GAL</v>
      </c>
      <c r="AS276" s="1" t="str">
        <f t="shared" si="52"/>
        <v>CLEAR</v>
      </c>
      <c r="AT276"/>
      <c r="AU276"/>
      <c r="AV276"/>
      <c r="AW276" s="63" t="b">
        <f>AW275=AY274</f>
        <v>0</v>
      </c>
      <c r="AY276" t="str">
        <f t="shared" si="53"/>
        <v>4640 HTS 1CLAR3 G</v>
      </c>
      <c r="AZ276" s="1" t="str">
        <f t="shared" si="54"/>
        <v>4640 HTS 1</v>
      </c>
      <c r="BA276" t="str">
        <f t="shared" si="55"/>
        <v>CLAR</v>
      </c>
      <c r="BB276" s="1" t="str">
        <f t="shared" si="47"/>
        <v>3 G</v>
      </c>
      <c r="BC276" s="1">
        <v>487.79999999999995</v>
      </c>
      <c r="BD276" s="62" t="s">
        <v>349</v>
      </c>
      <c r="BE276" s="55" t="s">
        <v>315</v>
      </c>
      <c r="BF276" s="55" t="s">
        <v>407</v>
      </c>
      <c r="BG276" s="55" t="s">
        <v>366</v>
      </c>
      <c r="BH276" s="39" t="s">
        <v>323</v>
      </c>
      <c r="BJ276"/>
      <c r="BK276"/>
      <c r="BL276" s="1" t="str">
        <v>15 GAL</v>
      </c>
      <c r="BM276"/>
    </row>
    <row r="277" spans="22:65" x14ac:dyDescent="0.35">
      <c r="V277" s="1" t="str">
        <v xml:space="preserve"> P-101 PRIBROW5 G</v>
      </c>
      <c r="X277" s="1" t="str">
        <f t="shared" si="56"/>
        <v>E WR COVE BLUEKIT</v>
      </c>
      <c r="Y277" s="1" t="str" cm="1">
        <f t="array" ref="Y277">IFERROR(VLOOKUP($X277,$AN:AO,COLUMN(AO:AO)-COLUMN($AN:$AN)+1,FALSE),"")</f>
        <v>POLY-CRETE WR COVE BASE, SLOPE/PATCHINGBLUEKIT</v>
      </c>
      <c r="Z277" s="63" cm="1">
        <f t="array" ref="Z277">IFERROR(VLOOKUP($X277,$AN:AP,COLUMN(AP:AP)-COLUMN($AN:$AN)+1,FALSE),"")</f>
        <v>57.67</v>
      </c>
      <c r="AA277" s="1" t="str" cm="1">
        <f t="array" ref="AA277">IFERROR(VLOOKUP($X277,$AN:AQ,COLUMN(AQ:AQ)-COLUMN($AN:$AN)+1,FALSE),"")</f>
        <v>KIT</v>
      </c>
      <c r="AC277" s="1" t="str" cm="1">
        <f t="array" ref="AC277">IFERROR(VLOOKUP($X277,$AN:AS,COLUMN(AS:AS)-COLUMN($AN:$AN)+1,FALSE),"")</f>
        <v>BLUE</v>
      </c>
      <c r="AD277" s="1" t="s">
        <v>19</v>
      </c>
      <c r="AF277" s="1">
        <f>Table1[[#This Row],[C:C]]*1.1</f>
        <v>0</v>
      </c>
      <c r="AI277" s="1">
        <f>IFERROR(VLOOKUP(X277,#REF!,8,FALSE),0)</f>
        <v>0</v>
      </c>
      <c r="AN277" s="1" t="str">
        <f>PROD_ID_TABLE[[#This Row],[PROD ID]]</f>
        <v>4640 HTS 1CLAR6 G</v>
      </c>
      <c r="AO277" s="1" t="str">
        <f t="shared" si="49"/>
        <v>RESUTILE 4640 HTS 100 HS HIGH TRAFFIC URETHANE ENAMELCLEAR6 GAL</v>
      </c>
      <c r="AP277" s="3">
        <f t="shared" si="50"/>
        <v>966.59999999999991</v>
      </c>
      <c r="AQ277" s="1" t="str">
        <f t="shared" si="51"/>
        <v>6 GAL</v>
      </c>
      <c r="AS277" s="1" t="str">
        <f t="shared" si="52"/>
        <v>CLEAR</v>
      </c>
      <c r="AT277"/>
      <c r="AU277"/>
      <c r="AV277"/>
      <c r="AW277" s="63" t="b">
        <f>SW!L37=P!AY274</f>
        <v>0</v>
      </c>
      <c r="AY277" t="str">
        <f t="shared" si="53"/>
        <v>4640 HTS 1CLAR6 G</v>
      </c>
      <c r="AZ277" s="1" t="str">
        <f t="shared" si="54"/>
        <v>4640 HTS 1</v>
      </c>
      <c r="BA277" t="str">
        <f t="shared" si="55"/>
        <v>CLAR</v>
      </c>
      <c r="BB277" s="1" t="str">
        <f t="shared" si="47"/>
        <v>6 G</v>
      </c>
      <c r="BC277" s="1">
        <v>966.59999999999991</v>
      </c>
      <c r="BD277" s="62" t="s">
        <v>349</v>
      </c>
      <c r="BE277" s="55" t="s">
        <v>315</v>
      </c>
      <c r="BF277" s="55" t="s">
        <v>548</v>
      </c>
      <c r="BG277" s="55" t="s">
        <v>366</v>
      </c>
      <c r="BH277" s="39" t="s">
        <v>320</v>
      </c>
      <c r="BJ277"/>
      <c r="BK277"/>
      <c r="BM277"/>
    </row>
    <row r="278" spans="22:65" x14ac:dyDescent="0.35">
      <c r="V278" s="1" t="str">
        <v xml:space="preserve"> P-101 PRICOAY5 G</v>
      </c>
      <c r="X278" s="1" t="str">
        <f t="shared" si="56"/>
        <v>E WR COVE CHALKIT</v>
      </c>
      <c r="Y278" s="1" t="str" cm="1">
        <f t="array" ref="Y278">IFERROR(VLOOKUP($X278,$AN:AO,COLUMN(AO:AO)-COLUMN($AN:$AN)+1,FALSE),"")</f>
        <v>POLY-CRETE WR COVE BASE, SLOPE/PATCHINGCHARCOALKIT</v>
      </c>
      <c r="Z278" s="63" cm="1">
        <f t="array" ref="Z278">IFERROR(VLOOKUP($X278,$AN:AP,COLUMN(AP:AP)-COLUMN($AN:$AN)+1,FALSE),"")</f>
        <v>57.67</v>
      </c>
      <c r="AA278" s="1" t="str" cm="1">
        <f t="array" ref="AA278">IFERROR(VLOOKUP($X278,$AN:AQ,COLUMN(AQ:AQ)-COLUMN($AN:$AN)+1,FALSE),"")</f>
        <v>KIT</v>
      </c>
      <c r="AC278" s="1" t="str" cm="1">
        <f t="array" ref="AC278">IFERROR(VLOOKUP($X278,$AN:AS,COLUMN(AS:AS)-COLUMN($AN:$AN)+1,FALSE),"")</f>
        <v>CHARCOAL</v>
      </c>
      <c r="AD278" s="1" t="s">
        <v>19</v>
      </c>
      <c r="AF278" s="1">
        <f>Table1[[#This Row],[C:C]]*1.1</f>
        <v>0</v>
      </c>
      <c r="AI278" s="1">
        <f>IFERROR(VLOOKUP(X278,#REF!,8,FALSE),0)</f>
        <v>0</v>
      </c>
      <c r="AN278" s="1" t="str">
        <f>PROD_ID_TABLE[[#This Row],[PROD ID]]</f>
        <v>AQUA 4411 CLAR1.2</v>
      </c>
      <c r="AO278" s="1" t="str">
        <f t="shared" si="49"/>
        <v>RESUTILE AQUA 4411 WB ALIPHATIC URETHANE - CLEARCLEAR1.25 GAL</v>
      </c>
      <c r="AP278" s="3">
        <f t="shared" si="50"/>
        <v>143.01</v>
      </c>
      <c r="AQ278" s="1" t="str">
        <f t="shared" si="51"/>
        <v>1.25 GAL</v>
      </c>
      <c r="AS278" s="1" t="str">
        <f t="shared" si="52"/>
        <v>CLEAR</v>
      </c>
      <c r="AT278"/>
      <c r="AU278"/>
      <c r="AV278"/>
      <c r="AY278" t="str">
        <f t="shared" si="53"/>
        <v>AQUA 4411 CLAR1.2</v>
      </c>
      <c r="AZ278" s="1" t="str">
        <f t="shared" si="54"/>
        <v xml:space="preserve">AQUA 4411 </v>
      </c>
      <c r="BA278" t="str">
        <f t="shared" si="55"/>
        <v>CLAR</v>
      </c>
      <c r="BB278" s="1" t="str">
        <f t="shared" si="47"/>
        <v>1.2</v>
      </c>
      <c r="BC278" s="1">
        <f t="shared" ref="BC278:BC341" si="57">IFERROR(VLOOKUP(BD278&amp;BF278,AV:AW,2,FALSE),0)</f>
        <v>143.01</v>
      </c>
      <c r="BD278" s="1" t="s">
        <v>352</v>
      </c>
      <c r="BE278" s="14" t="s">
        <v>315</v>
      </c>
      <c r="BF278" s="14" t="s">
        <v>421</v>
      </c>
      <c r="BG278" s="14" t="s">
        <v>366</v>
      </c>
      <c r="BH278" s="39" t="s">
        <v>332</v>
      </c>
      <c r="BJ278" t="str" cm="1">
        <f t="array" ref="BJ278:BJ279">_xlfn.SWITCH(SW!$M36,$BN$2,$BF$269:$BF$270,P!$BN$4,P!$BF$273:$BF$275,P!$BN$3,P!$BF$276:$BF$277,$BF$278:$BF$279)</f>
        <v>3 GAL</v>
      </c>
      <c r="BK278"/>
      <c r="BM278"/>
    </row>
    <row r="279" spans="22:65" x14ac:dyDescent="0.35">
      <c r="V279" s="1" t="str">
        <v xml:space="preserve"> P-101 PRICHAY5 G</v>
      </c>
      <c r="X279" s="1" t="str">
        <f t="shared" si="56"/>
        <v>E WR COVE CHUTKIT</v>
      </c>
      <c r="Y279" s="1" t="str" cm="1">
        <f t="array" ref="Y279">IFERROR(VLOOKUP($X279,$AN:AO,COLUMN(AO:AO)-COLUMN($AN:$AN)+1,FALSE),"")</f>
        <v>POLY-CRETE WR COVE BASE, SLOPE/PATCHINGCHESTNUTKIT</v>
      </c>
      <c r="Z279" s="63" cm="1">
        <f t="array" ref="Z279">IFERROR(VLOOKUP($X279,$AN:AP,COLUMN(AP:AP)-COLUMN($AN:$AN)+1,FALSE),"")</f>
        <v>57.67</v>
      </c>
      <c r="AA279" s="1" t="str" cm="1">
        <f t="array" ref="AA279">IFERROR(VLOOKUP($X279,$AN:AQ,COLUMN(AQ:AQ)-COLUMN($AN:$AN)+1,FALSE),"")</f>
        <v>KIT</v>
      </c>
      <c r="AC279" s="1" t="str" cm="1">
        <f t="array" ref="AC279">IFERROR(VLOOKUP($X279,$AN:AS,COLUMN(AS:AS)-COLUMN($AN:$AN)+1,FALSE),"")</f>
        <v>CHESTNUT</v>
      </c>
      <c r="AD279" s="1" t="s">
        <v>19</v>
      </c>
      <c r="AF279" s="1">
        <f>Table1[[#This Row],[C:C]]*1.1</f>
        <v>0</v>
      </c>
      <c r="AI279" s="1">
        <f>IFERROR(VLOOKUP(X279,#REF!,8,FALSE),0)</f>
        <v>0</v>
      </c>
      <c r="AN279" s="1" t="str">
        <f>PROD_ID_TABLE[[#This Row],[PROD ID]]</f>
        <v>AQUA 4411 CLAR5 G</v>
      </c>
      <c r="AO279" s="1" t="str">
        <f t="shared" si="49"/>
        <v>RESUTILE AQUA 4411 WB ALIPHATIC URETHANE - CLEARCLEAR5 GAL</v>
      </c>
      <c r="AP279" s="3">
        <f t="shared" si="50"/>
        <v>563.78</v>
      </c>
      <c r="AQ279" s="1" t="str">
        <f t="shared" si="51"/>
        <v>5 GAL</v>
      </c>
      <c r="AS279" s="1" t="str">
        <f t="shared" si="52"/>
        <v>CLEAR</v>
      </c>
      <c r="AT279"/>
      <c r="AU279"/>
      <c r="AV279"/>
      <c r="AY279" t="str">
        <f t="shared" si="53"/>
        <v>AQUA 4411 CLAR5 G</v>
      </c>
      <c r="AZ279" s="1" t="str">
        <f t="shared" si="54"/>
        <v xml:space="preserve">AQUA 4411 </v>
      </c>
      <c r="BA279" t="str">
        <f t="shared" si="55"/>
        <v>CLAR</v>
      </c>
      <c r="BB279" s="1" t="str">
        <f t="shared" si="47"/>
        <v>5 G</v>
      </c>
      <c r="BC279" s="1">
        <f t="shared" si="57"/>
        <v>563.78</v>
      </c>
      <c r="BD279" s="1" t="s">
        <v>352</v>
      </c>
      <c r="BE279" s="14" t="s">
        <v>315</v>
      </c>
      <c r="BF279" s="14" t="s">
        <v>412</v>
      </c>
      <c r="BG279" s="14" t="s">
        <v>366</v>
      </c>
      <c r="BH279" s="39" t="s">
        <v>329</v>
      </c>
      <c r="BJ279" t="str">
        <v>15 GAL</v>
      </c>
      <c r="BK279"/>
      <c r="BM279"/>
    </row>
    <row r="280" spans="22:65" x14ac:dyDescent="0.35">
      <c r="V280" s="1" t="str">
        <v xml:space="preserve"> P-101 PRILIAY5 G</v>
      </c>
      <c r="X280" s="1" t="str">
        <f t="shared" si="56"/>
        <v>E WR COVE COAYKIT</v>
      </c>
      <c r="Y280" s="1" t="str" cm="1">
        <f t="array" ref="Y280">IFERROR(VLOOKUP($X280,$AN:AO,COLUMN(AO:AO)-COLUMN($AN:$AN)+1,FALSE),"")</f>
        <v>POLY-CRETE WR COVE BASE, SLOPE/PATCHINGCONCRETE GRAYKIT</v>
      </c>
      <c r="Z280" s="63" cm="1">
        <f t="array" ref="Z280">IFERROR(VLOOKUP($X280,$AN:AP,COLUMN(AP:AP)-COLUMN($AN:$AN)+1,FALSE),"")</f>
        <v>57.67</v>
      </c>
      <c r="AA280" s="1" t="str" cm="1">
        <f t="array" ref="AA280">IFERROR(VLOOKUP($X280,$AN:AQ,COLUMN(AQ:AQ)-COLUMN($AN:$AN)+1,FALSE),"")</f>
        <v>KIT</v>
      </c>
      <c r="AC280" s="1" t="str" cm="1">
        <f t="array" ref="AC280">IFERROR(VLOOKUP($X280,$AN:AS,COLUMN(AS:AS)-COLUMN($AN:$AN)+1,FALSE),"")</f>
        <v>CONCRETE GRAY</v>
      </c>
      <c r="AD280" s="1" t="s">
        <v>19</v>
      </c>
      <c r="AF280" s="1">
        <f>Table1[[#This Row],[C:C]]*1.1</f>
        <v>0</v>
      </c>
      <c r="AI280" s="1">
        <f>IFERROR(VLOOKUP(X280,#REF!,8,FALSE),0)</f>
        <v>0</v>
      </c>
      <c r="AN280" s="1" t="str">
        <f>PROD_ID_TABLE[[#This Row],[PROD ID]]</f>
        <v>AQUA 4410 CUOM1.2</v>
      </c>
      <c r="AO280" s="1" t="str">
        <f t="shared" si="49"/>
        <v>RESUTILE AQUA 4410 WB ALIPHATIC URETHANE - COLORCUSTOM1.25 GAL</v>
      </c>
      <c r="AP280" s="3">
        <f t="shared" si="50"/>
        <v>132.41</v>
      </c>
      <c r="AQ280" s="1" t="str">
        <f t="shared" si="51"/>
        <v>1.25 GAL</v>
      </c>
      <c r="AS280" s="1" t="str">
        <f t="shared" si="52"/>
        <v>CUSTOM</v>
      </c>
      <c r="AT280"/>
      <c r="AU280"/>
      <c r="AV280"/>
      <c r="AY280" t="str">
        <f t="shared" si="53"/>
        <v>AQUA 4410 CUOM1.2</v>
      </c>
      <c r="AZ280" s="1" t="str">
        <f t="shared" si="54"/>
        <v xml:space="preserve">AQUA 4410 </v>
      </c>
      <c r="BA280" t="str">
        <f t="shared" si="55"/>
        <v>CUOM</v>
      </c>
      <c r="BB280" s="1" t="str">
        <f t="shared" si="47"/>
        <v>1.2</v>
      </c>
      <c r="BC280" s="1">
        <f t="shared" si="57"/>
        <v>132.41</v>
      </c>
      <c r="BD280" s="62" t="s">
        <v>351</v>
      </c>
      <c r="BE280" s="55" t="s">
        <v>316</v>
      </c>
      <c r="BF280" s="55" t="s">
        <v>421</v>
      </c>
      <c r="BG280" s="55" t="s">
        <v>366</v>
      </c>
      <c r="BH280" s="39" t="s">
        <v>318</v>
      </c>
      <c r="BJ280"/>
      <c r="BK280"/>
      <c r="BM280"/>
    </row>
    <row r="281" spans="22:65" x14ac:dyDescent="0.35">
      <c r="V281" s="1" t="str">
        <v xml:space="preserve"> P-101 PRIMEAY5 G</v>
      </c>
      <c r="X281" s="1" t="str">
        <f t="shared" si="56"/>
        <v>E WR COVE DAAYKIT</v>
      </c>
      <c r="Y281" s="1" t="str" cm="1">
        <f t="array" ref="Y281">IFERROR(VLOOKUP($X281,$AN:AO,COLUMN(AO:AO)-COLUMN($AN:$AN)+1,FALSE),"")</f>
        <v>POLY-CRETE WR COVE BASE, SLOPE/PATCHINGDARK GRAYKIT</v>
      </c>
      <c r="Z281" s="63" cm="1">
        <f t="array" ref="Z281">IFERROR(VLOOKUP($X281,$AN:AP,COLUMN(AP:AP)-COLUMN($AN:$AN)+1,FALSE),"")</f>
        <v>57.67</v>
      </c>
      <c r="AA281" s="1" t="str" cm="1">
        <f t="array" ref="AA281">IFERROR(VLOOKUP($X281,$AN:AQ,COLUMN(AQ:AQ)-COLUMN($AN:$AN)+1,FALSE),"")</f>
        <v>KIT</v>
      </c>
      <c r="AC281" s="1" t="str" cm="1">
        <f t="array" ref="AC281">IFERROR(VLOOKUP($X281,$AN:AS,COLUMN(AS:AS)-COLUMN($AN:$AN)+1,FALSE),"")</f>
        <v>DARK GRAY</v>
      </c>
      <c r="AD281" s="1" t="s">
        <v>19</v>
      </c>
      <c r="AF281" s="1">
        <f>Table1[[#This Row],[C:C]]*1.1</f>
        <v>0</v>
      </c>
      <c r="AI281" s="1">
        <f>IFERROR(VLOOKUP(X281,#REF!,8,FALSE),0)</f>
        <v>0</v>
      </c>
      <c r="AN281" s="1" t="str">
        <f>PROD_ID_TABLE[[#This Row],[PROD ID]]</f>
        <v>AQUA 4410 WHTE1.2</v>
      </c>
      <c r="AO281" s="1" t="str">
        <f t="shared" si="49"/>
        <v>RESUTILE AQUA 4410 WB ALIPHATIC URETHANE - COLORWHITE1.25 GAL</v>
      </c>
      <c r="AP281" s="3">
        <f t="shared" si="50"/>
        <v>132.41</v>
      </c>
      <c r="AQ281" s="1" t="str">
        <f t="shared" si="51"/>
        <v>1.25 GAL</v>
      </c>
      <c r="AS281" s="1" t="str">
        <f t="shared" si="52"/>
        <v>WHITE</v>
      </c>
      <c r="AT281"/>
      <c r="AU281"/>
      <c r="AV281"/>
      <c r="AY281" t="str">
        <f t="shared" si="53"/>
        <v>AQUA 4410 WHTE1.2</v>
      </c>
      <c r="AZ281" s="1" t="str">
        <f t="shared" si="54"/>
        <v xml:space="preserve">AQUA 4410 </v>
      </c>
      <c r="BA281" t="str">
        <f t="shared" si="55"/>
        <v>WHTE</v>
      </c>
      <c r="BB281" s="1" t="str">
        <f t="shared" si="47"/>
        <v>1.2</v>
      </c>
      <c r="BC281" s="1">
        <f t="shared" si="57"/>
        <v>132.41</v>
      </c>
      <c r="BD281" s="62" t="s">
        <v>351</v>
      </c>
      <c r="BE281" s="55" t="s">
        <v>322</v>
      </c>
      <c r="BF281" s="55" t="s">
        <v>421</v>
      </c>
      <c r="BG281" s="55" t="s">
        <v>366</v>
      </c>
      <c r="BH281" s="39" t="s">
        <v>328</v>
      </c>
      <c r="BJ281"/>
      <c r="BK281"/>
      <c r="BM281"/>
    </row>
    <row r="282" spans="22:65" x14ac:dyDescent="0.35">
      <c r="V282" s="1" t="str">
        <v xml:space="preserve"> P-101 PRISLAY5 G</v>
      </c>
      <c r="X282" s="1" t="str">
        <f t="shared" si="56"/>
        <v>E WR COVE GRENKIT</v>
      </c>
      <c r="Y282" s="1" t="str" cm="1">
        <f t="array" ref="Y282">IFERROR(VLOOKUP($X282,$AN:AO,COLUMN(AO:AO)-COLUMN($AN:$AN)+1,FALSE),"")</f>
        <v>POLY-CRETE WR COVE BASE, SLOPE/PATCHINGGREENKIT</v>
      </c>
      <c r="Z282" s="63" cm="1">
        <f t="array" ref="Z282">IFERROR(VLOOKUP($X282,$AN:AP,COLUMN(AP:AP)-COLUMN($AN:$AN)+1,FALSE),"")</f>
        <v>57.67</v>
      </c>
      <c r="AA282" s="1" t="str" cm="1">
        <f t="array" ref="AA282">IFERROR(VLOOKUP($X282,$AN:AQ,COLUMN(AQ:AQ)-COLUMN($AN:$AN)+1,FALSE),"")</f>
        <v>KIT</v>
      </c>
      <c r="AC282" s="1" t="str" cm="1">
        <f t="array" ref="AC282">IFERROR(VLOOKUP($X282,$AN:AS,COLUMN(AS:AS)-COLUMN($AN:$AN)+1,FALSE),"")</f>
        <v>GREEN</v>
      </c>
      <c r="AD282" s="1" t="s">
        <v>19</v>
      </c>
      <c r="AF282" s="1">
        <f>Table1[[#This Row],[C:C]]*1.1</f>
        <v>0</v>
      </c>
      <c r="AI282" s="1">
        <f>IFERROR(VLOOKUP(X282,#REF!,8,FALSE),0)</f>
        <v>0</v>
      </c>
      <c r="AN282" s="1" t="str">
        <f>PROD_ID_TABLE[[#This Row],[PROD ID]]</f>
        <v>AQUA 4410 BLCK1.2</v>
      </c>
      <c r="AO282" s="1" t="str">
        <f t="shared" si="49"/>
        <v>RESUTILE AQUA 4410 WB ALIPHATIC URETHANE - COLORBLACK1.25 GAL</v>
      </c>
      <c r="AP282" s="3">
        <f t="shared" si="50"/>
        <v>132.41</v>
      </c>
      <c r="AQ282" s="1" t="str">
        <f t="shared" si="51"/>
        <v>1.25 GAL</v>
      </c>
      <c r="AS282" s="1" t="str">
        <f t="shared" si="52"/>
        <v>BLACK</v>
      </c>
      <c r="AT282"/>
      <c r="AU282"/>
      <c r="AV282"/>
      <c r="AY282" t="str">
        <f t="shared" si="53"/>
        <v>AQUA 4410 BLCK1.2</v>
      </c>
      <c r="AZ282" s="1" t="str">
        <f t="shared" si="54"/>
        <v xml:space="preserve">AQUA 4410 </v>
      </c>
      <c r="BA282" t="str">
        <f t="shared" si="55"/>
        <v>BLCK</v>
      </c>
      <c r="BB282" s="1" t="str">
        <f t="shared" si="47"/>
        <v>1.2</v>
      </c>
      <c r="BC282" s="1">
        <f t="shared" si="57"/>
        <v>132.41</v>
      </c>
      <c r="BD282" s="62" t="s">
        <v>351</v>
      </c>
      <c r="BE282" s="55" t="s">
        <v>323</v>
      </c>
      <c r="BF282" s="55" t="s">
        <v>421</v>
      </c>
      <c r="BG282" s="55" t="s">
        <v>366</v>
      </c>
      <c r="BH282" s="39" t="s">
        <v>317</v>
      </c>
      <c r="BJ282"/>
      <c r="BK282"/>
      <c r="BM282"/>
    </row>
    <row r="283" spans="22:65" x14ac:dyDescent="0.35">
      <c r="V283" s="1" t="str">
        <v xml:space="preserve"> G-201 BINCLAR5 G</v>
      </c>
      <c r="X283" s="1" t="str">
        <f t="shared" si="56"/>
        <v>E WR COVE GRAYKIT</v>
      </c>
      <c r="Y283" s="1" t="str" cm="1">
        <f t="array" ref="Y283">IFERROR(VLOOKUP($X283,$AN:AO,COLUMN(AO:AO)-COLUMN($AN:$AN)+1,FALSE),"")</f>
        <v>POLY-CRETE WR COVE BASE, SLOPE/PATCHINGGRAYKIT</v>
      </c>
      <c r="Z283" s="63" cm="1">
        <f t="array" ref="Z283">IFERROR(VLOOKUP($X283,$AN:AP,COLUMN(AP:AP)-COLUMN($AN:$AN)+1,FALSE),"")</f>
        <v>57.67</v>
      </c>
      <c r="AA283" s="1" t="str" cm="1">
        <f t="array" ref="AA283">IFERROR(VLOOKUP($X283,$AN:AQ,COLUMN(AQ:AQ)-COLUMN($AN:$AN)+1,FALSE),"")</f>
        <v>KIT</v>
      </c>
      <c r="AC283" s="1" t="str" cm="1">
        <f t="array" ref="AC283">IFERROR(VLOOKUP($X283,$AN:AS,COLUMN(AS:AS)-COLUMN($AN:$AN)+1,FALSE),"")</f>
        <v>GRAY</v>
      </c>
      <c r="AD283" s="1" t="s">
        <v>19</v>
      </c>
      <c r="AF283" s="1">
        <f>Table1[[#This Row],[C:C]]*1.1</f>
        <v>0</v>
      </c>
      <c r="AI283" s="1">
        <f>IFERROR(VLOOKUP(X283,#REF!,8,FALSE),0)</f>
        <v>0</v>
      </c>
      <c r="AN283" s="1" t="str">
        <f>PROD_ID_TABLE[[#This Row],[PROD ID]]</f>
        <v>AQUA 4410 BOTE1.2</v>
      </c>
      <c r="AO283" s="1" t="str">
        <f t="shared" si="49"/>
        <v>RESUTILE AQUA 4410 WB ALIPHATIC URETHANE - COLORBONE WHITE1.25 GAL</v>
      </c>
      <c r="AP283" s="3">
        <f t="shared" si="50"/>
        <v>132.41</v>
      </c>
      <c r="AQ283" s="1" t="str">
        <f t="shared" si="51"/>
        <v>1.25 GAL</v>
      </c>
      <c r="AS283" s="1" t="str">
        <f t="shared" si="52"/>
        <v>BONE WHITE</v>
      </c>
      <c r="AT283"/>
      <c r="AU283"/>
      <c r="AV283"/>
      <c r="AY283" t="str">
        <f t="shared" si="53"/>
        <v>AQUA 4410 BOTE1.2</v>
      </c>
      <c r="AZ283" s="1" t="str">
        <f t="shared" si="54"/>
        <v xml:space="preserve">AQUA 4410 </v>
      </c>
      <c r="BA283" t="str">
        <f t="shared" si="55"/>
        <v>BOTE</v>
      </c>
      <c r="BB283" s="1" t="str">
        <f t="shared" si="47"/>
        <v>1.2</v>
      </c>
      <c r="BC283" s="1">
        <f t="shared" si="57"/>
        <v>132.41</v>
      </c>
      <c r="BD283" s="62" t="s">
        <v>351</v>
      </c>
      <c r="BE283" s="55" t="s">
        <v>320</v>
      </c>
      <c r="BF283" s="55" t="s">
        <v>421</v>
      </c>
      <c r="BG283" s="55" t="s">
        <v>366</v>
      </c>
      <c r="BH283" s="39" t="s">
        <v>384</v>
      </c>
      <c r="BJ283"/>
      <c r="BK283"/>
      <c r="BM283"/>
    </row>
    <row r="284" spans="22:65" x14ac:dyDescent="0.35">
      <c r="V284" s="1" t="str">
        <v xml:space="preserve"> G-201 BINBEGE5 G</v>
      </c>
      <c r="X284" s="1" t="str">
        <f t="shared" si="56"/>
        <v>E WR COVE REEDKIT</v>
      </c>
      <c r="Y284" s="1" t="str" cm="1">
        <f t="array" ref="Y284">IFERROR(VLOOKUP($X284,$AN:AO,COLUMN(AO:AO)-COLUMN($AN:$AN)+1,FALSE),"")</f>
        <v>POLY-CRETE WR COVE BASE, SLOPE/PATCHINGREDKIT</v>
      </c>
      <c r="Z284" s="63" cm="1">
        <f t="array" ref="Z284">IFERROR(VLOOKUP($X284,$AN:AP,COLUMN(AP:AP)-COLUMN($AN:$AN)+1,FALSE),"")</f>
        <v>57.67</v>
      </c>
      <c r="AA284" s="1" t="str" cm="1">
        <f t="array" ref="AA284">IFERROR(VLOOKUP($X284,$AN:AQ,COLUMN(AQ:AQ)-COLUMN($AN:$AN)+1,FALSE),"")</f>
        <v>KIT</v>
      </c>
      <c r="AC284" s="1" t="str" cm="1">
        <f t="array" ref="AC284">IFERROR(VLOOKUP($X284,$AN:AS,COLUMN(AS:AS)-COLUMN($AN:$AN)+1,FALSE),"")</f>
        <v>RED</v>
      </c>
      <c r="AD284" s="1" t="s">
        <v>19</v>
      </c>
      <c r="AF284" s="1">
        <f>Table1[[#This Row],[C:C]]*1.1</f>
        <v>0</v>
      </c>
      <c r="AI284" s="1">
        <f>IFERROR(VLOOKUP(X284,#REF!,8,FALSE),0)</f>
        <v>0</v>
      </c>
      <c r="AN284" s="1" t="str">
        <f>PROD_ID_TABLE[[#This Row],[PROD ID]]</f>
        <v>AQUA 4410 CAAY1.2</v>
      </c>
      <c r="AO284" s="1" t="str">
        <f t="shared" si="49"/>
        <v>RESUTILE AQUA 4410 WB ALIPHATIC URETHANE - COLORCANADA GRAY1.25 GAL</v>
      </c>
      <c r="AP284" s="3">
        <f t="shared" si="50"/>
        <v>132.41</v>
      </c>
      <c r="AQ284" s="1" t="str">
        <f t="shared" si="51"/>
        <v>1.25 GAL</v>
      </c>
      <c r="AS284" s="1" t="str">
        <f t="shared" si="52"/>
        <v>CANADA GRAY</v>
      </c>
      <c r="AT284"/>
      <c r="AU284"/>
      <c r="AV284"/>
      <c r="AY284" t="str">
        <f t="shared" si="53"/>
        <v>AQUA 4410 CAAY1.2</v>
      </c>
      <c r="AZ284" s="1" t="str">
        <f t="shared" si="54"/>
        <v xml:space="preserve">AQUA 4410 </v>
      </c>
      <c r="BA284" t="str">
        <f t="shared" si="55"/>
        <v>CAAY</v>
      </c>
      <c r="BB284" s="1" t="str">
        <f t="shared" si="47"/>
        <v>1.2</v>
      </c>
      <c r="BC284" s="1">
        <f t="shared" si="57"/>
        <v>132.41</v>
      </c>
      <c r="BD284" s="62" t="s">
        <v>351</v>
      </c>
      <c r="BE284" s="55" t="s">
        <v>332</v>
      </c>
      <c r="BF284" s="55" t="s">
        <v>421</v>
      </c>
      <c r="BG284" s="55" t="s">
        <v>366</v>
      </c>
      <c r="BH284" s="39" t="s">
        <v>333</v>
      </c>
      <c r="BJ284"/>
      <c r="BK284"/>
      <c r="BM284"/>
    </row>
    <row r="285" spans="22:65" x14ac:dyDescent="0.35">
      <c r="V285" s="1" t="str">
        <v xml:space="preserve"> G-201 BINBROW5 G</v>
      </c>
      <c r="X285" s="1" t="str">
        <f t="shared" si="56"/>
        <v>E HF ACCELN//A1 Q</v>
      </c>
      <c r="Y285" s="1" t="str" cm="1">
        <f t="array" ref="Y285">IFERROR(VLOOKUP($X285,$AN:AO,COLUMN(AO:AO)-COLUMN($AN:$AN)+1,FALSE),"")</f>
        <v>POLY-CRETE HF ACCELERATOR LOW TEMPERATURE AIDN/A1 Qt</v>
      </c>
      <c r="Z285" s="63" cm="1">
        <f t="array" ref="Z285">IFERROR(VLOOKUP($X285,$AN:AP,COLUMN(AP:AP)-COLUMN($AN:$AN)+1,FALSE),"")</f>
        <v>43.8</v>
      </c>
      <c r="AA285" s="1" t="str" cm="1">
        <f t="array" ref="AA285">IFERROR(VLOOKUP($X285,$AN:AQ,COLUMN(AQ:AQ)-COLUMN($AN:$AN)+1,FALSE),"")</f>
        <v>1 Qt</v>
      </c>
      <c r="AC285" s="1" t="str" cm="1">
        <f t="array" ref="AC285">IFERROR(VLOOKUP($X285,$AN:AS,COLUMN(AS:AS)-COLUMN($AN:$AN)+1,FALSE),"")</f>
        <v>N/A</v>
      </c>
      <c r="AD285" s="1" t="s">
        <v>19</v>
      </c>
      <c r="AF285" s="1">
        <f>Table1[[#This Row],[C:C]]*1.1</f>
        <v>0</v>
      </c>
      <c r="AI285" s="1">
        <f>IFERROR(VLOOKUP(X285,#REF!,8,FALSE),0)</f>
        <v>0</v>
      </c>
      <c r="AN285" s="1" t="str">
        <f>PROD_ID_TABLE[[#This Row],[PROD ID]]</f>
        <v>AQUA 4410 CAEL1.2</v>
      </c>
      <c r="AO285" s="1" t="str">
        <f t="shared" si="49"/>
        <v>RESUTILE AQUA 4410 WB ALIPHATIC URETHANE - COLORCARAMEL1.25 GAL</v>
      </c>
      <c r="AP285" s="3">
        <f t="shared" si="50"/>
        <v>132.41</v>
      </c>
      <c r="AQ285" s="1" t="str">
        <f t="shared" si="51"/>
        <v>1.25 GAL</v>
      </c>
      <c r="AS285" s="1" t="str">
        <f t="shared" si="52"/>
        <v>CARAMEL</v>
      </c>
      <c r="AT285"/>
      <c r="AU285"/>
      <c r="AV285"/>
      <c r="AY285" t="str">
        <f t="shared" si="53"/>
        <v>AQUA 4410 CAEL1.2</v>
      </c>
      <c r="AZ285" s="1" t="str">
        <f t="shared" si="54"/>
        <v xml:space="preserve">AQUA 4410 </v>
      </c>
      <c r="BA285" t="str">
        <f t="shared" si="55"/>
        <v>CAEL</v>
      </c>
      <c r="BB285" s="1" t="str">
        <f t="shared" si="47"/>
        <v>1.2</v>
      </c>
      <c r="BC285" s="1">
        <f t="shared" si="57"/>
        <v>132.41</v>
      </c>
      <c r="BD285" s="62" t="s">
        <v>351</v>
      </c>
      <c r="BE285" s="55" t="s">
        <v>329</v>
      </c>
      <c r="BF285" s="55" t="s">
        <v>421</v>
      </c>
      <c r="BG285" s="55" t="s">
        <v>366</v>
      </c>
      <c r="BH285" s="39" t="s">
        <v>324</v>
      </c>
      <c r="BJ285" t="str" cm="1">
        <f t="array" ref="BJ285">_xlfn.SWITCH(SW!M36,P!$BN$5,P!$BE$280:$BE$299,P!$BE$273)</f>
        <v>CLEAR</v>
      </c>
      <c r="BK285"/>
      <c r="BM285"/>
    </row>
    <row r="286" spans="22:65" x14ac:dyDescent="0.35">
      <c r="V286" s="1" t="str">
        <v xml:space="preserve"> G-201 BINCOAY5 G</v>
      </c>
      <c r="X286" s="1" t="str">
        <f t="shared" si="56"/>
        <v xml:space="preserve"> BOND ENHAN//AKIT</v>
      </c>
      <c r="Y286" s="1" t="str" cm="1">
        <f t="array" ref="Y286">IFERROR(VLOOKUP($X286,$AN:AO,COLUMN(AO:AO)-COLUMN($AN:$AN)+1,FALSE),"")</f>
        <v>CRYLAFLOR BOND ENHANCER TO P-101N/AKIT</v>
      </c>
      <c r="Z286" s="63" cm="1">
        <f t="array" ref="Z286">IFERROR(VLOOKUP($X286,$AN:AP,COLUMN(AP:AP)-COLUMN($AN:$AN)+1,FALSE),"")</f>
        <v>30</v>
      </c>
      <c r="AA286" s="1" t="str" cm="1">
        <f t="array" ref="AA286">IFERROR(VLOOKUP($X286,$AN:AQ,COLUMN(AQ:AQ)-COLUMN($AN:$AN)+1,FALSE),"")</f>
        <v>KIT</v>
      </c>
      <c r="AC286" s="1" t="str" cm="1">
        <f t="array" ref="AC286">IFERROR(VLOOKUP($X286,$AN:AS,COLUMN(AS:AS)-COLUMN($AN:$AN)+1,FALSE),"")</f>
        <v>N/A</v>
      </c>
      <c r="AD286" s="1" t="s">
        <v>19</v>
      </c>
      <c r="AF286" s="1">
        <f>Table1[[#This Row],[C:C]]*1.1</f>
        <v>0</v>
      </c>
      <c r="AI286" s="1">
        <f>IFERROR(VLOOKUP(X286,#REF!,8,FALSE),0)</f>
        <v>0</v>
      </c>
      <c r="AN286" s="1" t="str">
        <f>PROD_ID_TABLE[[#This Row],[PROD ID]]</f>
        <v>AQUA 4410 CHAL1.2</v>
      </c>
      <c r="AO286" s="1" t="str">
        <f t="shared" si="49"/>
        <v>RESUTILE AQUA 4410 WB ALIPHATIC URETHANE - COLORCHARCOAL1.25 GAL</v>
      </c>
      <c r="AP286" s="3">
        <f t="shared" si="50"/>
        <v>132.41</v>
      </c>
      <c r="AQ286" s="1" t="str">
        <f t="shared" si="51"/>
        <v>1.25 GAL</v>
      </c>
      <c r="AS286" s="1" t="str">
        <f t="shared" si="52"/>
        <v>CHARCOAL</v>
      </c>
      <c r="AT286"/>
      <c r="AU286"/>
      <c r="AV286"/>
      <c r="AY286" t="str">
        <f t="shared" si="53"/>
        <v>AQUA 4410 CHAL1.2</v>
      </c>
      <c r="AZ286" s="1" t="str">
        <f t="shared" si="54"/>
        <v xml:space="preserve">AQUA 4410 </v>
      </c>
      <c r="BA286" t="str">
        <f t="shared" si="55"/>
        <v>CHAL</v>
      </c>
      <c r="BB286" s="1" t="str">
        <f t="shared" si="47"/>
        <v>1.2</v>
      </c>
      <c r="BC286" s="1">
        <f t="shared" si="57"/>
        <v>132.41</v>
      </c>
      <c r="BD286" s="62" t="s">
        <v>351</v>
      </c>
      <c r="BE286" s="55" t="s">
        <v>318</v>
      </c>
      <c r="BF286" s="55" t="s">
        <v>421</v>
      </c>
      <c r="BG286" s="55" t="s">
        <v>366</v>
      </c>
      <c r="BH286" s="39" t="s">
        <v>327</v>
      </c>
      <c r="BJ286"/>
      <c r="BK286"/>
      <c r="BM286"/>
    </row>
    <row r="287" spans="22:65" x14ac:dyDescent="0.35">
      <c r="V287" s="1" t="str">
        <v xml:space="preserve"> G-201 BINCHAY5 G</v>
      </c>
      <c r="X287" s="1" t="str">
        <f t="shared" si="56"/>
        <v xml:space="preserve"> P-101 PRICLAR5 G</v>
      </c>
      <c r="Y287" s="1" t="str" cm="1">
        <f t="array" ref="Y287">IFERROR(VLOOKUP($X287,$AN:AO,COLUMN(AO:AO)-COLUMN($AN:$AN)+1,FALSE),"")</f>
        <v>CRYLAFLOR P-101 PRIMERCLEAR5 GAL KIT</v>
      </c>
      <c r="Z287" s="63" cm="1">
        <f t="array" ref="Z287">IFERROR(VLOOKUP($X287,$AN:AP,COLUMN(AP:AP)-COLUMN($AN:$AN)+1,FALSE),"")</f>
        <v>323</v>
      </c>
      <c r="AA287" s="1" t="str" cm="1">
        <f t="array" ref="AA287">IFERROR(VLOOKUP($X287,$AN:AQ,COLUMN(AQ:AQ)-COLUMN($AN:$AN)+1,FALSE),"")</f>
        <v>5 GAL KIT</v>
      </c>
      <c r="AC287" s="1" t="str" cm="1">
        <f t="array" ref="AC287">IFERROR(VLOOKUP($X287,$AN:AS,COLUMN(AS:AS)-COLUMN($AN:$AN)+1,FALSE),"")</f>
        <v>CLEAR</v>
      </c>
      <c r="AD287" s="1" t="s">
        <v>19</v>
      </c>
      <c r="AF287" s="1">
        <f>Table1[[#This Row],[C:C]]*1.1</f>
        <v>0</v>
      </c>
      <c r="AI287" s="1">
        <f>IFERROR(VLOOKUP(X287,#REF!,8,FALSE),0)</f>
        <v>0</v>
      </c>
      <c r="AN287" s="1" t="str">
        <f>PROD_ID_TABLE[[#This Row],[PROD ID]]</f>
        <v>AQUA 4410 CLLE1.2</v>
      </c>
      <c r="AO287" s="1" t="str">
        <f t="shared" si="49"/>
        <v>RESUTILE AQUA 4410 WB ALIPHATIC URETHANE - COLORCLASIC RED TILE1.25 GAL</v>
      </c>
      <c r="AP287" s="3">
        <f t="shared" si="50"/>
        <v>132.41</v>
      </c>
      <c r="AQ287" s="1" t="str">
        <f t="shared" si="51"/>
        <v>1.25 GAL</v>
      </c>
      <c r="AS287" s="1" t="str">
        <f t="shared" si="52"/>
        <v>CLASIC RED TILE</v>
      </c>
      <c r="AT287"/>
      <c r="AU287"/>
      <c r="AV287"/>
      <c r="AY287" t="str">
        <f t="shared" si="53"/>
        <v>AQUA 4410 CLLE1.2</v>
      </c>
      <c r="AZ287" s="1" t="str">
        <f t="shared" si="54"/>
        <v xml:space="preserve">AQUA 4410 </v>
      </c>
      <c r="BA287" t="str">
        <f t="shared" si="55"/>
        <v>CLLE</v>
      </c>
      <c r="BB287" s="1" t="str">
        <f t="shared" si="47"/>
        <v>1.2</v>
      </c>
      <c r="BC287" s="1">
        <f t="shared" si="57"/>
        <v>132.41</v>
      </c>
      <c r="BD287" s="62" t="s">
        <v>351</v>
      </c>
      <c r="BE287" s="55" t="s">
        <v>328</v>
      </c>
      <c r="BF287" s="55" t="s">
        <v>421</v>
      </c>
      <c r="BG287" s="55" t="s">
        <v>366</v>
      </c>
      <c r="BH287" s="39" t="s">
        <v>428</v>
      </c>
      <c r="BJ287"/>
      <c r="BK287"/>
      <c r="BM287"/>
    </row>
    <row r="288" spans="22:65" x14ac:dyDescent="0.35">
      <c r="V288" s="1" t="str">
        <v xml:space="preserve"> G-201 BINLIAY5 G</v>
      </c>
      <c r="X288" s="1" t="str">
        <f t="shared" si="56"/>
        <v xml:space="preserve"> P-101 PRIBEGE5 G</v>
      </c>
      <c r="Y288" s="1" t="str" cm="1">
        <f t="array" ref="Y288">IFERROR(VLOOKUP($X288,$AN:AO,COLUMN(AO:AO)-COLUMN($AN:$AN)+1,FALSE),"")</f>
        <v>CRYLAFLOR P-101 PRIMERBEIGE5 GAL KIT</v>
      </c>
      <c r="Z288" s="63" cm="1">
        <f t="array" ref="Z288">IFERROR(VLOOKUP($X288,$AN:AP,COLUMN(AP:AP)-COLUMN($AN:$AN)+1,FALSE),"")</f>
        <v>323</v>
      </c>
      <c r="AA288" s="1" t="str" cm="1">
        <f t="array" ref="AA288">IFERROR(VLOOKUP($X288,$AN:AQ,COLUMN(AQ:AQ)-COLUMN($AN:$AN)+1,FALSE),"")</f>
        <v>5 GAL KIT</v>
      </c>
      <c r="AC288" s="1" t="str" cm="1">
        <f t="array" ref="AC288">IFERROR(VLOOKUP($X288,$AN:AS,COLUMN(AS:AS)-COLUMN($AN:$AN)+1,FALSE),"")</f>
        <v>BEIGE</v>
      </c>
      <c r="AD288" s="1" t="s">
        <v>19</v>
      </c>
      <c r="AF288" s="1">
        <f>Table1[[#This Row],[C:C]]*1.1</f>
        <v>0</v>
      </c>
      <c r="AI288" s="1">
        <f>IFERROR(VLOOKUP(X288,#REF!,8,FALSE),0)</f>
        <v>0</v>
      </c>
      <c r="AN288" s="1" t="str">
        <f>PROD_ID_TABLE[[#This Row],[PROD ID]]</f>
        <v>AQUA 4410 GRAY1.2</v>
      </c>
      <c r="AO288" s="1" t="str">
        <f t="shared" si="49"/>
        <v>RESUTILE AQUA 4410 WB ALIPHATIC URETHANE - COLORGRAY1.25 GAL</v>
      </c>
      <c r="AP288" s="3">
        <f t="shared" si="50"/>
        <v>132.41</v>
      </c>
      <c r="AQ288" s="1" t="str">
        <f t="shared" si="51"/>
        <v>1.25 GAL</v>
      </c>
      <c r="AS288" s="1" t="str">
        <f t="shared" si="52"/>
        <v>GRAY</v>
      </c>
      <c r="AT288"/>
      <c r="AU288"/>
      <c r="AV288"/>
      <c r="AY288" t="str">
        <f t="shared" si="53"/>
        <v>AQUA 4410 GRAY1.2</v>
      </c>
      <c r="AZ288" s="1" t="str">
        <f t="shared" si="54"/>
        <v xml:space="preserve">AQUA 4410 </v>
      </c>
      <c r="BA288" t="str">
        <f t="shared" si="55"/>
        <v>GRAY</v>
      </c>
      <c r="BB288" s="1" t="str">
        <f t="shared" si="47"/>
        <v>1.2</v>
      </c>
      <c r="BC288" s="1">
        <f t="shared" si="57"/>
        <v>132.41</v>
      </c>
      <c r="BD288" s="62" t="s">
        <v>351</v>
      </c>
      <c r="BE288" s="55" t="s">
        <v>317</v>
      </c>
      <c r="BF288" s="55" t="s">
        <v>421</v>
      </c>
      <c r="BG288" s="55" t="s">
        <v>366</v>
      </c>
      <c r="BH288" s="39" t="s">
        <v>325</v>
      </c>
      <c r="BJ288"/>
      <c r="BK288"/>
      <c r="BM288"/>
    </row>
    <row r="289" spans="22:65" x14ac:dyDescent="0.35">
      <c r="V289" s="1" t="str">
        <v xml:space="preserve"> G-201 BINMEAY5 G</v>
      </c>
      <c r="X289" s="1" t="str">
        <f t="shared" si="56"/>
        <v xml:space="preserve"> P-101 PRIBROW5 G</v>
      </c>
      <c r="Y289" s="1" t="str" cm="1">
        <f t="array" ref="Y289">IFERROR(VLOOKUP($X289,$AN:AO,COLUMN(AO:AO)-COLUMN($AN:$AN)+1,FALSE),"")</f>
        <v>CRYLAFLOR P-101 PRIMERBRIGHT YELLOW5 GAL KIT</v>
      </c>
      <c r="Z289" s="63" cm="1">
        <f t="array" ref="Z289">IFERROR(VLOOKUP($X289,$AN:AP,COLUMN(AP:AP)-COLUMN($AN:$AN)+1,FALSE),"")</f>
        <v>323</v>
      </c>
      <c r="AA289" s="1" t="str" cm="1">
        <f t="array" ref="AA289">IFERROR(VLOOKUP($X289,$AN:AQ,COLUMN(AQ:AQ)-COLUMN($AN:$AN)+1,FALSE),"")</f>
        <v>5 GAL KIT</v>
      </c>
      <c r="AC289" s="1" t="str" cm="1">
        <f t="array" ref="AC289">IFERROR(VLOOKUP($X289,$AN:AS,COLUMN(AS:AS)-COLUMN($AN:$AN)+1,FALSE),"")</f>
        <v>BRIGHT YELLOW</v>
      </c>
      <c r="AD289" s="1" t="s">
        <v>19</v>
      </c>
      <c r="AF289" s="1">
        <f>Table1[[#This Row],[C:C]]*1.1</f>
        <v>0</v>
      </c>
      <c r="AI289" s="1">
        <f>IFERROR(VLOOKUP(X289,#REF!,8,FALSE),0)</f>
        <v>0</v>
      </c>
      <c r="AN289" s="1" t="str">
        <f>PROD_ID_TABLE[[#This Row],[PROD ID]]</f>
        <v>AQUA 4410 LIAY1.2</v>
      </c>
      <c r="AO289" s="1" t="str">
        <f t="shared" si="49"/>
        <v>RESUTILE AQUA 4410 WB ALIPHATIC URETHANE - COLORLIGHT GRAY1.25 GAL</v>
      </c>
      <c r="AP289" s="3">
        <f t="shared" si="50"/>
        <v>132.41</v>
      </c>
      <c r="AQ289" s="1" t="str">
        <f t="shared" si="51"/>
        <v>1.25 GAL</v>
      </c>
      <c r="AS289" s="1" t="str">
        <f t="shared" si="52"/>
        <v>LIGHT GRAY</v>
      </c>
      <c r="AT289"/>
      <c r="AU289"/>
      <c r="AV289"/>
      <c r="AY289" t="str">
        <f t="shared" si="53"/>
        <v>AQUA 4410 LIAY1.2</v>
      </c>
      <c r="AZ289" s="1" t="str">
        <f t="shared" si="54"/>
        <v xml:space="preserve">AQUA 4410 </v>
      </c>
      <c r="BA289" t="str">
        <f t="shared" si="55"/>
        <v>LIAY</v>
      </c>
      <c r="BB289" s="1" t="str">
        <f t="shared" si="47"/>
        <v>1.2</v>
      </c>
      <c r="BC289" s="1">
        <f t="shared" si="57"/>
        <v>132.41</v>
      </c>
      <c r="BD289" s="62" t="s">
        <v>351</v>
      </c>
      <c r="BE289" s="55" t="s">
        <v>384</v>
      </c>
      <c r="BF289" s="55" t="s">
        <v>421</v>
      </c>
      <c r="BG289" s="55" t="s">
        <v>366</v>
      </c>
      <c r="BH289" s="39" t="s">
        <v>326</v>
      </c>
      <c r="BJ289"/>
      <c r="BK289"/>
      <c r="BM289"/>
    </row>
    <row r="290" spans="22:65" x14ac:dyDescent="0.35">
      <c r="V290" s="1" t="str">
        <v xml:space="preserve"> G-201 BINSLAY5 G</v>
      </c>
      <c r="X290" s="1" t="str">
        <f t="shared" si="56"/>
        <v xml:space="preserve"> P-101 PRICOAY5 G</v>
      </c>
      <c r="Y290" s="1" t="str" cm="1">
        <f t="array" ref="Y290">IFERROR(VLOOKUP($X290,$AN:AO,COLUMN(AO:AO)-COLUMN($AN:$AN)+1,FALSE),"")</f>
        <v>CRYLAFLOR P-101 PRIMERCONCRETE GRAY5 GAL KIT</v>
      </c>
      <c r="Z290" s="63" cm="1">
        <f t="array" ref="Z290">IFERROR(VLOOKUP($X290,$AN:AP,COLUMN(AP:AP)-COLUMN($AN:$AN)+1,FALSE),"")</f>
        <v>323</v>
      </c>
      <c r="AA290" s="1" t="str" cm="1">
        <f t="array" ref="AA290">IFERROR(VLOOKUP($X290,$AN:AQ,COLUMN(AQ:AQ)-COLUMN($AN:$AN)+1,FALSE),"")</f>
        <v>5 GAL KIT</v>
      </c>
      <c r="AC290" s="1" t="str" cm="1">
        <f t="array" ref="AC290">IFERROR(VLOOKUP($X290,$AN:AS,COLUMN(AS:AS)-COLUMN($AN:$AN)+1,FALSE),"")</f>
        <v>CONCRETE GRAY</v>
      </c>
      <c r="AD290" s="1" t="s">
        <v>19</v>
      </c>
      <c r="AF290" s="1">
        <f>Table1[[#This Row],[C:C]]*1.1</f>
        <v>0</v>
      </c>
      <c r="AI290" s="1">
        <f>IFERROR(VLOOKUP(X290,#REF!,8,FALSE),0)</f>
        <v>0</v>
      </c>
      <c r="AN290" s="1" t="str">
        <f>PROD_ID_TABLE[[#This Row],[PROD ID]]</f>
        <v>AQUA 4410 MEAY1.2</v>
      </c>
      <c r="AO290" s="1" t="str">
        <f t="shared" si="49"/>
        <v>RESUTILE AQUA 4410 WB ALIPHATIC URETHANE - COLORMEDIUM GRAY1.25 GAL</v>
      </c>
      <c r="AP290" s="3">
        <f t="shared" si="50"/>
        <v>132.41</v>
      </c>
      <c r="AQ290" s="1" t="str">
        <f t="shared" si="51"/>
        <v>1.25 GAL</v>
      </c>
      <c r="AS290" s="1" t="str">
        <f t="shared" si="52"/>
        <v>MEDIUM GRAY</v>
      </c>
      <c r="AT290"/>
      <c r="AU290"/>
      <c r="AV290"/>
      <c r="AY290" t="str">
        <f t="shared" si="53"/>
        <v>AQUA 4410 MEAY1.2</v>
      </c>
      <c r="AZ290" s="1" t="str">
        <f t="shared" si="54"/>
        <v xml:space="preserve">AQUA 4410 </v>
      </c>
      <c r="BA290" t="str">
        <f t="shared" si="55"/>
        <v>MEAY</v>
      </c>
      <c r="BB290" s="1" t="str">
        <f t="shared" si="47"/>
        <v>1.2</v>
      </c>
      <c r="BC290" s="1">
        <f t="shared" si="57"/>
        <v>132.41</v>
      </c>
      <c r="BD290" s="62" t="s">
        <v>351</v>
      </c>
      <c r="BE290" s="55" t="s">
        <v>333</v>
      </c>
      <c r="BF290" s="55" t="s">
        <v>421</v>
      </c>
      <c r="BG290" s="55" t="s">
        <v>366</v>
      </c>
      <c r="BH290" s="39" t="s">
        <v>321</v>
      </c>
      <c r="BJ290"/>
      <c r="BK290"/>
      <c r="BM290"/>
    </row>
    <row r="291" spans="22:65" x14ac:dyDescent="0.35">
      <c r="V291" s="1" t="str">
        <v xml:space="preserve"> G-201 BINBLCK5 G</v>
      </c>
      <c r="X291" s="1" t="str">
        <f t="shared" si="56"/>
        <v xml:space="preserve"> P-101 PRICHAY5 G</v>
      </c>
      <c r="Y291" s="1" t="str" cm="1">
        <f t="array" ref="Y291">IFERROR(VLOOKUP($X291,$AN:AO,COLUMN(AO:AO)-COLUMN($AN:$AN)+1,FALSE),"")</f>
        <v>CRYLAFLOR P-101 PRIMERCHARCOAL GRAY5 GAL KIT</v>
      </c>
      <c r="Z291" s="63" cm="1">
        <f t="array" ref="Z291">IFERROR(VLOOKUP($X291,$AN:AP,COLUMN(AP:AP)-COLUMN($AN:$AN)+1,FALSE),"")</f>
        <v>323</v>
      </c>
      <c r="AA291" s="1" t="str" cm="1">
        <f t="array" ref="AA291">IFERROR(VLOOKUP($X291,$AN:AQ,COLUMN(AQ:AQ)-COLUMN($AN:$AN)+1,FALSE),"")</f>
        <v>5 GAL KIT</v>
      </c>
      <c r="AC291" s="1" t="str" cm="1">
        <f t="array" ref="AC291">IFERROR(VLOOKUP($X291,$AN:AS,COLUMN(AS:AS)-COLUMN($AN:$AN)+1,FALSE),"")</f>
        <v>CHARCOAL GRAY</v>
      </c>
      <c r="AD291" s="1" t="s">
        <v>19</v>
      </c>
      <c r="AF291" s="1">
        <f>Table1[[#This Row],[C:C]]*1.1</f>
        <v>0</v>
      </c>
      <c r="AI291" s="1">
        <f>IFERROR(VLOOKUP(X291,#REF!,8,FALSE),0)</f>
        <v>0</v>
      </c>
      <c r="AN291" s="1" t="str">
        <f>PROD_ID_TABLE[[#This Row],[PROD ID]]</f>
        <v>AQUA 4410 PANT1.2</v>
      </c>
      <c r="AO291" s="1" t="str">
        <f t="shared" si="49"/>
        <v>RESUTILE AQUA 4410 WB ALIPHATIC URETHANE - COLORPARCHMENT1.25 GAL</v>
      </c>
      <c r="AP291" s="3">
        <f t="shared" si="50"/>
        <v>132.41</v>
      </c>
      <c r="AQ291" s="1" t="str">
        <f t="shared" si="51"/>
        <v>1.25 GAL</v>
      </c>
      <c r="AS291" s="1" t="str">
        <f t="shared" si="52"/>
        <v>PARCHMENT</v>
      </c>
      <c r="AT291"/>
      <c r="AU291"/>
      <c r="AV291"/>
      <c r="AY291" t="str">
        <f t="shared" si="53"/>
        <v>AQUA 4410 PANT1.2</v>
      </c>
      <c r="AZ291" s="1" t="str">
        <f t="shared" si="54"/>
        <v xml:space="preserve">AQUA 4410 </v>
      </c>
      <c r="BA291" t="str">
        <f t="shared" si="55"/>
        <v>PANT</v>
      </c>
      <c r="BB291" s="1" t="str">
        <f t="shared" si="47"/>
        <v>1.2</v>
      </c>
      <c r="BC291" s="1">
        <f t="shared" si="57"/>
        <v>132.41</v>
      </c>
      <c r="BD291" s="62" t="s">
        <v>351</v>
      </c>
      <c r="BE291" s="55" t="s">
        <v>324</v>
      </c>
      <c r="BF291" s="55" t="s">
        <v>421</v>
      </c>
      <c r="BG291" s="55" t="s">
        <v>366</v>
      </c>
      <c r="BH291" s="39" t="s">
        <v>319</v>
      </c>
      <c r="BJ291"/>
      <c r="BK291"/>
      <c r="BM291"/>
    </row>
    <row r="292" spans="22:65" x14ac:dyDescent="0.35">
      <c r="V292" s="1" t="str">
        <v xml:space="preserve"> G-201 BINGREN5 G</v>
      </c>
      <c r="X292" s="1" t="str">
        <f t="shared" si="56"/>
        <v xml:space="preserve"> P-101 PRILIAY5 G</v>
      </c>
      <c r="Y292" s="1" t="str" cm="1">
        <f t="array" ref="Y292">IFERROR(VLOOKUP($X292,$AN:AO,COLUMN(AO:AO)-COLUMN($AN:$AN)+1,FALSE),"")</f>
        <v>CRYLAFLOR P-101 PRIMERLIGHT GRAY5 GAL KIT</v>
      </c>
      <c r="Z292" s="63" cm="1">
        <f t="array" ref="Z292">IFERROR(VLOOKUP($X292,$AN:AP,COLUMN(AP:AP)-COLUMN($AN:$AN)+1,FALSE),"")</f>
        <v>323</v>
      </c>
      <c r="AA292" s="1" t="str" cm="1">
        <f t="array" ref="AA292">IFERROR(VLOOKUP($X292,$AN:AQ,COLUMN(AQ:AQ)-COLUMN($AN:$AN)+1,FALSE),"")</f>
        <v>5 GAL KIT</v>
      </c>
      <c r="AC292" s="1" t="str" cm="1">
        <f t="array" ref="AC292">IFERROR(VLOOKUP($X292,$AN:AS,COLUMN(AS:AS)-COLUMN($AN:$AN)+1,FALSE),"")</f>
        <v>LIGHT GRAY</v>
      </c>
      <c r="AD292" s="1" t="s">
        <v>19</v>
      </c>
      <c r="AF292" s="1">
        <f>Table1[[#This Row],[C:C]]*1.1</f>
        <v>0</v>
      </c>
      <c r="AI292" s="1">
        <f>IFERROR(VLOOKUP(X292,#REF!,8,FALSE),0)</f>
        <v>0</v>
      </c>
      <c r="AN292" s="1" t="str">
        <f>PROD_ID_TABLE[[#This Row],[PROD ID]]</f>
        <v>AQUA 4410 PEER1.2</v>
      </c>
      <c r="AO292" s="1" t="str">
        <f t="shared" si="49"/>
        <v>RESUTILE AQUA 4410 WB ALIPHATIC URETHANE - COLORPEWTER1.25 GAL</v>
      </c>
      <c r="AP292" s="3">
        <f t="shared" si="50"/>
        <v>132.41</v>
      </c>
      <c r="AQ292" s="1" t="str">
        <f t="shared" si="51"/>
        <v>1.25 GAL</v>
      </c>
      <c r="AS292" s="1" t="str">
        <f t="shared" si="52"/>
        <v>PEWTER</v>
      </c>
      <c r="AT292"/>
      <c r="AU292"/>
      <c r="AV292"/>
      <c r="AY292" t="str">
        <f t="shared" si="53"/>
        <v>AQUA 4410 PEER1.2</v>
      </c>
      <c r="AZ292" s="1" t="str">
        <f t="shared" si="54"/>
        <v xml:space="preserve">AQUA 4410 </v>
      </c>
      <c r="BA292" t="str">
        <f t="shared" si="55"/>
        <v>PEER</v>
      </c>
      <c r="BB292" s="1" t="str">
        <f t="shared" si="47"/>
        <v>1.2</v>
      </c>
      <c r="BC292" s="1">
        <f t="shared" si="57"/>
        <v>132.41</v>
      </c>
      <c r="BD292" s="62" t="s">
        <v>351</v>
      </c>
      <c r="BE292" s="55" t="s">
        <v>327</v>
      </c>
      <c r="BF292" s="55" t="s">
        <v>421</v>
      </c>
      <c r="BG292" s="55" t="s">
        <v>366</v>
      </c>
      <c r="BH292" s="39" t="s">
        <v>330</v>
      </c>
      <c r="BJ292"/>
      <c r="BK292"/>
      <c r="BM292"/>
    </row>
    <row r="293" spans="22:65" x14ac:dyDescent="0.35">
      <c r="V293" s="1" t="str">
        <v xml:space="preserve"> G-201 BINWHTE5 G</v>
      </c>
      <c r="X293" s="1" t="str">
        <f t="shared" si="56"/>
        <v xml:space="preserve"> P-101 PRIMEAY5 G</v>
      </c>
      <c r="Y293" s="1" t="str" cm="1">
        <f t="array" ref="Y293">IFERROR(VLOOKUP($X293,$AN:AO,COLUMN(AO:AO)-COLUMN($AN:$AN)+1,FALSE),"")</f>
        <v>CRYLAFLOR P-101 PRIMERMED. GRAY5 GAL KIT</v>
      </c>
      <c r="Z293" s="63" cm="1">
        <f t="array" ref="Z293">IFERROR(VLOOKUP($X293,$AN:AP,COLUMN(AP:AP)-COLUMN($AN:$AN)+1,FALSE),"")</f>
        <v>323</v>
      </c>
      <c r="AA293" s="1" t="str" cm="1">
        <f t="array" ref="AA293">IFERROR(VLOOKUP($X293,$AN:AQ,COLUMN(AQ:AQ)-COLUMN($AN:$AN)+1,FALSE),"")</f>
        <v>5 GAL KIT</v>
      </c>
      <c r="AC293" s="1" t="str" cm="1">
        <f t="array" ref="AC293">IFERROR(VLOOKUP($X293,$AN:AS,COLUMN(AS:AS)-COLUMN($AN:$AN)+1,FALSE),"")</f>
        <v>MED. GRAY</v>
      </c>
      <c r="AD293" s="1" t="s">
        <v>19</v>
      </c>
      <c r="AF293" s="1">
        <f>Table1[[#This Row],[C:C]]*1.1</f>
        <v>0</v>
      </c>
      <c r="AI293" s="1">
        <f>IFERROR(VLOOKUP(X293,#REF!,8,FALSE),0)</f>
        <v>0</v>
      </c>
      <c r="AN293" s="1" t="str">
        <f>PROD_ID_TABLE[[#This Row],[PROD ID]]</f>
        <v>AQUA 4410 ROUE1.2</v>
      </c>
      <c r="AO293" s="1" t="str">
        <f t="shared" si="49"/>
        <v>RESUTILE AQUA 4410 WB ALIPHATIC URETHANE - COLORROYAL BLUE1.25 GAL</v>
      </c>
      <c r="AP293" s="3">
        <f t="shared" si="50"/>
        <v>132.41</v>
      </c>
      <c r="AQ293" s="1" t="str">
        <f t="shared" si="51"/>
        <v>1.25 GAL</v>
      </c>
      <c r="AS293" s="1" t="str">
        <f t="shared" si="52"/>
        <v>ROYAL BLUE</v>
      </c>
      <c r="AT293"/>
      <c r="AU293"/>
      <c r="AV293"/>
      <c r="AY293" t="str">
        <f t="shared" si="53"/>
        <v>AQUA 4410 ROUE1.2</v>
      </c>
      <c r="AZ293" s="1" t="str">
        <f t="shared" si="54"/>
        <v xml:space="preserve">AQUA 4410 </v>
      </c>
      <c r="BA293" t="str">
        <f t="shared" si="55"/>
        <v>ROUE</v>
      </c>
      <c r="BB293" s="1" t="str">
        <f t="shared" si="47"/>
        <v>1.2</v>
      </c>
      <c r="BC293" s="1">
        <f t="shared" si="57"/>
        <v>132.41</v>
      </c>
      <c r="BD293" s="62" t="s">
        <v>351</v>
      </c>
      <c r="BE293" s="55" t="s">
        <v>428</v>
      </c>
      <c r="BF293" s="55" t="s">
        <v>421</v>
      </c>
      <c r="BG293" s="55" t="s">
        <v>366</v>
      </c>
      <c r="BH293" s="39" t="s">
        <v>331</v>
      </c>
      <c r="BJ293"/>
      <c r="BK293"/>
      <c r="BM293"/>
    </row>
    <row r="294" spans="22:65" x14ac:dyDescent="0.35">
      <c r="V294" s="1" t="str">
        <v xml:space="preserve"> G-201 BINSPAL5 G</v>
      </c>
      <c r="X294" s="1" t="str">
        <f t="shared" si="56"/>
        <v xml:space="preserve"> P-101 PRISLAY5 G</v>
      </c>
      <c r="Y294" s="1" t="str" cm="1">
        <f t="array" ref="Y294">IFERROR(VLOOKUP($X294,$AN:AO,COLUMN(AO:AO)-COLUMN($AN:$AN)+1,FALSE),"")</f>
        <v>CRYLAFLOR P-101 PRIMERSLATE GRAY5 GAL KIT</v>
      </c>
      <c r="Z294" s="63" cm="1">
        <f t="array" ref="Z294">IFERROR(VLOOKUP($X294,$AN:AP,COLUMN(AP:AP)-COLUMN($AN:$AN)+1,FALSE),"")</f>
        <v>323</v>
      </c>
      <c r="AA294" s="1" t="str" cm="1">
        <f t="array" ref="AA294">IFERROR(VLOOKUP($X294,$AN:AQ,COLUMN(AQ:AQ)-COLUMN($AN:$AN)+1,FALSE),"")</f>
        <v>5 GAL KIT</v>
      </c>
      <c r="AC294" s="1" t="str" cm="1">
        <f t="array" ref="AC294">IFERROR(VLOOKUP($X294,$AN:AS,COLUMN(AS:AS)-COLUMN($AN:$AN)+1,FALSE),"")</f>
        <v>SLATE GRAY</v>
      </c>
      <c r="AD294" s="1" t="s">
        <v>19</v>
      </c>
      <c r="AF294" s="1">
        <f>Table1[[#This Row],[C:C]]*1.1</f>
        <v>0</v>
      </c>
      <c r="AI294" s="1">
        <f>IFERROR(VLOOKUP(X294,#REF!,8,FALSE),0)</f>
        <v>0</v>
      </c>
      <c r="AN294" s="1" t="str">
        <f>PROD_ID_TABLE[[#This Row],[PROD ID]]</f>
        <v>AQUA 4410 SAED1.2</v>
      </c>
      <c r="AO294" s="1" t="str">
        <f t="shared" si="49"/>
        <v>RESUTILE AQUA 4410 WB ALIPHATIC URETHANE - COLORSAFETY RED1.25 GAL</v>
      </c>
      <c r="AP294" s="3">
        <f t="shared" si="50"/>
        <v>132.41</v>
      </c>
      <c r="AQ294" s="1" t="str">
        <f t="shared" si="51"/>
        <v>1.25 GAL</v>
      </c>
      <c r="AS294" s="1" t="str">
        <f t="shared" si="52"/>
        <v>SAFETY RED</v>
      </c>
      <c r="AT294"/>
      <c r="AU294"/>
      <c r="AV294"/>
      <c r="AY294" t="str">
        <f t="shared" si="53"/>
        <v>AQUA 4410 SAED1.2</v>
      </c>
      <c r="AZ294" s="1" t="str">
        <f t="shared" si="54"/>
        <v xml:space="preserve">AQUA 4410 </v>
      </c>
      <c r="BA294" t="str">
        <f t="shared" si="55"/>
        <v>SAED</v>
      </c>
      <c r="BB294" s="1" t="str">
        <f t="shared" si="47"/>
        <v>1.2</v>
      </c>
      <c r="BC294" s="1">
        <f t="shared" si="57"/>
        <v>132.41</v>
      </c>
      <c r="BD294" s="62" t="s">
        <v>351</v>
      </c>
      <c r="BE294" s="55" t="s">
        <v>325</v>
      </c>
      <c r="BF294" s="55" t="s">
        <v>421</v>
      </c>
      <c r="BG294" s="55" t="s">
        <v>366</v>
      </c>
      <c r="BH294" s="39"/>
      <c r="BJ294"/>
      <c r="BK294"/>
      <c r="BM294"/>
    </row>
    <row r="295" spans="22:65" x14ac:dyDescent="0.35">
      <c r="V295" s="1" t="str">
        <v xml:space="preserve"> G-201 BINTIED5 G</v>
      </c>
      <c r="X295" s="1" t="str">
        <f t="shared" si="56"/>
        <v xml:space="preserve"> G-201 BINCLAR5 G</v>
      </c>
      <c r="Y295" s="1" t="str" cm="1">
        <f t="array" ref="Y295">IFERROR(VLOOKUP($X295,$AN:AO,COLUMN(AO:AO)-COLUMN($AN:$AN)+1,FALSE),"")</f>
        <v>CRYLAFLOR G-201 BINDERCLEAR5 GAL KIT</v>
      </c>
      <c r="Z295" s="63" cm="1">
        <f t="array" ref="Z295">IFERROR(VLOOKUP($X295,$AN:AP,COLUMN(AP:AP)-COLUMN($AN:$AN)+1,FALSE),"")</f>
        <v>341.92</v>
      </c>
      <c r="AA295" s="1" t="str" cm="1">
        <f t="array" ref="AA295">IFERROR(VLOOKUP($X295,$AN:AQ,COLUMN(AQ:AQ)-COLUMN($AN:$AN)+1,FALSE),"")</f>
        <v>5 GAL KIT</v>
      </c>
      <c r="AC295" s="1" t="str" cm="1">
        <f t="array" ref="AC295">IFERROR(VLOOKUP($X295,$AN:AS,COLUMN(AS:AS)-COLUMN($AN:$AN)+1,FALSE),"")</f>
        <v>CLEAR</v>
      </c>
      <c r="AD295" s="1" t="s">
        <v>19</v>
      </c>
      <c r="AF295" s="1">
        <f>Table1[[#This Row],[C:C]]*1.1</f>
        <v>0</v>
      </c>
      <c r="AI295" s="1">
        <f>IFERROR(VLOOKUP(X295,#REF!,8,FALSE),0)</f>
        <v>0</v>
      </c>
      <c r="AN295" s="1" t="str">
        <f>PROD_ID_TABLE[[#This Row],[PROD ID]]</f>
        <v>AQUA 4410 SAOW1.2</v>
      </c>
      <c r="AO295" s="1" t="str">
        <f t="shared" si="49"/>
        <v>RESUTILE AQUA 4410 WB ALIPHATIC URETHANE - COLORSAFETY YELLOW1.25 GAL</v>
      </c>
      <c r="AP295" s="3">
        <f t="shared" si="50"/>
        <v>132.41</v>
      </c>
      <c r="AQ295" s="1" t="str">
        <f t="shared" si="51"/>
        <v>1.25 GAL</v>
      </c>
      <c r="AS295" s="1" t="str">
        <f t="shared" si="52"/>
        <v>SAFETY YELLOW</v>
      </c>
      <c r="AT295"/>
      <c r="AU295"/>
      <c r="AV295"/>
      <c r="AY295" t="str">
        <f t="shared" si="53"/>
        <v>AQUA 4410 SAOW1.2</v>
      </c>
      <c r="AZ295" s="1" t="str">
        <f t="shared" si="54"/>
        <v xml:space="preserve">AQUA 4410 </v>
      </c>
      <c r="BA295" t="str">
        <f t="shared" si="55"/>
        <v>SAOW</v>
      </c>
      <c r="BB295" s="1" t="str">
        <f t="shared" si="47"/>
        <v>1.2</v>
      </c>
      <c r="BC295" s="1">
        <f t="shared" si="57"/>
        <v>132.41</v>
      </c>
      <c r="BD295" s="62" t="s">
        <v>351</v>
      </c>
      <c r="BE295" s="55" t="s">
        <v>326</v>
      </c>
      <c r="BF295" s="55" t="s">
        <v>421</v>
      </c>
      <c r="BG295" s="55" t="s">
        <v>366</v>
      </c>
      <c r="BH295" s="39"/>
      <c r="BJ295"/>
      <c r="BK295"/>
      <c r="BM295"/>
    </row>
    <row r="296" spans="22:65" ht="15" thickBot="1" x14ac:dyDescent="0.4">
      <c r="V296" s="1" t="str">
        <v xml:space="preserve"> T-301 TOPCLAR5 G</v>
      </c>
      <c r="X296" s="1" t="str">
        <f t="shared" si="56"/>
        <v xml:space="preserve"> G-201 BINBEGE5 G</v>
      </c>
      <c r="Y296" s="1" t="str" cm="1">
        <f t="array" ref="Y296">IFERROR(VLOOKUP($X296,$AN:AO,COLUMN(AO:AO)-COLUMN($AN:$AN)+1,FALSE),"")</f>
        <v>CRYLAFLOR G-201 BINDERBEIGE5 GAL KIT</v>
      </c>
      <c r="Z296" s="63" cm="1">
        <f t="array" ref="Z296">IFERROR(VLOOKUP($X296,$AN:AP,COLUMN(AP:AP)-COLUMN($AN:$AN)+1,FALSE),"")</f>
        <v>341.92</v>
      </c>
      <c r="AA296" s="1" t="str" cm="1">
        <f t="array" ref="AA296">IFERROR(VLOOKUP($X296,$AN:AQ,COLUMN(AQ:AQ)-COLUMN($AN:$AN)+1,FALSE),"")</f>
        <v>5 GAL KIT</v>
      </c>
      <c r="AC296" s="1" t="str" cm="1">
        <f t="array" ref="AC296">IFERROR(VLOOKUP($X296,$AN:AS,COLUMN(AS:AS)-COLUMN($AN:$AN)+1,FALSE),"")</f>
        <v>BEIGE</v>
      </c>
      <c r="AD296" s="1" t="s">
        <v>19</v>
      </c>
      <c r="AF296" s="1">
        <f>Table1[[#This Row],[C:C]]*1.1</f>
        <v>0</v>
      </c>
      <c r="AI296" s="1">
        <f>IFERROR(VLOOKUP(X296,#REF!,8,FALSE),0)</f>
        <v>0</v>
      </c>
      <c r="AN296" s="1" t="str">
        <f>PROD_ID_TABLE[[#This Row],[PROD ID]]</f>
        <v>AQUA 4410 SIAY1.2</v>
      </c>
      <c r="AO296" s="1" t="str">
        <f t="shared" si="49"/>
        <v>RESUTILE AQUA 4410 WB ALIPHATIC URETHANE - COLORSILVER GRAY1.25 GAL</v>
      </c>
      <c r="AP296" s="3">
        <f t="shared" si="50"/>
        <v>132.41</v>
      </c>
      <c r="AQ296" s="1" t="str">
        <f t="shared" si="51"/>
        <v>1.25 GAL</v>
      </c>
      <c r="AS296" s="1" t="str">
        <f t="shared" si="52"/>
        <v>SILVER GRAY</v>
      </c>
      <c r="AT296"/>
      <c r="AU296"/>
      <c r="AV296"/>
      <c r="AY296" t="str">
        <f t="shared" si="53"/>
        <v>AQUA 4410 SIAY1.2</v>
      </c>
      <c r="AZ296" s="1" t="str">
        <f t="shared" si="54"/>
        <v xml:space="preserve">AQUA 4410 </v>
      </c>
      <c r="BA296" t="str">
        <f t="shared" si="55"/>
        <v>SIAY</v>
      </c>
      <c r="BB296" s="1" t="str">
        <f t="shared" si="47"/>
        <v>1.2</v>
      </c>
      <c r="BC296" s="1">
        <f t="shared" si="57"/>
        <v>132.41</v>
      </c>
      <c r="BD296" s="62" t="s">
        <v>351</v>
      </c>
      <c r="BE296" s="55" t="s">
        <v>321</v>
      </c>
      <c r="BF296" s="55" t="s">
        <v>421</v>
      </c>
      <c r="BG296" s="55" t="s">
        <v>366</v>
      </c>
      <c r="BH296" s="40"/>
      <c r="BJ296"/>
      <c r="BK296"/>
      <c r="BM296"/>
    </row>
    <row r="297" spans="22:65" x14ac:dyDescent="0.35">
      <c r="V297" s="1" t="str">
        <v xml:space="preserve"> T-301 TOPBEGE5 G</v>
      </c>
      <c r="X297" s="1" t="str">
        <f t="shared" si="56"/>
        <v xml:space="preserve"> G-201 BINBROW5 G</v>
      </c>
      <c r="Y297" s="1" t="str" cm="1">
        <f t="array" ref="Y297">IFERROR(VLOOKUP($X297,$AN:AO,COLUMN(AO:AO)-COLUMN($AN:$AN)+1,FALSE),"")</f>
        <v>CRYLAFLOR G-201 BINDERBRIGHT YELLOW5 GAL KIT</v>
      </c>
      <c r="Z297" s="63" cm="1">
        <f t="array" ref="Z297">IFERROR(VLOOKUP($X297,$AN:AP,COLUMN(AP:AP)-COLUMN($AN:$AN)+1,FALSE),"")</f>
        <v>341.92</v>
      </c>
      <c r="AA297" s="1" t="str" cm="1">
        <f t="array" ref="AA297">IFERROR(VLOOKUP($X297,$AN:AQ,COLUMN(AQ:AQ)-COLUMN($AN:$AN)+1,FALSE),"")</f>
        <v>5 GAL KIT</v>
      </c>
      <c r="AC297" s="1" t="str" cm="1">
        <f t="array" ref="AC297">IFERROR(VLOOKUP($X297,$AN:AS,COLUMN(AS:AS)-COLUMN($AN:$AN)+1,FALSE),"")</f>
        <v>BRIGHT YELLOW</v>
      </c>
      <c r="AD297" s="1" t="s">
        <v>19</v>
      </c>
      <c r="AF297" s="1">
        <f>Table1[[#This Row],[C:C]]*1.1</f>
        <v>0</v>
      </c>
      <c r="AI297" s="1">
        <f>IFERROR(VLOOKUP(X297,#REF!,8,FALSE),0)</f>
        <v>0</v>
      </c>
      <c r="AN297" s="1" t="str">
        <f>PROD_ID_TABLE[[#This Row],[PROD ID]]</f>
        <v>AQUA 4410 STAY1.2</v>
      </c>
      <c r="AO297" s="1" t="str">
        <f t="shared" si="49"/>
        <v>RESUTILE AQUA 4410 WB ALIPHATIC URETHANE - COLORSTEEL GRAY1.25 GAL</v>
      </c>
      <c r="AP297" s="3">
        <f t="shared" si="50"/>
        <v>132.41</v>
      </c>
      <c r="AQ297" s="1" t="str">
        <f t="shared" si="51"/>
        <v>1.25 GAL</v>
      </c>
      <c r="AS297" s="1" t="str">
        <f t="shared" si="52"/>
        <v>STEEL GRAY</v>
      </c>
      <c r="AT297"/>
      <c r="AU297"/>
      <c r="AV297"/>
      <c r="AY297" t="str">
        <f t="shared" si="53"/>
        <v>AQUA 4410 STAY1.2</v>
      </c>
      <c r="AZ297" s="1" t="str">
        <f t="shared" si="54"/>
        <v xml:space="preserve">AQUA 4410 </v>
      </c>
      <c r="BA297" t="str">
        <f t="shared" si="55"/>
        <v>STAY</v>
      </c>
      <c r="BB297" s="1" t="str">
        <f t="shared" si="47"/>
        <v>1.2</v>
      </c>
      <c r="BC297" s="1">
        <f t="shared" si="57"/>
        <v>132.41</v>
      </c>
      <c r="BD297" s="62" t="s">
        <v>351</v>
      </c>
      <c r="BE297" s="55" t="s">
        <v>319</v>
      </c>
      <c r="BF297" s="55" t="s">
        <v>421</v>
      </c>
      <c r="BG297" s="55" t="s">
        <v>366</v>
      </c>
      <c r="BH297" s="51" t="s">
        <v>421</v>
      </c>
      <c r="BJ297"/>
      <c r="BK297"/>
      <c r="BM297"/>
    </row>
    <row r="298" spans="22:65" x14ac:dyDescent="0.35">
      <c r="V298" s="1" t="str">
        <v xml:space="preserve"> T-301 TOPBROW5 G</v>
      </c>
      <c r="X298" s="1" t="str">
        <f t="shared" si="56"/>
        <v xml:space="preserve"> G-201 BINCOAY5 G</v>
      </c>
      <c r="Y298" s="1" t="str" cm="1">
        <f t="array" ref="Y298">IFERROR(VLOOKUP($X298,$AN:AO,COLUMN(AO:AO)-COLUMN($AN:$AN)+1,FALSE),"")</f>
        <v>CRYLAFLOR G-201 BINDERCONCRETE GRAY5 GAL KIT</v>
      </c>
      <c r="Z298" s="63" cm="1">
        <f t="array" ref="Z298">IFERROR(VLOOKUP($X298,$AN:AP,COLUMN(AP:AP)-COLUMN($AN:$AN)+1,FALSE),"")</f>
        <v>341.92</v>
      </c>
      <c r="AA298" s="1" t="str" cm="1">
        <f t="array" ref="AA298">IFERROR(VLOOKUP($X298,$AN:AQ,COLUMN(AQ:AQ)-COLUMN($AN:$AN)+1,FALSE),"")</f>
        <v>5 GAL KIT</v>
      </c>
      <c r="AC298" s="1" t="str" cm="1">
        <f t="array" ref="AC298">IFERROR(VLOOKUP($X298,$AN:AS,COLUMN(AS:AS)-COLUMN($AN:$AN)+1,FALSE),"")</f>
        <v>CONCRETE GRAY</v>
      </c>
      <c r="AD298" s="1" t="s">
        <v>19</v>
      </c>
      <c r="AF298" s="1">
        <f>Table1[[#This Row],[C:C]]*1.1</f>
        <v>0</v>
      </c>
      <c r="AI298" s="1">
        <f>IFERROR(VLOOKUP(X298,#REF!,8,FALSE),0)</f>
        <v>0</v>
      </c>
      <c r="AN298" s="1" t="str">
        <f>PROD_ID_TABLE[[#This Row],[PROD ID]]</f>
        <v>AQUA 4410 ULSE1.2</v>
      </c>
      <c r="AO298" s="1" t="str">
        <f t="shared" si="49"/>
        <v>RESUTILE AQUA 4410 WB ALIPHATIC URETHANE - COLORULTRA DEEP BASE1.25 GAL</v>
      </c>
      <c r="AP298" s="3">
        <f t="shared" si="50"/>
        <v>132.41</v>
      </c>
      <c r="AQ298" s="1" t="str">
        <f t="shared" si="51"/>
        <v>1.25 GAL</v>
      </c>
      <c r="AS298" s="1" t="str">
        <f t="shared" si="52"/>
        <v>ULTRA DEEP BASE</v>
      </c>
      <c r="AT298"/>
      <c r="AU298"/>
      <c r="AV298"/>
      <c r="AY298" t="str">
        <f t="shared" si="53"/>
        <v>AQUA 4410 ULSE1.2</v>
      </c>
      <c r="AZ298" s="1" t="str">
        <f t="shared" si="54"/>
        <v xml:space="preserve">AQUA 4410 </v>
      </c>
      <c r="BA298" t="str">
        <f t="shared" si="55"/>
        <v>ULSE</v>
      </c>
      <c r="BB298" s="1" t="str">
        <f t="shared" si="47"/>
        <v>1.2</v>
      </c>
      <c r="BC298" s="1">
        <f t="shared" si="57"/>
        <v>132.41</v>
      </c>
      <c r="BD298" s="62" t="s">
        <v>351</v>
      </c>
      <c r="BE298" s="55" t="s">
        <v>330</v>
      </c>
      <c r="BF298" s="55" t="s">
        <v>421</v>
      </c>
      <c r="BG298" s="55" t="s">
        <v>366</v>
      </c>
      <c r="BH298" s="39" t="s">
        <v>407</v>
      </c>
      <c r="BJ298"/>
      <c r="BK298"/>
      <c r="BM298"/>
    </row>
    <row r="299" spans="22:65" x14ac:dyDescent="0.35">
      <c r="V299" s="1" t="str">
        <v xml:space="preserve"> T-301 TOPCOAY5 G</v>
      </c>
      <c r="X299" s="1" t="str">
        <f t="shared" si="56"/>
        <v xml:space="preserve"> G-201 BINCHAY5 G</v>
      </c>
      <c r="Y299" s="1" t="str" cm="1">
        <f t="array" ref="Y299">IFERROR(VLOOKUP($X299,$AN:AO,COLUMN(AO:AO)-COLUMN($AN:$AN)+1,FALSE),"")</f>
        <v>CRYLAFLOR G-201 BINDERCHARCOAL GRAY5 GAL KIT</v>
      </c>
      <c r="Z299" s="63" cm="1">
        <f t="array" ref="Z299">IFERROR(VLOOKUP($X299,$AN:AP,COLUMN(AP:AP)-COLUMN($AN:$AN)+1,FALSE),"")</f>
        <v>341.92</v>
      </c>
      <c r="AA299" s="1" t="str" cm="1">
        <f t="array" ref="AA299">IFERROR(VLOOKUP($X299,$AN:AQ,COLUMN(AQ:AQ)-COLUMN($AN:$AN)+1,FALSE),"")</f>
        <v>5 GAL KIT</v>
      </c>
      <c r="AC299" s="1" t="str" cm="1">
        <f t="array" ref="AC299">IFERROR(VLOOKUP($X299,$AN:AS,COLUMN(AS:AS)-COLUMN($AN:$AN)+1,FALSE),"")</f>
        <v>CHARCOAL GRAY</v>
      </c>
      <c r="AD299" s="1" t="s">
        <v>19</v>
      </c>
      <c r="AF299" s="1">
        <f>Table1[[#This Row],[C:C]]*1.1</f>
        <v>0</v>
      </c>
      <c r="AI299" s="1">
        <f>IFERROR(VLOOKUP(X299,#REF!,8,FALSE),0)</f>
        <v>0</v>
      </c>
      <c r="AN299" s="1" t="str">
        <f>PROD_ID_TABLE[[#This Row],[PROD ID]]</f>
        <v>AQUA 4410 WHSE1.2</v>
      </c>
      <c r="AO299" s="1" t="str">
        <f t="shared" si="49"/>
        <v>RESUTILE AQUA 4410 WB ALIPHATIC URETHANE - COLORWHITE TINT BASE1.25 GAL</v>
      </c>
      <c r="AP299" s="3">
        <f t="shared" si="50"/>
        <v>132.41</v>
      </c>
      <c r="AQ299" s="1" t="str">
        <f t="shared" si="51"/>
        <v>1.25 GAL</v>
      </c>
      <c r="AS299" s="1" t="str">
        <f t="shared" si="52"/>
        <v>WHITE TINT BASE</v>
      </c>
      <c r="AT299"/>
      <c r="AU299"/>
      <c r="AV299"/>
      <c r="AY299" t="str">
        <f t="shared" si="53"/>
        <v>AQUA 4410 WHSE1.2</v>
      </c>
      <c r="AZ299" s="1" t="str">
        <f t="shared" si="54"/>
        <v xml:space="preserve">AQUA 4410 </v>
      </c>
      <c r="BA299" t="str">
        <f t="shared" si="55"/>
        <v>WHSE</v>
      </c>
      <c r="BB299" s="1" t="str">
        <f t="shared" si="47"/>
        <v>1.2</v>
      </c>
      <c r="BC299" s="1">
        <f t="shared" si="57"/>
        <v>132.41</v>
      </c>
      <c r="BD299" s="62" t="s">
        <v>351</v>
      </c>
      <c r="BE299" s="55" t="s">
        <v>331</v>
      </c>
      <c r="BF299" s="55" t="s">
        <v>421</v>
      </c>
      <c r="BG299" s="55" t="s">
        <v>366</v>
      </c>
      <c r="BH299" s="39" t="s">
        <v>412</v>
      </c>
      <c r="BJ299"/>
      <c r="BK299"/>
      <c r="BM299"/>
    </row>
    <row r="300" spans="22:65" x14ac:dyDescent="0.35">
      <c r="V300" s="1" t="str">
        <v xml:space="preserve"> T-301 TOPCHAY5 G</v>
      </c>
      <c r="X300" s="1" t="str">
        <f t="shared" si="56"/>
        <v xml:space="preserve"> G-201 BINLIAY5 G</v>
      </c>
      <c r="Y300" s="1" t="str" cm="1">
        <f t="array" ref="Y300">IFERROR(VLOOKUP($X300,$AN:AO,COLUMN(AO:AO)-COLUMN($AN:$AN)+1,FALSE),"")</f>
        <v>CRYLAFLOR G-201 BINDERLIGHT GRAY5 GAL KIT</v>
      </c>
      <c r="Z300" s="63" cm="1">
        <f t="array" ref="Z300">IFERROR(VLOOKUP($X300,$AN:AP,COLUMN(AP:AP)-COLUMN($AN:$AN)+1,FALSE),"")</f>
        <v>341.92</v>
      </c>
      <c r="AA300" s="1" t="str" cm="1">
        <f t="array" ref="AA300">IFERROR(VLOOKUP($X300,$AN:AQ,COLUMN(AQ:AQ)-COLUMN($AN:$AN)+1,FALSE),"")</f>
        <v>5 GAL KIT</v>
      </c>
      <c r="AC300" s="1" t="str" cm="1">
        <f t="array" ref="AC300">IFERROR(VLOOKUP($X300,$AN:AS,COLUMN(AS:AS)-COLUMN($AN:$AN)+1,FALSE),"")</f>
        <v>LIGHT GRAY</v>
      </c>
      <c r="AD300" s="1" t="s">
        <v>19</v>
      </c>
      <c r="AF300" s="1">
        <f>Table1[[#This Row],[C:C]]*1.1</f>
        <v>0</v>
      </c>
      <c r="AI300" s="1">
        <f>IFERROR(VLOOKUP(X300,#REF!,8,FALSE),0)</f>
        <v>0</v>
      </c>
      <c r="AN300" s="1" t="str">
        <f>PROD_ID_TABLE[[#This Row],[PROD ID]]</f>
        <v>AQUA 4410 CUOM5 G</v>
      </c>
      <c r="AO300" s="1" t="str">
        <f t="shared" si="49"/>
        <v>RESUTILE AQUA 4410 WB ALIPHATIC URETHANE - COLORCUSTOM5 GAL</v>
      </c>
      <c r="AP300" s="3">
        <f t="shared" si="50"/>
        <v>497.28</v>
      </c>
      <c r="AQ300" s="1" t="str">
        <f t="shared" si="51"/>
        <v>5 GAL</v>
      </c>
      <c r="AS300" s="1" t="str">
        <f t="shared" si="52"/>
        <v>CUSTOM</v>
      </c>
      <c r="AT300"/>
      <c r="AU300"/>
      <c r="AV300"/>
      <c r="AY300" t="str">
        <f t="shared" si="53"/>
        <v>AQUA 4410 CUOM5 G</v>
      </c>
      <c r="AZ300" s="1" t="str">
        <f t="shared" si="54"/>
        <v xml:space="preserve">AQUA 4410 </v>
      </c>
      <c r="BA300" t="str">
        <f t="shared" si="55"/>
        <v>CUOM</v>
      </c>
      <c r="BB300" s="1" t="str">
        <f t="shared" si="47"/>
        <v>5 G</v>
      </c>
      <c r="BC300" s="1">
        <f t="shared" si="57"/>
        <v>497.28</v>
      </c>
      <c r="BD300" s="62" t="s">
        <v>351</v>
      </c>
      <c r="BE300" s="55" t="s">
        <v>316</v>
      </c>
      <c r="BF300" s="55" t="s">
        <v>412</v>
      </c>
      <c r="BG300" s="55" t="s">
        <v>366</v>
      </c>
      <c r="BH300" s="39" t="s">
        <v>408</v>
      </c>
      <c r="BJ300"/>
      <c r="BK300"/>
      <c r="BM300"/>
    </row>
    <row r="301" spans="22:65" x14ac:dyDescent="0.35">
      <c r="V301" s="1" t="str">
        <v xml:space="preserve"> T-301 TOPLIAY5 G</v>
      </c>
      <c r="X301" s="1" t="str">
        <f t="shared" si="56"/>
        <v xml:space="preserve"> G-201 BINMEAY5 G</v>
      </c>
      <c r="Y301" s="1" t="str" cm="1">
        <f t="array" ref="Y301">IFERROR(VLOOKUP($X301,$AN:AO,COLUMN(AO:AO)-COLUMN($AN:$AN)+1,FALSE),"")</f>
        <v>CRYLAFLOR G-201 BINDERMED. GRAY5 GAL KIT</v>
      </c>
      <c r="Z301" s="63" cm="1">
        <f t="array" ref="Z301">IFERROR(VLOOKUP($X301,$AN:AP,COLUMN(AP:AP)-COLUMN($AN:$AN)+1,FALSE),"")</f>
        <v>341.92</v>
      </c>
      <c r="AA301" s="1" t="str" cm="1">
        <f t="array" ref="AA301">IFERROR(VLOOKUP($X301,$AN:AQ,COLUMN(AQ:AQ)-COLUMN($AN:$AN)+1,FALSE),"")</f>
        <v>5 GAL KIT</v>
      </c>
      <c r="AC301" s="1" t="str" cm="1">
        <f t="array" ref="AC301">IFERROR(VLOOKUP($X301,$AN:AS,COLUMN(AS:AS)-COLUMN($AN:$AN)+1,FALSE),"")</f>
        <v>MED. GRAY</v>
      </c>
      <c r="AD301" s="1" t="s">
        <v>19</v>
      </c>
      <c r="AF301" s="1">
        <f>Table1[[#This Row],[C:C]]*1.1</f>
        <v>0</v>
      </c>
      <c r="AI301" s="1">
        <f>IFERROR(VLOOKUP(X301,#REF!,8,FALSE),0)</f>
        <v>0</v>
      </c>
      <c r="AN301" s="1" t="str">
        <f>PROD_ID_TABLE[[#This Row],[PROD ID]]</f>
        <v>AQUA 4410 WHTE5 G</v>
      </c>
      <c r="AO301" s="1" t="str">
        <f t="shared" si="49"/>
        <v>RESUTILE AQUA 4410 WB ALIPHATIC URETHANE - COLORWHITE5 GAL</v>
      </c>
      <c r="AP301" s="3">
        <f t="shared" si="50"/>
        <v>497.28</v>
      </c>
      <c r="AQ301" s="1" t="str">
        <f t="shared" si="51"/>
        <v>5 GAL</v>
      </c>
      <c r="AS301" s="1" t="str">
        <f t="shared" si="52"/>
        <v>WHITE</v>
      </c>
      <c r="AT301"/>
      <c r="AU301"/>
      <c r="AV301"/>
      <c r="AY301" t="str">
        <f t="shared" si="53"/>
        <v>AQUA 4410 WHTE5 G</v>
      </c>
      <c r="AZ301" s="1" t="str">
        <f t="shared" si="54"/>
        <v xml:space="preserve">AQUA 4410 </v>
      </c>
      <c r="BA301" t="str">
        <f t="shared" si="55"/>
        <v>WHTE</v>
      </c>
      <c r="BB301" s="1" t="str">
        <f t="shared" si="47"/>
        <v>5 G</v>
      </c>
      <c r="BC301" s="1">
        <f t="shared" si="57"/>
        <v>497.28</v>
      </c>
      <c r="BD301" s="62" t="s">
        <v>351</v>
      </c>
      <c r="BE301" s="55" t="s">
        <v>322</v>
      </c>
      <c r="BF301" s="55" t="s">
        <v>412</v>
      </c>
      <c r="BG301" s="55" t="s">
        <v>366</v>
      </c>
      <c r="BH301" s="39" t="s">
        <v>423</v>
      </c>
      <c r="BJ301"/>
      <c r="BK301"/>
      <c r="BM301"/>
    </row>
    <row r="302" spans="22:65" x14ac:dyDescent="0.35">
      <c r="V302" s="1" t="str">
        <v xml:space="preserve"> T-301 TOPMEAY5 G</v>
      </c>
      <c r="X302" s="1" t="str">
        <f t="shared" si="56"/>
        <v xml:space="preserve"> G-201 BINSLAY5 G</v>
      </c>
      <c r="Y302" s="1" t="str" cm="1">
        <f t="array" ref="Y302">IFERROR(VLOOKUP($X302,$AN:AO,COLUMN(AO:AO)-COLUMN($AN:$AN)+1,FALSE),"")</f>
        <v>CRYLAFLOR G-201 BINDERSLATE GRAY5 GAL KIT</v>
      </c>
      <c r="Z302" s="63" cm="1">
        <f t="array" ref="Z302">IFERROR(VLOOKUP($X302,$AN:AP,COLUMN(AP:AP)-COLUMN($AN:$AN)+1,FALSE),"")</f>
        <v>341.92</v>
      </c>
      <c r="AA302" s="1" t="str" cm="1">
        <f t="array" ref="AA302">IFERROR(VLOOKUP($X302,$AN:AQ,COLUMN(AQ:AQ)-COLUMN($AN:$AN)+1,FALSE),"")</f>
        <v>5 GAL KIT</v>
      </c>
      <c r="AC302" s="1" t="str" cm="1">
        <f t="array" ref="AC302">IFERROR(VLOOKUP($X302,$AN:AS,COLUMN(AS:AS)-COLUMN($AN:$AN)+1,FALSE),"")</f>
        <v>SLATE GRAY</v>
      </c>
      <c r="AD302" s="1" t="s">
        <v>19</v>
      </c>
      <c r="AF302" s="1">
        <f>Table1[[#This Row],[C:C]]*1.1</f>
        <v>0</v>
      </c>
      <c r="AI302" s="1">
        <f>IFERROR(VLOOKUP(X302,#REF!,8,FALSE),0)</f>
        <v>0</v>
      </c>
      <c r="AN302" s="1" t="str">
        <f>PROD_ID_TABLE[[#This Row],[PROD ID]]</f>
        <v>AQUA 4410 BLCK5 G</v>
      </c>
      <c r="AO302" s="1" t="str">
        <f t="shared" si="49"/>
        <v>RESUTILE AQUA 4410 WB ALIPHATIC URETHANE - COLORBLACK5 GAL</v>
      </c>
      <c r="AP302" s="3">
        <f t="shared" si="50"/>
        <v>497.28</v>
      </c>
      <c r="AQ302" s="1" t="str">
        <f t="shared" si="51"/>
        <v>5 GAL</v>
      </c>
      <c r="AS302" s="1" t="str">
        <f t="shared" si="52"/>
        <v>BLACK</v>
      </c>
      <c r="AT302"/>
      <c r="AU302"/>
      <c r="AV302"/>
      <c r="AY302" t="str">
        <f t="shared" si="53"/>
        <v>AQUA 4410 BLCK5 G</v>
      </c>
      <c r="AZ302" s="1" t="str">
        <f t="shared" si="54"/>
        <v xml:space="preserve">AQUA 4410 </v>
      </c>
      <c r="BA302" t="str">
        <f t="shared" si="55"/>
        <v>BLCK</v>
      </c>
      <c r="BB302" s="1" t="str">
        <f t="shared" si="47"/>
        <v>5 G</v>
      </c>
      <c r="BC302" s="1">
        <f t="shared" si="57"/>
        <v>497.28</v>
      </c>
      <c r="BD302" s="62" t="s">
        <v>351</v>
      </c>
      <c r="BE302" s="55" t="s">
        <v>323</v>
      </c>
      <c r="BF302" s="55" t="s">
        <v>412</v>
      </c>
      <c r="BG302" s="55" t="s">
        <v>366</v>
      </c>
      <c r="BH302" s="39" t="s">
        <v>424</v>
      </c>
      <c r="BJ302"/>
      <c r="BK302"/>
      <c r="BM302"/>
    </row>
    <row r="303" spans="22:65" x14ac:dyDescent="0.35">
      <c r="V303" s="1" t="str">
        <v xml:space="preserve"> T-301 TOPSLAY5 G</v>
      </c>
      <c r="X303" s="1" t="str">
        <f t="shared" si="56"/>
        <v xml:space="preserve"> G-201 BINBLCK5 G</v>
      </c>
      <c r="Y303" s="1" t="str" cm="1">
        <f t="array" ref="Y303">IFERROR(VLOOKUP($X303,$AN:AO,COLUMN(AO:AO)-COLUMN($AN:$AN)+1,FALSE),"")</f>
        <v>CRYLAFLOR G-201 BINDERBLACK5 GAL KIT</v>
      </c>
      <c r="Z303" s="63" cm="1">
        <f t="array" ref="Z303">IFERROR(VLOOKUP($X303,$AN:AP,COLUMN(AP:AP)-COLUMN($AN:$AN)+1,FALSE),"")</f>
        <v>341.92</v>
      </c>
      <c r="AA303" s="1" t="str" cm="1">
        <f t="array" ref="AA303">IFERROR(VLOOKUP($X303,$AN:AQ,COLUMN(AQ:AQ)-COLUMN($AN:$AN)+1,FALSE),"")</f>
        <v>5 GAL KIT</v>
      </c>
      <c r="AC303" s="1" t="str" cm="1">
        <f t="array" ref="AC303">IFERROR(VLOOKUP($X303,$AN:AS,COLUMN(AS:AS)-COLUMN($AN:$AN)+1,FALSE),"")</f>
        <v>BLACK</v>
      </c>
      <c r="AD303" s="1" t="s">
        <v>19</v>
      </c>
      <c r="AF303" s="1">
        <f>Table1[[#This Row],[C:C]]*1.1</f>
        <v>0</v>
      </c>
      <c r="AI303" s="1">
        <f>IFERROR(VLOOKUP(X303,#REF!,8,FALSE),0)</f>
        <v>0</v>
      </c>
      <c r="AN303" s="1" t="str">
        <f>PROD_ID_TABLE[[#This Row],[PROD ID]]</f>
        <v>AQUA 4410 BOTE5 G</v>
      </c>
      <c r="AO303" s="1" t="str">
        <f t="shared" si="49"/>
        <v>RESUTILE AQUA 4410 WB ALIPHATIC URETHANE - COLORBONE WHITE5 GAL</v>
      </c>
      <c r="AP303" s="3">
        <f t="shared" si="50"/>
        <v>497.28</v>
      </c>
      <c r="AQ303" s="1" t="str">
        <f t="shared" si="51"/>
        <v>5 GAL</v>
      </c>
      <c r="AS303" s="1" t="str">
        <f t="shared" si="52"/>
        <v>BONE WHITE</v>
      </c>
      <c r="AT303"/>
      <c r="AU303"/>
      <c r="AV303"/>
      <c r="AY303" t="str">
        <f t="shared" si="53"/>
        <v>AQUA 4410 BOTE5 G</v>
      </c>
      <c r="AZ303" s="1" t="str">
        <f t="shared" si="54"/>
        <v xml:space="preserve">AQUA 4410 </v>
      </c>
      <c r="BA303" t="str">
        <f t="shared" si="55"/>
        <v>BOTE</v>
      </c>
      <c r="BB303" s="1" t="str">
        <f t="shared" si="47"/>
        <v>5 G</v>
      </c>
      <c r="BC303" s="1">
        <f t="shared" si="57"/>
        <v>497.28</v>
      </c>
      <c r="BD303" s="62" t="s">
        <v>351</v>
      </c>
      <c r="BE303" s="55" t="s">
        <v>320</v>
      </c>
      <c r="BF303" s="55" t="s">
        <v>412</v>
      </c>
      <c r="BG303" s="55" t="s">
        <v>366</v>
      </c>
      <c r="BH303" s="39" t="s">
        <v>426</v>
      </c>
      <c r="BJ303"/>
      <c r="BK303"/>
      <c r="BM303"/>
    </row>
    <row r="304" spans="22:65" x14ac:dyDescent="0.35">
      <c r="V304" s="1" t="str">
        <v xml:space="preserve"> T-301 TOPBLCK5 G</v>
      </c>
      <c r="X304" s="1" t="str">
        <f t="shared" si="56"/>
        <v xml:space="preserve"> G-201 BINGREN5 G</v>
      </c>
      <c r="Y304" s="1" t="str" cm="1">
        <f t="array" ref="Y304">IFERROR(VLOOKUP($X304,$AN:AO,COLUMN(AO:AO)-COLUMN($AN:$AN)+1,FALSE),"")</f>
        <v>CRYLAFLOR G-201 BINDERGREEN5 GAL KIT</v>
      </c>
      <c r="Z304" s="63" cm="1">
        <f t="array" ref="Z304">IFERROR(VLOOKUP($X304,$AN:AP,COLUMN(AP:AP)-COLUMN($AN:$AN)+1,FALSE),"")</f>
        <v>341.92</v>
      </c>
      <c r="AA304" s="1" t="str" cm="1">
        <f t="array" ref="AA304">IFERROR(VLOOKUP($X304,$AN:AQ,COLUMN(AQ:AQ)-COLUMN($AN:$AN)+1,FALSE),"")</f>
        <v>5 GAL KIT</v>
      </c>
      <c r="AC304" s="1" t="str" cm="1">
        <f t="array" ref="AC304">IFERROR(VLOOKUP($X304,$AN:AS,COLUMN(AS:AS)-COLUMN($AN:$AN)+1,FALSE),"")</f>
        <v>GREEN</v>
      </c>
      <c r="AD304" s="1" t="s">
        <v>19</v>
      </c>
      <c r="AF304" s="1">
        <f>Table1[[#This Row],[C:C]]*1.1</f>
        <v>0</v>
      </c>
      <c r="AI304" s="1">
        <f>IFERROR(VLOOKUP(X304,#REF!,8,FALSE),0)</f>
        <v>0</v>
      </c>
      <c r="AN304" s="1" t="str">
        <f>PROD_ID_TABLE[[#This Row],[PROD ID]]</f>
        <v>AQUA 4410 CAAY5 G</v>
      </c>
      <c r="AO304" s="1" t="str">
        <f t="shared" si="49"/>
        <v>RESUTILE AQUA 4410 WB ALIPHATIC URETHANE - COLORCANADA GRAY5 GAL</v>
      </c>
      <c r="AP304" s="3">
        <f t="shared" si="50"/>
        <v>497.28</v>
      </c>
      <c r="AQ304" s="1" t="str">
        <f t="shared" si="51"/>
        <v>5 GAL</v>
      </c>
      <c r="AS304" s="1" t="str">
        <f t="shared" si="52"/>
        <v>CANADA GRAY</v>
      </c>
      <c r="AT304"/>
      <c r="AU304"/>
      <c r="AV304"/>
      <c r="AY304" t="str">
        <f t="shared" si="53"/>
        <v>AQUA 4410 CAAY5 G</v>
      </c>
      <c r="AZ304" s="1" t="str">
        <f t="shared" si="54"/>
        <v xml:space="preserve">AQUA 4410 </v>
      </c>
      <c r="BA304" t="str">
        <f t="shared" si="55"/>
        <v>CAAY</v>
      </c>
      <c r="BB304" s="1" t="str">
        <f t="shared" ref="BB304:BB367" si="58">LEFT(BF304,3)</f>
        <v>5 G</v>
      </c>
      <c r="BC304" s="1">
        <f t="shared" si="57"/>
        <v>497.28</v>
      </c>
      <c r="BD304" s="62" t="s">
        <v>351</v>
      </c>
      <c r="BE304" s="55" t="s">
        <v>332</v>
      </c>
      <c r="BF304" s="55" t="s">
        <v>412</v>
      </c>
      <c r="BG304" s="55" t="s">
        <v>366</v>
      </c>
      <c r="BH304" s="39" t="s">
        <v>425</v>
      </c>
      <c r="BJ304"/>
      <c r="BK304"/>
      <c r="BM304"/>
    </row>
    <row r="305" spans="22:65" ht="15" thickBot="1" x14ac:dyDescent="0.4">
      <c r="V305" s="1" t="str">
        <v xml:space="preserve"> T-301 TOPGREN5 G</v>
      </c>
      <c r="X305" s="1" t="str">
        <f t="shared" si="56"/>
        <v xml:space="preserve"> G-201 BINWHTE5 G</v>
      </c>
      <c r="Y305" s="1" t="str" cm="1">
        <f t="array" ref="Y305">IFERROR(VLOOKUP($X305,$AN:AO,COLUMN(AO:AO)-COLUMN($AN:$AN)+1,FALSE),"")</f>
        <v>CRYLAFLOR G-201 BINDERWHITE5 GAL KIT</v>
      </c>
      <c r="Z305" s="63" cm="1">
        <f t="array" ref="Z305">IFERROR(VLOOKUP($X305,$AN:AP,COLUMN(AP:AP)-COLUMN($AN:$AN)+1,FALSE),"")</f>
        <v>341.92</v>
      </c>
      <c r="AA305" s="1" t="str" cm="1">
        <f t="array" ref="AA305">IFERROR(VLOOKUP($X305,$AN:AQ,COLUMN(AQ:AQ)-COLUMN($AN:$AN)+1,FALSE),"")</f>
        <v>5 GAL KIT</v>
      </c>
      <c r="AC305" s="1" t="str" cm="1">
        <f t="array" ref="AC305">IFERROR(VLOOKUP($X305,$AN:AS,COLUMN(AS:AS)-COLUMN($AN:$AN)+1,FALSE),"")</f>
        <v>WHITE</v>
      </c>
      <c r="AD305" s="1" t="s">
        <v>19</v>
      </c>
      <c r="AF305" s="1">
        <f>Table1[[#This Row],[C:C]]*1.1</f>
        <v>0</v>
      </c>
      <c r="AI305" s="1">
        <f>IFERROR(VLOOKUP(X305,#REF!,8,FALSE),0)</f>
        <v>0</v>
      </c>
      <c r="AN305" s="1" t="str">
        <f>PROD_ID_TABLE[[#This Row],[PROD ID]]</f>
        <v>AQUA 4410 CAEL5 G</v>
      </c>
      <c r="AO305" s="1" t="str">
        <f t="shared" si="49"/>
        <v>RESUTILE AQUA 4410 WB ALIPHATIC URETHANE - COLORCARAMEL5 GAL</v>
      </c>
      <c r="AP305" s="3">
        <f t="shared" si="50"/>
        <v>497.28</v>
      </c>
      <c r="AQ305" s="1" t="str">
        <f t="shared" si="51"/>
        <v>5 GAL</v>
      </c>
      <c r="AS305" s="1" t="str">
        <f t="shared" si="52"/>
        <v>CARAMEL</v>
      </c>
      <c r="AT305"/>
      <c r="AU305"/>
      <c r="AV305"/>
      <c r="AY305" t="str">
        <f t="shared" si="53"/>
        <v>AQUA 4410 CAEL5 G</v>
      </c>
      <c r="AZ305" s="1" t="str">
        <f t="shared" si="54"/>
        <v xml:space="preserve">AQUA 4410 </v>
      </c>
      <c r="BA305" t="str">
        <f t="shared" si="55"/>
        <v>CAEL</v>
      </c>
      <c r="BB305" s="1" t="str">
        <f t="shared" si="58"/>
        <v>5 G</v>
      </c>
      <c r="BC305" s="1">
        <f t="shared" si="57"/>
        <v>497.28</v>
      </c>
      <c r="BD305" s="62" t="s">
        <v>351</v>
      </c>
      <c r="BE305" s="55" t="s">
        <v>329</v>
      </c>
      <c r="BF305" s="55" t="s">
        <v>412</v>
      </c>
      <c r="BG305" s="55" t="s">
        <v>366</v>
      </c>
      <c r="BH305" s="40" t="s">
        <v>427</v>
      </c>
      <c r="BJ305"/>
      <c r="BK305"/>
      <c r="BM305"/>
    </row>
    <row r="306" spans="22:65" x14ac:dyDescent="0.35">
      <c r="V306" s="1" t="str">
        <v xml:space="preserve"> T-301 TOPWHTE5 G</v>
      </c>
      <c r="X306" s="1" t="str">
        <f t="shared" si="56"/>
        <v xml:space="preserve"> G-201 BINSPAL5 G</v>
      </c>
      <c r="Y306" s="1" t="str" cm="1">
        <f t="array" ref="Y306">IFERROR(VLOOKUP($X306,$AN:AO,COLUMN(AO:AO)-COLUMN($AN:$AN)+1,FALSE),"")</f>
        <v>CRYLAFLOR G-201 BINDERSPECIAL5 GAL KIT</v>
      </c>
      <c r="Z306" s="63" cm="1">
        <f t="array" ref="Z306">IFERROR(VLOOKUP($X306,$AN:AP,COLUMN(AP:AP)-COLUMN($AN:$AN)+1,FALSE),"")</f>
        <v>341.92</v>
      </c>
      <c r="AA306" s="1" t="str" cm="1">
        <f t="array" ref="AA306">IFERROR(VLOOKUP($X306,$AN:AQ,COLUMN(AQ:AQ)-COLUMN($AN:$AN)+1,FALSE),"")</f>
        <v>5 GAL KIT</v>
      </c>
      <c r="AC306" s="1" t="str" cm="1">
        <f t="array" ref="AC306">IFERROR(VLOOKUP($X306,$AN:AS,COLUMN(AS:AS)-COLUMN($AN:$AN)+1,FALSE),"")</f>
        <v>SPECIAL</v>
      </c>
      <c r="AD306" s="1" t="s">
        <v>19</v>
      </c>
      <c r="AF306" s="1">
        <f>Table1[[#This Row],[C:C]]*1.1</f>
        <v>0</v>
      </c>
      <c r="AI306" s="1">
        <f>IFERROR(VLOOKUP(X306,#REF!,8,FALSE),0)</f>
        <v>0</v>
      </c>
      <c r="AN306" s="1" t="str">
        <f>PROD_ID_TABLE[[#This Row],[PROD ID]]</f>
        <v>AQUA 4410 CHAL5 G</v>
      </c>
      <c r="AO306" s="1" t="str">
        <f t="shared" si="49"/>
        <v>RESUTILE AQUA 4410 WB ALIPHATIC URETHANE - COLORCHARCOAL5 GAL</v>
      </c>
      <c r="AP306" s="3">
        <f t="shared" si="50"/>
        <v>497.28</v>
      </c>
      <c r="AQ306" s="1" t="str">
        <f t="shared" si="51"/>
        <v>5 GAL</v>
      </c>
      <c r="AS306" s="1" t="str">
        <f t="shared" si="52"/>
        <v>CHARCOAL</v>
      </c>
      <c r="AT306"/>
      <c r="AU306"/>
      <c r="AV306"/>
      <c r="AY306" t="str">
        <f t="shared" si="53"/>
        <v>AQUA 4410 CHAL5 G</v>
      </c>
      <c r="AZ306" s="1" t="str">
        <f t="shared" si="54"/>
        <v xml:space="preserve">AQUA 4410 </v>
      </c>
      <c r="BA306" t="str">
        <f t="shared" si="55"/>
        <v>CHAL</v>
      </c>
      <c r="BB306" s="1" t="str">
        <f t="shared" si="58"/>
        <v>5 G</v>
      </c>
      <c r="BC306" s="1">
        <f t="shared" si="57"/>
        <v>497.28</v>
      </c>
      <c r="BD306" s="62" t="s">
        <v>351</v>
      </c>
      <c r="BE306" s="55" t="s">
        <v>318</v>
      </c>
      <c r="BF306" s="55" t="s">
        <v>412</v>
      </c>
      <c r="BG306" s="55" t="s">
        <v>366</v>
      </c>
      <c r="BJ306"/>
      <c r="BK306"/>
      <c r="BM306"/>
    </row>
    <row r="307" spans="22:65" x14ac:dyDescent="0.35">
      <c r="V307" s="1" t="str">
        <v xml:space="preserve"> T-301 TOPSPAL5 G</v>
      </c>
      <c r="X307" s="1" t="str">
        <f t="shared" si="56"/>
        <v xml:space="preserve"> G-201 BINTIED5 G</v>
      </c>
      <c r="Y307" s="1" t="str" cm="1">
        <f t="array" ref="Y307">IFERROR(VLOOKUP($X307,$AN:AO,COLUMN(AO:AO)-COLUMN($AN:$AN)+1,FALSE),"")</f>
        <v>CRYLAFLOR G-201 BINDERTILE RED5 GAL KIT</v>
      </c>
      <c r="Z307" s="63" cm="1">
        <f t="array" ref="Z307">IFERROR(VLOOKUP($X307,$AN:AP,COLUMN(AP:AP)-COLUMN($AN:$AN)+1,FALSE),"")</f>
        <v>341.92</v>
      </c>
      <c r="AA307" s="1" t="str" cm="1">
        <f t="array" ref="AA307">IFERROR(VLOOKUP($X307,$AN:AQ,COLUMN(AQ:AQ)-COLUMN($AN:$AN)+1,FALSE),"")</f>
        <v>5 GAL KIT</v>
      </c>
      <c r="AC307" s="1" t="str" cm="1">
        <f t="array" ref="AC307">IFERROR(VLOOKUP($X307,$AN:AS,COLUMN(AS:AS)-COLUMN($AN:$AN)+1,FALSE),"")</f>
        <v>TILE RED</v>
      </c>
      <c r="AD307" s="1" t="s">
        <v>19</v>
      </c>
      <c r="AF307" s="1">
        <f>Table1[[#This Row],[C:C]]*1.1</f>
        <v>0</v>
      </c>
      <c r="AI307" s="1">
        <f>IFERROR(VLOOKUP(X307,#REF!,8,FALSE),0)</f>
        <v>0</v>
      </c>
      <c r="AN307" s="1" t="str">
        <f>PROD_ID_TABLE[[#This Row],[PROD ID]]</f>
        <v>AQUA 4410 CLLE5 G</v>
      </c>
      <c r="AO307" s="1" t="str">
        <f t="shared" si="49"/>
        <v>RESUTILE AQUA 4410 WB ALIPHATIC URETHANE - COLORCLASIC RED TILE5 GAL</v>
      </c>
      <c r="AP307" s="3">
        <f t="shared" si="50"/>
        <v>497.28</v>
      </c>
      <c r="AQ307" s="1" t="str">
        <f t="shared" si="51"/>
        <v>5 GAL</v>
      </c>
      <c r="AS307" s="1" t="str">
        <f t="shared" si="52"/>
        <v>CLASIC RED TILE</v>
      </c>
      <c r="AT307"/>
      <c r="AU307"/>
      <c r="AV307"/>
      <c r="AY307" t="str">
        <f t="shared" si="53"/>
        <v>AQUA 4410 CLLE5 G</v>
      </c>
      <c r="AZ307" s="1" t="str">
        <f t="shared" si="54"/>
        <v xml:space="preserve">AQUA 4410 </v>
      </c>
      <c r="BA307" t="str">
        <f t="shared" si="55"/>
        <v>CLLE</v>
      </c>
      <c r="BB307" s="1" t="str">
        <f t="shared" si="58"/>
        <v>5 G</v>
      </c>
      <c r="BC307" s="1">
        <f t="shared" si="57"/>
        <v>497.28</v>
      </c>
      <c r="BD307" s="62" t="s">
        <v>351</v>
      </c>
      <c r="BE307" s="55" t="s">
        <v>328</v>
      </c>
      <c r="BF307" s="55" t="s">
        <v>412</v>
      </c>
      <c r="BG307" s="55" t="s">
        <v>366</v>
      </c>
      <c r="BJ307"/>
      <c r="BK307"/>
      <c r="BM307"/>
    </row>
    <row r="308" spans="22:65" x14ac:dyDescent="0.35">
      <c r="V308" s="1" t="str">
        <v xml:space="preserve"> T-301 TOPTIED5 G</v>
      </c>
      <c r="X308" s="1" t="str">
        <f t="shared" si="56"/>
        <v xml:space="preserve"> T-301 TOPCLAR5 G</v>
      </c>
      <c r="Y308" s="1" t="str" cm="1">
        <f t="array" ref="Y308">IFERROR(VLOOKUP($X308,$AN:AO,COLUMN(AO:AO)-COLUMN($AN:$AN)+1,FALSE),"")</f>
        <v>CRYLAFLOR T-301 TOPCOATCLEAR5 GAL KIT</v>
      </c>
      <c r="Z308" s="63" cm="1">
        <f t="array" ref="Z308">IFERROR(VLOOKUP($X308,$AN:AP,COLUMN(AP:AP)-COLUMN($AN:$AN)+1,FALSE),"")</f>
        <v>329.56</v>
      </c>
      <c r="AA308" s="1" t="str" cm="1">
        <f t="array" ref="AA308">IFERROR(VLOOKUP($X308,$AN:AQ,COLUMN(AQ:AQ)-COLUMN($AN:$AN)+1,FALSE),"")</f>
        <v>5 GAL KIT</v>
      </c>
      <c r="AC308" s="1" t="str" cm="1">
        <f t="array" ref="AC308">IFERROR(VLOOKUP($X308,$AN:AS,COLUMN(AS:AS)-COLUMN($AN:$AN)+1,FALSE),"")</f>
        <v>CLEAR</v>
      </c>
      <c r="AD308" s="1" t="s">
        <v>19</v>
      </c>
      <c r="AF308" s="1">
        <f>Table1[[#This Row],[C:C]]*1.1</f>
        <v>0</v>
      </c>
      <c r="AI308" s="1">
        <f>IFERROR(VLOOKUP(X308,#REF!,8,FALSE),0)</f>
        <v>0</v>
      </c>
      <c r="AN308" s="1" t="str">
        <f>PROD_ID_TABLE[[#This Row],[PROD ID]]</f>
        <v>AQUA 4410 GRAY5 G</v>
      </c>
      <c r="AO308" s="1" t="str">
        <f t="shared" si="49"/>
        <v>RESUTILE AQUA 4410 WB ALIPHATIC URETHANE - COLORGRAY5 GAL</v>
      </c>
      <c r="AP308" s="3">
        <f t="shared" si="50"/>
        <v>497.28</v>
      </c>
      <c r="AQ308" s="1" t="str">
        <f t="shared" si="51"/>
        <v>5 GAL</v>
      </c>
      <c r="AS308" s="1" t="str">
        <f t="shared" si="52"/>
        <v>GRAY</v>
      </c>
      <c r="AT308"/>
      <c r="AU308"/>
      <c r="AV308"/>
      <c r="AY308" t="str">
        <f t="shared" si="53"/>
        <v>AQUA 4410 GRAY5 G</v>
      </c>
      <c r="AZ308" s="1" t="str">
        <f t="shared" si="54"/>
        <v xml:space="preserve">AQUA 4410 </v>
      </c>
      <c r="BA308" t="str">
        <f t="shared" si="55"/>
        <v>GRAY</v>
      </c>
      <c r="BB308" s="1" t="str">
        <f t="shared" si="58"/>
        <v>5 G</v>
      </c>
      <c r="BC308" s="1">
        <f t="shared" si="57"/>
        <v>497.28</v>
      </c>
      <c r="BD308" s="62" t="s">
        <v>351</v>
      </c>
      <c r="BE308" s="55" t="s">
        <v>317</v>
      </c>
      <c r="BF308" s="55" t="s">
        <v>412</v>
      </c>
      <c r="BG308" s="55" t="s">
        <v>366</v>
      </c>
      <c r="BJ308"/>
      <c r="BK308"/>
      <c r="BM308"/>
    </row>
    <row r="309" spans="22:65" x14ac:dyDescent="0.35">
      <c r="V309" s="1" t="str">
        <v xml:space="preserve"> T-301 TOPSMUE5 G</v>
      </c>
      <c r="X309" s="1" t="str">
        <f t="shared" si="56"/>
        <v xml:space="preserve"> T-301 TOPBEGE5 G</v>
      </c>
      <c r="Y309" s="1" t="str" cm="1">
        <f t="array" ref="Y309">IFERROR(VLOOKUP($X309,$AN:AO,COLUMN(AO:AO)-COLUMN($AN:$AN)+1,FALSE),"")</f>
        <v>CRYLAFLOR T-301 TOPCOATBEIGE5 GAL KIT</v>
      </c>
      <c r="Z309" s="63" cm="1">
        <f t="array" ref="Z309">IFERROR(VLOOKUP($X309,$AN:AP,COLUMN(AP:AP)-COLUMN($AN:$AN)+1,FALSE),"")</f>
        <v>329.56</v>
      </c>
      <c r="AA309" s="1" t="str" cm="1">
        <f t="array" ref="AA309">IFERROR(VLOOKUP($X309,$AN:AQ,COLUMN(AQ:AQ)-COLUMN($AN:$AN)+1,FALSE),"")</f>
        <v>5 GAL KIT</v>
      </c>
      <c r="AC309" s="1" t="str" cm="1">
        <f t="array" ref="AC309">IFERROR(VLOOKUP($X309,$AN:AS,COLUMN(AS:AS)-COLUMN($AN:$AN)+1,FALSE),"")</f>
        <v>BEIGE</v>
      </c>
      <c r="AD309" s="1" t="s">
        <v>19</v>
      </c>
      <c r="AF309" s="1">
        <f>Table1[[#This Row],[C:C]]*1.1</f>
        <v>0</v>
      </c>
      <c r="AI309" s="1">
        <f>IFERROR(VLOOKUP(X309,#REF!,8,FALSE),0)</f>
        <v>0</v>
      </c>
      <c r="AN309" s="1" t="str">
        <f>PROD_ID_TABLE[[#This Row],[PROD ID]]</f>
        <v>AQUA 4410 LIAY5 G</v>
      </c>
      <c r="AO309" s="1" t="str">
        <f t="shared" si="49"/>
        <v>RESUTILE AQUA 4410 WB ALIPHATIC URETHANE - COLORLIGHT GRAY5 GAL</v>
      </c>
      <c r="AP309" s="3">
        <f t="shared" si="50"/>
        <v>497.28</v>
      </c>
      <c r="AQ309" s="1" t="str">
        <f t="shared" si="51"/>
        <v>5 GAL</v>
      </c>
      <c r="AS309" s="1" t="str">
        <f t="shared" si="52"/>
        <v>LIGHT GRAY</v>
      </c>
      <c r="AT309"/>
      <c r="AU309"/>
      <c r="AV309"/>
      <c r="AY309" t="str">
        <f t="shared" si="53"/>
        <v>AQUA 4410 LIAY5 G</v>
      </c>
      <c r="AZ309" s="1" t="str">
        <f t="shared" si="54"/>
        <v xml:space="preserve">AQUA 4410 </v>
      </c>
      <c r="BA309" t="str">
        <f t="shared" si="55"/>
        <v>LIAY</v>
      </c>
      <c r="BB309" s="1" t="str">
        <f t="shared" si="58"/>
        <v>5 G</v>
      </c>
      <c r="BC309" s="1">
        <f t="shared" si="57"/>
        <v>497.28</v>
      </c>
      <c r="BD309" s="62" t="s">
        <v>351</v>
      </c>
      <c r="BE309" s="55" t="s">
        <v>384</v>
      </c>
      <c r="BF309" s="55" t="s">
        <v>412</v>
      </c>
      <c r="BG309" s="55" t="s">
        <v>366</v>
      </c>
      <c r="BJ309"/>
      <c r="BK309"/>
      <c r="BM309"/>
    </row>
    <row r="310" spans="22:65" x14ac:dyDescent="0.35">
      <c r="V310" s="1" t="str">
        <v xml:space="preserve"> T-303 FLECLAR5 G</v>
      </c>
      <c r="X310" s="1" t="str">
        <f t="shared" si="56"/>
        <v xml:space="preserve"> T-301 TOPBROW5 G</v>
      </c>
      <c r="Y310" s="1" t="str" cm="1">
        <f t="array" ref="Y310">IFERROR(VLOOKUP($X310,$AN:AO,COLUMN(AO:AO)-COLUMN($AN:$AN)+1,FALSE),"")</f>
        <v>CRYLAFLOR T-301 TOPCOATBRIGHT YELLOW5 GAL KIT</v>
      </c>
      <c r="Z310" s="63" cm="1">
        <f t="array" ref="Z310">IFERROR(VLOOKUP($X310,$AN:AP,COLUMN(AP:AP)-COLUMN($AN:$AN)+1,FALSE),"")</f>
        <v>329.56</v>
      </c>
      <c r="AA310" s="1" t="str" cm="1">
        <f t="array" ref="AA310">IFERROR(VLOOKUP($X310,$AN:AQ,COLUMN(AQ:AQ)-COLUMN($AN:$AN)+1,FALSE),"")</f>
        <v>5 GAL KIT</v>
      </c>
      <c r="AC310" s="1" t="str" cm="1">
        <f t="array" ref="AC310">IFERROR(VLOOKUP($X310,$AN:AS,COLUMN(AS:AS)-COLUMN($AN:$AN)+1,FALSE),"")</f>
        <v>BRIGHT YELLOW</v>
      </c>
      <c r="AD310" s="1" t="s">
        <v>19</v>
      </c>
      <c r="AF310" s="1">
        <f>Table1[[#This Row],[C:C]]*1.1</f>
        <v>0</v>
      </c>
      <c r="AI310" s="1">
        <f>IFERROR(VLOOKUP(X310,#REF!,8,FALSE),0)</f>
        <v>0</v>
      </c>
      <c r="AN310" s="1" t="str">
        <f>PROD_ID_TABLE[[#This Row],[PROD ID]]</f>
        <v>AQUA 4410 MEAY5 G</v>
      </c>
      <c r="AO310" s="1" t="str">
        <f t="shared" si="49"/>
        <v>RESUTILE AQUA 4410 WB ALIPHATIC URETHANE - COLORMEDIUM GRAY5 GAL</v>
      </c>
      <c r="AP310" s="3">
        <f t="shared" si="50"/>
        <v>497.28</v>
      </c>
      <c r="AQ310" s="1" t="str">
        <f t="shared" si="51"/>
        <v>5 GAL</v>
      </c>
      <c r="AS310" s="1" t="str">
        <f t="shared" si="52"/>
        <v>MEDIUM GRAY</v>
      </c>
      <c r="AT310"/>
      <c r="AU310"/>
      <c r="AV310"/>
      <c r="AY310" t="str">
        <f t="shared" si="53"/>
        <v>AQUA 4410 MEAY5 G</v>
      </c>
      <c r="AZ310" s="1" t="str">
        <f t="shared" si="54"/>
        <v xml:space="preserve">AQUA 4410 </v>
      </c>
      <c r="BA310" t="str">
        <f t="shared" si="55"/>
        <v>MEAY</v>
      </c>
      <c r="BB310" s="1" t="str">
        <f t="shared" si="58"/>
        <v>5 G</v>
      </c>
      <c r="BC310" s="1">
        <f t="shared" si="57"/>
        <v>497.28</v>
      </c>
      <c r="BD310" s="62" t="s">
        <v>351</v>
      </c>
      <c r="BE310" s="55" t="s">
        <v>333</v>
      </c>
      <c r="BF310" s="55" t="s">
        <v>412</v>
      </c>
      <c r="BG310" s="55" t="s">
        <v>366</v>
      </c>
      <c r="BJ310"/>
      <c r="BK310"/>
      <c r="BM310"/>
    </row>
    <row r="311" spans="22:65" x14ac:dyDescent="0.35">
      <c r="V311" s="1" t="str">
        <v xml:space="preserve"> T-303 FLEBEGE5 G</v>
      </c>
      <c r="X311" s="1" t="str">
        <f t="shared" si="56"/>
        <v xml:space="preserve"> T-301 TOPCOAY5 G</v>
      </c>
      <c r="Y311" s="1" t="str" cm="1">
        <f t="array" ref="Y311">IFERROR(VLOOKUP($X311,$AN:AO,COLUMN(AO:AO)-COLUMN($AN:$AN)+1,FALSE),"")</f>
        <v>CRYLAFLOR T-301 TOPCOATCONCRETE GRAY5 GAL KIT</v>
      </c>
      <c r="Z311" s="63" cm="1">
        <f t="array" ref="Z311">IFERROR(VLOOKUP($X311,$AN:AP,COLUMN(AP:AP)-COLUMN($AN:$AN)+1,FALSE),"")</f>
        <v>329.56</v>
      </c>
      <c r="AA311" s="1" t="str" cm="1">
        <f t="array" ref="AA311">IFERROR(VLOOKUP($X311,$AN:AQ,COLUMN(AQ:AQ)-COLUMN($AN:$AN)+1,FALSE),"")</f>
        <v>5 GAL KIT</v>
      </c>
      <c r="AC311" s="1" t="str" cm="1">
        <f t="array" ref="AC311">IFERROR(VLOOKUP($X311,$AN:AS,COLUMN(AS:AS)-COLUMN($AN:$AN)+1,FALSE),"")</f>
        <v>CONCRETE GRAY</v>
      </c>
      <c r="AD311" s="1" t="s">
        <v>19</v>
      </c>
      <c r="AF311" s="1">
        <f>Table1[[#This Row],[C:C]]*1.1</f>
        <v>0</v>
      </c>
      <c r="AI311" s="1">
        <f>IFERROR(VLOOKUP(X311,#REF!,8,FALSE),0)</f>
        <v>0</v>
      </c>
      <c r="AN311" s="1" t="str">
        <f>PROD_ID_TABLE[[#This Row],[PROD ID]]</f>
        <v>AQUA 4410 PANT5 G</v>
      </c>
      <c r="AO311" s="1" t="str">
        <f t="shared" si="49"/>
        <v>RESUTILE AQUA 4410 WB ALIPHATIC URETHANE - COLORPARCHMENT5 GAL</v>
      </c>
      <c r="AP311" s="3">
        <f t="shared" si="50"/>
        <v>497.28</v>
      </c>
      <c r="AQ311" s="1" t="str">
        <f t="shared" si="51"/>
        <v>5 GAL</v>
      </c>
      <c r="AS311" s="1" t="str">
        <f t="shared" si="52"/>
        <v>PARCHMENT</v>
      </c>
      <c r="AT311"/>
      <c r="AU311"/>
      <c r="AV311"/>
      <c r="AY311" t="str">
        <f t="shared" si="53"/>
        <v>AQUA 4410 PANT5 G</v>
      </c>
      <c r="AZ311" s="1" t="str">
        <f t="shared" si="54"/>
        <v xml:space="preserve">AQUA 4410 </v>
      </c>
      <c r="BA311" t="str">
        <f t="shared" si="55"/>
        <v>PANT</v>
      </c>
      <c r="BB311" s="1" t="str">
        <f t="shared" si="58"/>
        <v>5 G</v>
      </c>
      <c r="BC311" s="1">
        <f t="shared" si="57"/>
        <v>497.28</v>
      </c>
      <c r="BD311" s="62" t="s">
        <v>351</v>
      </c>
      <c r="BE311" s="55" t="s">
        <v>324</v>
      </c>
      <c r="BF311" s="55" t="s">
        <v>412</v>
      </c>
      <c r="BG311" s="55" t="s">
        <v>366</v>
      </c>
      <c r="BJ311"/>
      <c r="BK311"/>
      <c r="BM311"/>
    </row>
    <row r="312" spans="22:65" x14ac:dyDescent="0.35">
      <c r="V312" s="1" t="str">
        <v xml:space="preserve"> T-303 FLEBROW5 G</v>
      </c>
      <c r="X312" s="1" t="str">
        <f t="shared" si="56"/>
        <v xml:space="preserve"> T-301 TOPCHAY5 G</v>
      </c>
      <c r="Y312" s="1" t="str" cm="1">
        <f t="array" ref="Y312">IFERROR(VLOOKUP($X312,$AN:AO,COLUMN(AO:AO)-COLUMN($AN:$AN)+1,FALSE),"")</f>
        <v>CRYLAFLOR T-301 TOPCOATCHARCOAL GRAY5 GAL KIT</v>
      </c>
      <c r="Z312" s="63" cm="1">
        <f t="array" ref="Z312">IFERROR(VLOOKUP($X312,$AN:AP,COLUMN(AP:AP)-COLUMN($AN:$AN)+1,FALSE),"")</f>
        <v>329.56</v>
      </c>
      <c r="AA312" s="1" t="str" cm="1">
        <f t="array" ref="AA312">IFERROR(VLOOKUP($X312,$AN:AQ,COLUMN(AQ:AQ)-COLUMN($AN:$AN)+1,FALSE),"")</f>
        <v>5 GAL KIT</v>
      </c>
      <c r="AC312" s="1" t="str" cm="1">
        <f t="array" ref="AC312">IFERROR(VLOOKUP($X312,$AN:AS,COLUMN(AS:AS)-COLUMN($AN:$AN)+1,FALSE),"")</f>
        <v>CHARCOAL GRAY</v>
      </c>
      <c r="AD312" s="1" t="s">
        <v>19</v>
      </c>
      <c r="AF312" s="1">
        <f>Table1[[#This Row],[C:C]]*1.1</f>
        <v>0</v>
      </c>
      <c r="AI312" s="1">
        <f>IFERROR(VLOOKUP(X312,#REF!,8,FALSE),0)</f>
        <v>0</v>
      </c>
      <c r="AN312" s="1" t="str">
        <f>PROD_ID_TABLE[[#This Row],[PROD ID]]</f>
        <v>AQUA 4410 PEER5 G</v>
      </c>
      <c r="AO312" s="1" t="str">
        <f t="shared" si="49"/>
        <v>RESUTILE AQUA 4410 WB ALIPHATIC URETHANE - COLORPEWTER5 GAL</v>
      </c>
      <c r="AP312" s="3">
        <f t="shared" si="50"/>
        <v>497.28</v>
      </c>
      <c r="AQ312" s="1" t="str">
        <f t="shared" si="51"/>
        <v>5 GAL</v>
      </c>
      <c r="AS312" s="1" t="str">
        <f t="shared" si="52"/>
        <v>PEWTER</v>
      </c>
      <c r="AT312"/>
      <c r="AU312"/>
      <c r="AV312"/>
      <c r="AY312" t="str">
        <f t="shared" si="53"/>
        <v>AQUA 4410 PEER5 G</v>
      </c>
      <c r="AZ312" s="1" t="str">
        <f t="shared" si="54"/>
        <v xml:space="preserve">AQUA 4410 </v>
      </c>
      <c r="BA312" t="str">
        <f t="shared" si="55"/>
        <v>PEER</v>
      </c>
      <c r="BB312" s="1" t="str">
        <f t="shared" si="58"/>
        <v>5 G</v>
      </c>
      <c r="BC312" s="1">
        <f t="shared" si="57"/>
        <v>497.28</v>
      </c>
      <c r="BD312" s="62" t="s">
        <v>351</v>
      </c>
      <c r="BE312" s="55" t="s">
        <v>327</v>
      </c>
      <c r="BF312" s="55" t="s">
        <v>412</v>
      </c>
      <c r="BG312" s="55" t="s">
        <v>366</v>
      </c>
      <c r="BJ312"/>
      <c r="BK312"/>
      <c r="BM312"/>
    </row>
    <row r="313" spans="22:65" x14ac:dyDescent="0.35">
      <c r="V313" s="1" t="str">
        <v xml:space="preserve"> T-303 FLECOAY5 G</v>
      </c>
      <c r="X313" s="1" t="str">
        <f t="shared" si="56"/>
        <v xml:space="preserve"> T-301 TOPLIAY5 G</v>
      </c>
      <c r="Y313" s="1" t="str" cm="1">
        <f t="array" ref="Y313">IFERROR(VLOOKUP($X313,$AN:AO,COLUMN(AO:AO)-COLUMN($AN:$AN)+1,FALSE),"")</f>
        <v>CRYLAFLOR T-301 TOPCOATLIGHT GRAY5 GAL KIT</v>
      </c>
      <c r="Z313" s="63" cm="1">
        <f t="array" ref="Z313">IFERROR(VLOOKUP($X313,$AN:AP,COLUMN(AP:AP)-COLUMN($AN:$AN)+1,FALSE),"")</f>
        <v>329.56</v>
      </c>
      <c r="AA313" s="1" t="str" cm="1">
        <f t="array" ref="AA313">IFERROR(VLOOKUP($X313,$AN:AQ,COLUMN(AQ:AQ)-COLUMN($AN:$AN)+1,FALSE),"")</f>
        <v>5 GAL KIT</v>
      </c>
      <c r="AC313" s="1" t="str" cm="1">
        <f t="array" ref="AC313">IFERROR(VLOOKUP($X313,$AN:AS,COLUMN(AS:AS)-COLUMN($AN:$AN)+1,FALSE),"")</f>
        <v>LIGHT GRAY</v>
      </c>
      <c r="AD313" s="1" t="s">
        <v>19</v>
      </c>
      <c r="AF313" s="1">
        <f>Table1[[#This Row],[C:C]]*1.1</f>
        <v>0</v>
      </c>
      <c r="AI313" s="1">
        <f>IFERROR(VLOOKUP(X313,#REF!,8,FALSE),0)</f>
        <v>0</v>
      </c>
      <c r="AN313" s="1" t="str">
        <f>PROD_ID_TABLE[[#This Row],[PROD ID]]</f>
        <v>AQUA 4410 ROUE5 G</v>
      </c>
      <c r="AO313" s="1" t="str">
        <f t="shared" si="49"/>
        <v>RESUTILE AQUA 4410 WB ALIPHATIC URETHANE - COLORROYAL BLUE5 GAL</v>
      </c>
      <c r="AP313" s="3">
        <f t="shared" si="50"/>
        <v>497.28</v>
      </c>
      <c r="AQ313" s="1" t="str">
        <f t="shared" si="51"/>
        <v>5 GAL</v>
      </c>
      <c r="AS313" s="1" t="str">
        <f t="shared" si="52"/>
        <v>ROYAL BLUE</v>
      </c>
      <c r="AT313"/>
      <c r="AU313"/>
      <c r="AV313"/>
      <c r="AY313" t="str">
        <f t="shared" si="53"/>
        <v>AQUA 4410 ROUE5 G</v>
      </c>
      <c r="AZ313" s="1" t="str">
        <f t="shared" si="54"/>
        <v xml:space="preserve">AQUA 4410 </v>
      </c>
      <c r="BA313" t="str">
        <f t="shared" si="55"/>
        <v>ROUE</v>
      </c>
      <c r="BB313" s="1" t="str">
        <f t="shared" si="58"/>
        <v>5 G</v>
      </c>
      <c r="BC313" s="1">
        <f t="shared" si="57"/>
        <v>497.28</v>
      </c>
      <c r="BD313" s="62" t="s">
        <v>351</v>
      </c>
      <c r="BE313" s="55" t="s">
        <v>428</v>
      </c>
      <c r="BF313" s="55" t="s">
        <v>412</v>
      </c>
      <c r="BG313" s="55" t="s">
        <v>366</v>
      </c>
      <c r="BJ313"/>
      <c r="BK313"/>
      <c r="BM313"/>
    </row>
    <row r="314" spans="22:65" x14ac:dyDescent="0.35">
      <c r="V314" s="1" t="str">
        <v xml:space="preserve"> T-303 FLECHAY5 G</v>
      </c>
      <c r="X314" s="1" t="str">
        <f t="shared" si="56"/>
        <v xml:space="preserve"> T-301 TOPMEAY5 G</v>
      </c>
      <c r="Y314" s="1" t="str" cm="1">
        <f t="array" ref="Y314">IFERROR(VLOOKUP($X314,$AN:AO,COLUMN(AO:AO)-COLUMN($AN:$AN)+1,FALSE),"")</f>
        <v>CRYLAFLOR T-301 TOPCOATMED. GRAY5 GAL KIT</v>
      </c>
      <c r="Z314" s="63" cm="1">
        <f t="array" ref="Z314">IFERROR(VLOOKUP($X314,$AN:AP,COLUMN(AP:AP)-COLUMN($AN:$AN)+1,FALSE),"")</f>
        <v>329.56</v>
      </c>
      <c r="AA314" s="1" t="str" cm="1">
        <f t="array" ref="AA314">IFERROR(VLOOKUP($X314,$AN:AQ,COLUMN(AQ:AQ)-COLUMN($AN:$AN)+1,FALSE),"")</f>
        <v>5 GAL KIT</v>
      </c>
      <c r="AC314" s="1" t="str" cm="1">
        <f t="array" ref="AC314">IFERROR(VLOOKUP($X314,$AN:AS,COLUMN(AS:AS)-COLUMN($AN:$AN)+1,FALSE),"")</f>
        <v>MED. GRAY</v>
      </c>
      <c r="AD314" s="1" t="s">
        <v>19</v>
      </c>
      <c r="AF314" s="1">
        <f>Table1[[#This Row],[C:C]]*1.1</f>
        <v>0</v>
      </c>
      <c r="AI314" s="1">
        <f>IFERROR(VLOOKUP(X314,#REF!,8,FALSE),0)</f>
        <v>0</v>
      </c>
      <c r="AN314" s="1" t="str">
        <f>PROD_ID_TABLE[[#This Row],[PROD ID]]</f>
        <v>AQUA 4410 SAED5 G</v>
      </c>
      <c r="AO314" s="1" t="str">
        <f t="shared" si="49"/>
        <v>RESUTILE AQUA 4410 WB ALIPHATIC URETHANE - COLORSAFETY RED5 GAL</v>
      </c>
      <c r="AP314" s="3">
        <f t="shared" si="50"/>
        <v>497.28</v>
      </c>
      <c r="AQ314" s="1" t="str">
        <f t="shared" si="51"/>
        <v>5 GAL</v>
      </c>
      <c r="AS314" s="1" t="str">
        <f t="shared" si="52"/>
        <v>SAFETY RED</v>
      </c>
      <c r="AT314"/>
      <c r="AU314"/>
      <c r="AV314"/>
      <c r="AY314" t="str">
        <f t="shared" si="53"/>
        <v>AQUA 4410 SAED5 G</v>
      </c>
      <c r="AZ314" s="1" t="str">
        <f t="shared" si="54"/>
        <v xml:space="preserve">AQUA 4410 </v>
      </c>
      <c r="BA314" t="str">
        <f t="shared" si="55"/>
        <v>SAED</v>
      </c>
      <c r="BB314" s="1" t="str">
        <f t="shared" si="58"/>
        <v>5 G</v>
      </c>
      <c r="BC314" s="1">
        <f t="shared" si="57"/>
        <v>497.28</v>
      </c>
      <c r="BD314" s="62" t="s">
        <v>351</v>
      </c>
      <c r="BE314" s="55" t="s">
        <v>325</v>
      </c>
      <c r="BF314" s="55" t="s">
        <v>412</v>
      </c>
      <c r="BG314" s="55" t="s">
        <v>366</v>
      </c>
      <c r="BJ314"/>
      <c r="BK314"/>
      <c r="BM314"/>
    </row>
    <row r="315" spans="22:65" x14ac:dyDescent="0.35">
      <c r="V315" s="1" t="str">
        <v xml:space="preserve"> T-303 FLELIAY5 G</v>
      </c>
      <c r="X315" s="1" t="str">
        <f t="shared" si="56"/>
        <v xml:space="preserve"> T-301 TOPSLAY5 G</v>
      </c>
      <c r="Y315" s="1" t="str" cm="1">
        <f t="array" ref="Y315">IFERROR(VLOOKUP($X315,$AN:AO,COLUMN(AO:AO)-COLUMN($AN:$AN)+1,FALSE),"")</f>
        <v>CRYLAFLOR T-301 TOPCOATSLATE GRAY5 GAL KIT</v>
      </c>
      <c r="Z315" s="63" cm="1">
        <f t="array" ref="Z315">IFERROR(VLOOKUP($X315,$AN:AP,COLUMN(AP:AP)-COLUMN($AN:$AN)+1,FALSE),"")</f>
        <v>329.56</v>
      </c>
      <c r="AA315" s="1" t="str" cm="1">
        <f t="array" ref="AA315">IFERROR(VLOOKUP($X315,$AN:AQ,COLUMN(AQ:AQ)-COLUMN($AN:$AN)+1,FALSE),"")</f>
        <v>5 GAL KIT</v>
      </c>
      <c r="AC315" s="1" t="str" cm="1">
        <f t="array" ref="AC315">IFERROR(VLOOKUP($X315,$AN:AS,COLUMN(AS:AS)-COLUMN($AN:$AN)+1,FALSE),"")</f>
        <v>SLATE GRAY</v>
      </c>
      <c r="AD315" s="1" t="s">
        <v>19</v>
      </c>
      <c r="AF315" s="1">
        <f>Table1[[#This Row],[C:C]]*1.1</f>
        <v>0</v>
      </c>
      <c r="AI315" s="1">
        <f>IFERROR(VLOOKUP(X315,#REF!,8,FALSE),0)</f>
        <v>0</v>
      </c>
      <c r="AN315" s="1" t="str">
        <f>PROD_ID_TABLE[[#This Row],[PROD ID]]</f>
        <v>AQUA 4410 SAOW5 G</v>
      </c>
      <c r="AO315" s="1" t="str">
        <f t="shared" si="49"/>
        <v>RESUTILE AQUA 4410 WB ALIPHATIC URETHANE - COLORSAFETY YELLOW5 GAL</v>
      </c>
      <c r="AP315" s="3">
        <f t="shared" si="50"/>
        <v>497.28</v>
      </c>
      <c r="AQ315" s="1" t="str">
        <f t="shared" si="51"/>
        <v>5 GAL</v>
      </c>
      <c r="AS315" s="1" t="str">
        <f t="shared" si="52"/>
        <v>SAFETY YELLOW</v>
      </c>
      <c r="AT315"/>
      <c r="AU315"/>
      <c r="AV315"/>
      <c r="AY315" t="str">
        <f t="shared" si="53"/>
        <v>AQUA 4410 SAOW5 G</v>
      </c>
      <c r="AZ315" s="1" t="str">
        <f t="shared" si="54"/>
        <v xml:space="preserve">AQUA 4410 </v>
      </c>
      <c r="BA315" t="str">
        <f t="shared" si="55"/>
        <v>SAOW</v>
      </c>
      <c r="BB315" s="1" t="str">
        <f t="shared" si="58"/>
        <v>5 G</v>
      </c>
      <c r="BC315" s="1">
        <f t="shared" si="57"/>
        <v>497.28</v>
      </c>
      <c r="BD315" s="62" t="s">
        <v>351</v>
      </c>
      <c r="BE315" s="55" t="s">
        <v>326</v>
      </c>
      <c r="BF315" s="55" t="s">
        <v>412</v>
      </c>
      <c r="BG315" s="55" t="s">
        <v>366</v>
      </c>
      <c r="BJ315"/>
      <c r="BK315"/>
      <c r="BM315"/>
    </row>
    <row r="316" spans="22:65" x14ac:dyDescent="0.35">
      <c r="V316" s="1" t="str">
        <v xml:space="preserve"> T-303 FLEMEAY5 G</v>
      </c>
      <c r="X316" s="1" t="str">
        <f t="shared" si="56"/>
        <v xml:space="preserve"> T-301 TOPBLCK5 G</v>
      </c>
      <c r="Y316" s="1" t="str" cm="1">
        <f t="array" ref="Y316">IFERROR(VLOOKUP($X316,$AN:AO,COLUMN(AO:AO)-COLUMN($AN:$AN)+1,FALSE),"")</f>
        <v>CRYLAFLOR T-301 TOPCOATBLACK5 GAL KIT</v>
      </c>
      <c r="Z316" s="63" cm="1">
        <f t="array" ref="Z316">IFERROR(VLOOKUP($X316,$AN:AP,COLUMN(AP:AP)-COLUMN($AN:$AN)+1,FALSE),"")</f>
        <v>329.56</v>
      </c>
      <c r="AA316" s="1" t="str" cm="1">
        <f t="array" ref="AA316">IFERROR(VLOOKUP($X316,$AN:AQ,COLUMN(AQ:AQ)-COLUMN($AN:$AN)+1,FALSE),"")</f>
        <v>5 GAL KIT</v>
      </c>
      <c r="AC316" s="1" t="str" cm="1">
        <f t="array" ref="AC316">IFERROR(VLOOKUP($X316,$AN:AS,COLUMN(AS:AS)-COLUMN($AN:$AN)+1,FALSE),"")</f>
        <v>BLACK</v>
      </c>
      <c r="AD316" s="1" t="s">
        <v>19</v>
      </c>
      <c r="AF316" s="1">
        <f>Table1[[#This Row],[C:C]]*1.1</f>
        <v>0</v>
      </c>
      <c r="AI316" s="1">
        <f>IFERROR(VLOOKUP(X316,#REF!,8,FALSE),0)</f>
        <v>0</v>
      </c>
      <c r="AN316" s="1" t="str">
        <f>PROD_ID_TABLE[[#This Row],[PROD ID]]</f>
        <v>AQUA 4410 SIAY5 G</v>
      </c>
      <c r="AO316" s="1" t="str">
        <f t="shared" si="49"/>
        <v>RESUTILE AQUA 4410 WB ALIPHATIC URETHANE - COLORSILVER GRAY5 GAL</v>
      </c>
      <c r="AP316" s="3">
        <f t="shared" si="50"/>
        <v>497.28</v>
      </c>
      <c r="AQ316" s="1" t="str">
        <f t="shared" si="51"/>
        <v>5 GAL</v>
      </c>
      <c r="AS316" s="1" t="str">
        <f t="shared" si="52"/>
        <v>SILVER GRAY</v>
      </c>
      <c r="AT316"/>
      <c r="AU316"/>
      <c r="AV316"/>
      <c r="AY316" t="str">
        <f t="shared" si="53"/>
        <v>AQUA 4410 SIAY5 G</v>
      </c>
      <c r="AZ316" s="1" t="str">
        <f t="shared" si="54"/>
        <v xml:space="preserve">AQUA 4410 </v>
      </c>
      <c r="BA316" t="str">
        <f t="shared" si="55"/>
        <v>SIAY</v>
      </c>
      <c r="BB316" s="1" t="str">
        <f t="shared" si="58"/>
        <v>5 G</v>
      </c>
      <c r="BC316" s="1">
        <f t="shared" si="57"/>
        <v>497.28</v>
      </c>
      <c r="BD316" s="62" t="s">
        <v>351</v>
      </c>
      <c r="BE316" s="55" t="s">
        <v>321</v>
      </c>
      <c r="BF316" s="55" t="s">
        <v>412</v>
      </c>
      <c r="BG316" s="55" t="s">
        <v>366</v>
      </c>
      <c r="BJ316"/>
      <c r="BK316"/>
      <c r="BM316"/>
    </row>
    <row r="317" spans="22:65" x14ac:dyDescent="0.35">
      <c r="V317" s="1" t="str">
        <v xml:space="preserve"> T-303 FLESLAY5 G</v>
      </c>
      <c r="X317" s="1" t="str">
        <f t="shared" si="56"/>
        <v xml:space="preserve"> T-301 TOPGREN5 G</v>
      </c>
      <c r="Y317" s="1" t="str" cm="1">
        <f t="array" ref="Y317">IFERROR(VLOOKUP($X317,$AN:AO,COLUMN(AO:AO)-COLUMN($AN:$AN)+1,FALSE),"")</f>
        <v>CRYLAFLOR T-301 TOPCOATGREEN5 GAL KIT</v>
      </c>
      <c r="Z317" s="63" cm="1">
        <f t="array" ref="Z317">IFERROR(VLOOKUP($X317,$AN:AP,COLUMN(AP:AP)-COLUMN($AN:$AN)+1,FALSE),"")</f>
        <v>329.56</v>
      </c>
      <c r="AA317" s="1" t="str" cm="1">
        <f t="array" ref="AA317">IFERROR(VLOOKUP($X317,$AN:AQ,COLUMN(AQ:AQ)-COLUMN($AN:$AN)+1,FALSE),"")</f>
        <v>5 GAL KIT</v>
      </c>
      <c r="AC317" s="1" t="str" cm="1">
        <f t="array" ref="AC317">IFERROR(VLOOKUP($X317,$AN:AS,COLUMN(AS:AS)-COLUMN($AN:$AN)+1,FALSE),"")</f>
        <v>GREEN</v>
      </c>
      <c r="AD317" s="1" t="s">
        <v>19</v>
      </c>
      <c r="AF317" s="1">
        <f>Table1[[#This Row],[C:C]]*1.1</f>
        <v>0</v>
      </c>
      <c r="AI317" s="1">
        <f>IFERROR(VLOOKUP(X317,#REF!,8,FALSE),0)</f>
        <v>0</v>
      </c>
      <c r="AN317" s="1" t="str">
        <f>PROD_ID_TABLE[[#This Row],[PROD ID]]</f>
        <v>AQUA 4410 STAY5 G</v>
      </c>
      <c r="AO317" s="1" t="str">
        <f t="shared" si="49"/>
        <v>RESUTILE AQUA 4410 WB ALIPHATIC URETHANE - COLORSTEEL GRAY5 GAL</v>
      </c>
      <c r="AP317" s="3">
        <f t="shared" si="50"/>
        <v>497.28</v>
      </c>
      <c r="AQ317" s="1" t="str">
        <f t="shared" si="51"/>
        <v>5 GAL</v>
      </c>
      <c r="AS317" s="1" t="str">
        <f t="shared" si="52"/>
        <v>STEEL GRAY</v>
      </c>
      <c r="AT317"/>
      <c r="AU317"/>
      <c r="AV317"/>
      <c r="AY317" t="str">
        <f t="shared" si="53"/>
        <v>AQUA 4410 STAY5 G</v>
      </c>
      <c r="AZ317" s="1" t="str">
        <f t="shared" si="54"/>
        <v xml:space="preserve">AQUA 4410 </v>
      </c>
      <c r="BA317" t="str">
        <f t="shared" si="55"/>
        <v>STAY</v>
      </c>
      <c r="BB317" s="1" t="str">
        <f t="shared" si="58"/>
        <v>5 G</v>
      </c>
      <c r="BC317" s="1">
        <f t="shared" si="57"/>
        <v>497.28</v>
      </c>
      <c r="BD317" s="62" t="s">
        <v>351</v>
      </c>
      <c r="BE317" s="55" t="s">
        <v>319</v>
      </c>
      <c r="BF317" s="55" t="s">
        <v>412</v>
      </c>
      <c r="BG317" s="55" t="s">
        <v>366</v>
      </c>
      <c r="BJ317"/>
      <c r="BK317"/>
      <c r="BM317"/>
    </row>
    <row r="318" spans="22:65" x14ac:dyDescent="0.35">
      <c r="V318" s="1" t="str">
        <v xml:space="preserve"> T-303 FLEBLCK5 G</v>
      </c>
      <c r="X318" s="1" t="str">
        <f t="shared" si="56"/>
        <v xml:space="preserve"> T-301 TOPWHTE5 G</v>
      </c>
      <c r="Y318" s="1" t="str" cm="1">
        <f t="array" ref="Y318">IFERROR(VLOOKUP($X318,$AN:AO,COLUMN(AO:AO)-COLUMN($AN:$AN)+1,FALSE),"")</f>
        <v>CRYLAFLOR T-301 TOPCOATWHITE5 GAL KIT</v>
      </c>
      <c r="Z318" s="63" cm="1">
        <f t="array" ref="Z318">IFERROR(VLOOKUP($X318,$AN:AP,COLUMN(AP:AP)-COLUMN($AN:$AN)+1,FALSE),"")</f>
        <v>329.56</v>
      </c>
      <c r="AA318" s="1" t="str" cm="1">
        <f t="array" ref="AA318">IFERROR(VLOOKUP($X318,$AN:AQ,COLUMN(AQ:AQ)-COLUMN($AN:$AN)+1,FALSE),"")</f>
        <v>5 GAL KIT</v>
      </c>
      <c r="AC318" s="1" t="str" cm="1">
        <f t="array" ref="AC318">IFERROR(VLOOKUP($X318,$AN:AS,COLUMN(AS:AS)-COLUMN($AN:$AN)+1,FALSE),"")</f>
        <v>WHITE</v>
      </c>
      <c r="AD318" s="1" t="s">
        <v>19</v>
      </c>
      <c r="AF318" s="1">
        <f>Table1[[#This Row],[C:C]]*1.1</f>
        <v>0</v>
      </c>
      <c r="AI318" s="1">
        <f>IFERROR(VLOOKUP(X318,#REF!,8,FALSE),0)</f>
        <v>0</v>
      </c>
      <c r="AN318" s="1" t="str">
        <f>PROD_ID_TABLE[[#This Row],[PROD ID]]</f>
        <v>AQUA 4410 ULSE5 G</v>
      </c>
      <c r="AO318" s="1" t="str">
        <f t="shared" si="49"/>
        <v>RESUTILE AQUA 4410 WB ALIPHATIC URETHANE - COLORULTRA DEEP BASE5 GAL</v>
      </c>
      <c r="AP318" s="3">
        <f t="shared" si="50"/>
        <v>497.28</v>
      </c>
      <c r="AQ318" s="1" t="str">
        <f t="shared" si="51"/>
        <v>5 GAL</v>
      </c>
      <c r="AS318" s="1" t="str">
        <f t="shared" si="52"/>
        <v>ULTRA DEEP BASE</v>
      </c>
      <c r="AT318"/>
      <c r="AU318"/>
      <c r="AV318"/>
      <c r="AY318" t="str">
        <f t="shared" si="53"/>
        <v>AQUA 4410 ULSE5 G</v>
      </c>
      <c r="AZ318" s="1" t="str">
        <f t="shared" si="54"/>
        <v xml:space="preserve">AQUA 4410 </v>
      </c>
      <c r="BA318" t="str">
        <f t="shared" si="55"/>
        <v>ULSE</v>
      </c>
      <c r="BB318" s="1" t="str">
        <f t="shared" si="58"/>
        <v>5 G</v>
      </c>
      <c r="BC318" s="1">
        <f t="shared" si="57"/>
        <v>497.28</v>
      </c>
      <c r="BD318" s="62" t="s">
        <v>351</v>
      </c>
      <c r="BE318" s="55" t="s">
        <v>330</v>
      </c>
      <c r="BF318" s="55" t="s">
        <v>412</v>
      </c>
      <c r="BG318" s="55" t="s">
        <v>366</v>
      </c>
      <c r="BJ318"/>
      <c r="BK318"/>
      <c r="BM318"/>
    </row>
    <row r="319" spans="22:65" ht="15" thickBot="1" x14ac:dyDescent="0.4">
      <c r="V319" s="1" t="str">
        <v xml:space="preserve"> T-303 FLEGREN5 G</v>
      </c>
      <c r="X319" s="1" t="str">
        <f t="shared" si="56"/>
        <v xml:space="preserve"> T-301 TOPSPAL5 G</v>
      </c>
      <c r="Y319" s="1" t="str" cm="1">
        <f t="array" ref="Y319">IFERROR(VLOOKUP($X319,$AN:AO,COLUMN(AO:AO)-COLUMN($AN:$AN)+1,FALSE),"")</f>
        <v>CRYLAFLOR T-301 TOPCOATSPECIAL5 GAL KIT</v>
      </c>
      <c r="Z319" s="63" cm="1">
        <f t="array" ref="Z319">IFERROR(VLOOKUP($X319,$AN:AP,COLUMN(AP:AP)-COLUMN($AN:$AN)+1,FALSE),"")</f>
        <v>329.56</v>
      </c>
      <c r="AA319" s="1" t="str" cm="1">
        <f t="array" ref="AA319">IFERROR(VLOOKUP($X319,$AN:AQ,COLUMN(AQ:AQ)-COLUMN($AN:$AN)+1,FALSE),"")</f>
        <v>5 GAL KIT</v>
      </c>
      <c r="AC319" s="1" t="str" cm="1">
        <f t="array" ref="AC319">IFERROR(VLOOKUP($X319,$AN:AS,COLUMN(AS:AS)-COLUMN($AN:$AN)+1,FALSE),"")</f>
        <v>SPECIAL</v>
      </c>
      <c r="AD319" s="1" t="s">
        <v>19</v>
      </c>
      <c r="AF319" s="1">
        <f>Table1[[#This Row],[C:C]]*1.1</f>
        <v>0</v>
      </c>
      <c r="AI319" s="1">
        <f>IFERROR(VLOOKUP(X319,#REF!,8,FALSE),0)</f>
        <v>0</v>
      </c>
      <c r="AN319" s="1" t="str">
        <f>PROD_ID_TABLE[[#This Row],[PROD ID]]</f>
        <v>AQUA 4410 WHSE5 G</v>
      </c>
      <c r="AO319" s="1" t="str">
        <f t="shared" si="49"/>
        <v>RESUTILE AQUA 4410 WB ALIPHATIC URETHANE - COLORWHITE TINT BASE5 GAL</v>
      </c>
      <c r="AP319" s="3">
        <f t="shared" si="50"/>
        <v>497.28</v>
      </c>
      <c r="AQ319" s="1" t="str">
        <f t="shared" si="51"/>
        <v>5 GAL</v>
      </c>
      <c r="AS319" s="1" t="str">
        <f t="shared" si="52"/>
        <v>WHITE TINT BASE</v>
      </c>
      <c r="AT319"/>
      <c r="AU319"/>
      <c r="AV319"/>
      <c r="AY319" t="str">
        <f t="shared" si="53"/>
        <v>AQUA 4410 WHSE5 G</v>
      </c>
      <c r="AZ319" s="1" t="str">
        <f t="shared" si="54"/>
        <v xml:space="preserve">AQUA 4410 </v>
      </c>
      <c r="BA319" t="str">
        <f t="shared" si="55"/>
        <v>WHSE</v>
      </c>
      <c r="BB319" s="1" t="str">
        <f t="shared" si="58"/>
        <v>5 G</v>
      </c>
      <c r="BC319" s="1">
        <f t="shared" si="57"/>
        <v>497.28</v>
      </c>
      <c r="BD319" s="57" t="s">
        <v>351</v>
      </c>
      <c r="BE319" s="56" t="s">
        <v>331</v>
      </c>
      <c r="BF319" s="56" t="s">
        <v>412</v>
      </c>
      <c r="BG319" s="56" t="s">
        <v>366</v>
      </c>
      <c r="BJ319"/>
      <c r="BK319"/>
      <c r="BM319"/>
    </row>
    <row r="320" spans="22:65" x14ac:dyDescent="0.35">
      <c r="V320" s="1" t="str">
        <v xml:space="preserve"> T-303 FLEWHTE5 G</v>
      </c>
      <c r="X320" s="1" t="str">
        <f t="shared" si="56"/>
        <v xml:space="preserve"> T-301 TOPTIED5 G</v>
      </c>
      <c r="Y320" s="1" t="str" cm="1">
        <f t="array" ref="Y320">IFERROR(VLOOKUP($X320,$AN:AO,COLUMN(AO:AO)-COLUMN($AN:$AN)+1,FALSE),"")</f>
        <v>CRYLAFLOR T-301 TOPCOATTILE RED5 GAL KIT</v>
      </c>
      <c r="Z320" s="63" cm="1">
        <f t="array" ref="Z320">IFERROR(VLOOKUP($X320,$AN:AP,COLUMN(AP:AP)-COLUMN($AN:$AN)+1,FALSE),"")</f>
        <v>329.56</v>
      </c>
      <c r="AA320" s="1" t="str" cm="1">
        <f t="array" ref="AA320">IFERROR(VLOOKUP($X320,$AN:AQ,COLUMN(AQ:AQ)-COLUMN($AN:$AN)+1,FALSE),"")</f>
        <v>5 GAL KIT</v>
      </c>
      <c r="AC320" s="1" t="str" cm="1">
        <f t="array" ref="AC320">IFERROR(VLOOKUP($X320,$AN:AS,COLUMN(AS:AS)-COLUMN($AN:$AN)+1,FALSE),"")</f>
        <v>TILE RED</v>
      </c>
      <c r="AD320" s="1" t="s">
        <v>19</v>
      </c>
      <c r="AF320" s="1">
        <f>Table1[[#This Row],[C:C]]*1.1</f>
        <v>0</v>
      </c>
      <c r="AI320" s="1">
        <f>IFERROR(VLOOKUP(X320,#REF!,8,FALSE),0)</f>
        <v>0</v>
      </c>
      <c r="AN320" s="1" t="str">
        <f>PROD_ID_TABLE[[#This Row],[PROD ID]]</f>
        <v>EXT SMALL CLAR0.2</v>
      </c>
      <c r="AO320" s="1" t="str">
        <f t="shared" si="49"/>
        <v>ACCELERA EXT SMALL 1R:1HCLEAR0.25 GAL</v>
      </c>
      <c r="AP320" s="3">
        <f t="shared" si="50"/>
        <v>53.55</v>
      </c>
      <c r="AQ320" s="1" t="str">
        <f t="shared" si="51"/>
        <v>0.25 GAL</v>
      </c>
      <c r="AS320" s="1" t="str">
        <f t="shared" si="52"/>
        <v>CLEAR</v>
      </c>
      <c r="AT320"/>
      <c r="AU320"/>
      <c r="AV320"/>
      <c r="AY320" t="str">
        <f t="shared" ref="AY320:AY349" si="59">_xlfn.CONCAT(AZ320:BB320)</f>
        <v>EXT SMALL CLAR0.2</v>
      </c>
      <c r="AZ320" s="1" t="str">
        <f t="shared" ref="AZ320:AZ349" si="60">MID(BD320,10,10)</f>
        <v xml:space="preserve">EXT SMALL </v>
      </c>
      <c r="BA320" t="str">
        <f t="shared" ref="BA320:BA349" si="61">LEFT(BE320,2)&amp;RIGHT(BE320,2)</f>
        <v>CLAR</v>
      </c>
      <c r="BB320" s="1" t="str">
        <f t="shared" si="58"/>
        <v>0.2</v>
      </c>
      <c r="BC320" s="1">
        <f t="shared" si="57"/>
        <v>53.55</v>
      </c>
      <c r="BD320" s="1" t="s">
        <v>445</v>
      </c>
      <c r="BE320" s="1" t="s">
        <v>315</v>
      </c>
      <c r="BF320" s="1" t="s">
        <v>454</v>
      </c>
      <c r="BG320" s="1" t="s">
        <v>367</v>
      </c>
      <c r="BJ320"/>
      <c r="BK320"/>
      <c r="BM320"/>
    </row>
    <row r="321" spans="22:65" x14ac:dyDescent="0.35">
      <c r="V321" s="1" t="str">
        <v xml:space="preserve"> T-303 FLESPAL5 G</v>
      </c>
      <c r="X321" s="1" t="str">
        <f t="shared" si="56"/>
        <v xml:space="preserve"> T-301 TOPSMUE5 G</v>
      </c>
      <c r="Y321" s="1" t="str" cm="1">
        <f t="array" ref="Y321">IFERROR(VLOOKUP($X321,$AN:AO,COLUMN(AO:AO)-COLUMN($AN:$AN)+1,FALSE),"")</f>
        <v>CRYLAFLOR T-301 TOPCOATSMOKE BLUE5 GAL KIT</v>
      </c>
      <c r="Z321" s="63" cm="1">
        <f t="array" ref="Z321">IFERROR(VLOOKUP($X321,$AN:AP,COLUMN(AP:AP)-COLUMN($AN:$AN)+1,FALSE),"")</f>
        <v>329.56</v>
      </c>
      <c r="AA321" s="1" t="str" cm="1">
        <f t="array" ref="AA321">IFERROR(VLOOKUP($X321,$AN:AQ,COLUMN(AQ:AQ)-COLUMN($AN:$AN)+1,FALSE),"")</f>
        <v>5 GAL KIT</v>
      </c>
      <c r="AC321" s="1" t="str" cm="1">
        <f t="array" ref="AC321">IFERROR(VLOOKUP($X321,$AN:AS,COLUMN(AS:AS)-COLUMN($AN:$AN)+1,FALSE),"")</f>
        <v>SMOKE BLUE</v>
      </c>
      <c r="AD321" s="1" t="s">
        <v>19</v>
      </c>
      <c r="AF321" s="1">
        <f>Table1[[#This Row],[C:C]]*1.1</f>
        <v>0</v>
      </c>
      <c r="AI321" s="1">
        <f>IFERROR(VLOOKUP(X321,#REF!,8,FALSE),0)</f>
        <v>0</v>
      </c>
      <c r="AN321" s="1" t="str">
        <f>PROD_ID_TABLE[[#This Row],[PROD ID]]</f>
        <v>EXT SMALL CUOM0.2</v>
      </c>
      <c r="AO321" s="1" t="str">
        <f t="shared" si="49"/>
        <v>ACCELERA EXT SMALL 1R:1HCUSTOM0.25 GAL</v>
      </c>
      <c r="AP321" s="3">
        <f t="shared" si="50"/>
        <v>53.55</v>
      </c>
      <c r="AQ321" s="1" t="str">
        <f t="shared" si="51"/>
        <v>0.25 GAL</v>
      </c>
      <c r="AS321" s="1" t="str">
        <f t="shared" si="52"/>
        <v>CUSTOM</v>
      </c>
      <c r="AT321"/>
      <c r="AU321"/>
      <c r="AV321"/>
      <c r="AY321" t="str">
        <f t="shared" si="59"/>
        <v>EXT SMALL CUOM0.2</v>
      </c>
      <c r="AZ321" s="1" t="str">
        <f t="shared" si="60"/>
        <v xml:space="preserve">EXT SMALL </v>
      </c>
      <c r="BA321" t="str">
        <f t="shared" si="61"/>
        <v>CUOM</v>
      </c>
      <c r="BB321" s="1" t="str">
        <f t="shared" si="58"/>
        <v>0.2</v>
      </c>
      <c r="BC321" s="1">
        <f t="shared" si="57"/>
        <v>53.55</v>
      </c>
      <c r="BD321" s="1" t="s">
        <v>445</v>
      </c>
      <c r="BE321" s="1" t="s">
        <v>316</v>
      </c>
      <c r="BF321" s="1" t="s">
        <v>454</v>
      </c>
      <c r="BG321" s="1" t="s">
        <v>367</v>
      </c>
      <c r="BJ321"/>
      <c r="BK321"/>
      <c r="BM321"/>
    </row>
    <row r="322" spans="22:65" x14ac:dyDescent="0.35">
      <c r="V322" s="1" t="str">
        <v xml:space="preserve"> T-303 FLETIED5 G</v>
      </c>
      <c r="X322" s="1" t="str">
        <f t="shared" si="56"/>
        <v xml:space="preserve"> T-303 FLECLAR5 G</v>
      </c>
      <c r="Y322" s="1" t="str" cm="1">
        <f t="array" ref="Y322">IFERROR(VLOOKUP($X322,$AN:AO,COLUMN(AO:AO)-COLUMN($AN:$AN)+1,FALSE),"")</f>
        <v>CRYLAFLOR T-303 FLEXIBLE TOPCOATCLEAR5 GAL KIT</v>
      </c>
      <c r="Z322" s="63" cm="1">
        <f t="array" ref="Z322">IFERROR(VLOOKUP($X322,$AN:AP,COLUMN(AP:AP)-COLUMN($AN:$AN)+1,FALSE),"")</f>
        <v>424.9</v>
      </c>
      <c r="AA322" s="1" t="str" cm="1">
        <f t="array" ref="AA322">IFERROR(VLOOKUP($X322,$AN:AQ,COLUMN(AQ:AQ)-COLUMN($AN:$AN)+1,FALSE),"")</f>
        <v>5 GAL KIT</v>
      </c>
      <c r="AC322" s="1" t="str" cm="1">
        <f t="array" ref="AC322">IFERROR(VLOOKUP($X322,$AN:AS,COLUMN(AS:AS)-COLUMN($AN:$AN)+1,FALSE),"")</f>
        <v>CLEAR</v>
      </c>
      <c r="AD322" s="1" t="s">
        <v>19</v>
      </c>
      <c r="AF322" s="1">
        <f>Table1[[#This Row],[C:C]]*1.1</f>
        <v>0</v>
      </c>
      <c r="AI322" s="1">
        <f>IFERROR(VLOOKUP(X322,#REF!,8,FALSE),0)</f>
        <v>0</v>
      </c>
      <c r="AN322" s="1" t="str">
        <f>PROD_ID_TABLE[[#This Row],[PROD ID]]</f>
        <v>EXT SMALL MEAY0.2</v>
      </c>
      <c r="AO322" s="1" t="str">
        <f t="shared" si="49"/>
        <v>ACCELERA EXT SMALL 1R:1HMEDIUM GRAY0.25 GAL</v>
      </c>
      <c r="AP322" s="3">
        <f t="shared" si="50"/>
        <v>53.55</v>
      </c>
      <c r="AQ322" s="1" t="str">
        <f t="shared" si="51"/>
        <v>0.25 GAL</v>
      </c>
      <c r="AS322" s="1" t="str">
        <f t="shared" si="52"/>
        <v>MEDIUM GRAY</v>
      </c>
      <c r="AT322"/>
      <c r="AU322"/>
      <c r="AV322"/>
      <c r="AY322" t="str">
        <f t="shared" si="59"/>
        <v>EXT SMALL MEAY0.2</v>
      </c>
      <c r="AZ322" s="1" t="str">
        <f t="shared" si="60"/>
        <v xml:space="preserve">EXT SMALL </v>
      </c>
      <c r="BA322" t="str">
        <f t="shared" si="61"/>
        <v>MEAY</v>
      </c>
      <c r="BB322" s="1" t="str">
        <f t="shared" si="58"/>
        <v>0.2</v>
      </c>
      <c r="BC322" s="1">
        <f t="shared" si="57"/>
        <v>53.55</v>
      </c>
      <c r="BD322" s="1" t="s">
        <v>445</v>
      </c>
      <c r="BE322" s="1" t="s">
        <v>333</v>
      </c>
      <c r="BF322" s="1" t="s">
        <v>454</v>
      </c>
      <c r="BG322" s="1" t="s">
        <v>367</v>
      </c>
      <c r="BJ322"/>
      <c r="BK322"/>
      <c r="BM322"/>
    </row>
    <row r="323" spans="22:65" x14ac:dyDescent="0.35">
      <c r="V323" s="1" t="str">
        <v xml:space="preserve"> T-303 FLESMUE5 G</v>
      </c>
      <c r="X323" s="1" t="str">
        <f t="shared" si="56"/>
        <v xml:space="preserve"> T-303 FLEBEGE5 G</v>
      </c>
      <c r="Y323" s="1" t="str" cm="1">
        <f t="array" ref="Y323">IFERROR(VLOOKUP($X323,$AN:AO,COLUMN(AO:AO)-COLUMN($AN:$AN)+1,FALSE),"")</f>
        <v>CRYLAFLOR T-303 FLEXIBLE TOPCOATBEIGE5 GAL KIT</v>
      </c>
      <c r="Z323" s="63" cm="1">
        <f t="array" ref="Z323">IFERROR(VLOOKUP($X323,$AN:AP,COLUMN(AP:AP)-COLUMN($AN:$AN)+1,FALSE),"")</f>
        <v>424.9</v>
      </c>
      <c r="AA323" s="1" t="str" cm="1">
        <f t="array" ref="AA323">IFERROR(VLOOKUP($X323,$AN:AQ,COLUMN(AQ:AQ)-COLUMN($AN:$AN)+1,FALSE),"")</f>
        <v>5 GAL KIT</v>
      </c>
      <c r="AC323" s="1" t="str" cm="1">
        <f t="array" ref="AC323">IFERROR(VLOOKUP($X323,$AN:AS,COLUMN(AS:AS)-COLUMN($AN:$AN)+1,FALSE),"")</f>
        <v>BEIGE</v>
      </c>
      <c r="AD323" s="1" t="s">
        <v>19</v>
      </c>
      <c r="AF323" s="1">
        <f>Table1[[#This Row],[C:C]]*1.1</f>
        <v>0</v>
      </c>
      <c r="AI323" s="1">
        <f>IFERROR(VLOOKUP(X323,#REF!,8,FALSE),0)</f>
        <v>0</v>
      </c>
      <c r="AN323" s="1" t="str">
        <f>PROD_ID_TABLE[[#This Row],[PROD ID]]</f>
        <v>EXT SMALL CAAY0.2</v>
      </c>
      <c r="AO323" s="1" t="str">
        <f t="shared" ref="AO323:AO386" si="62">_xlfn.CONCAT(BD323:BF323)</f>
        <v>ACCELERA EXT SMALL 1R:1HCANADA GRAY0.25 GAL</v>
      </c>
      <c r="AP323" s="3">
        <f t="shared" ref="AP323:AP386" si="63">BC323</f>
        <v>53.55</v>
      </c>
      <c r="AQ323" s="1" t="str">
        <f t="shared" ref="AQ323:AQ386" si="64">BF323</f>
        <v>0.25 GAL</v>
      </c>
      <c r="AS323" s="1" t="str">
        <f t="shared" ref="AS323:AS386" si="65">BE323</f>
        <v>CANADA GRAY</v>
      </c>
      <c r="AT323"/>
      <c r="AU323"/>
      <c r="AV323"/>
      <c r="AY323" t="str">
        <f t="shared" si="59"/>
        <v>EXT SMALL CAAY0.2</v>
      </c>
      <c r="AZ323" s="1" t="str">
        <f t="shared" si="60"/>
        <v xml:space="preserve">EXT SMALL </v>
      </c>
      <c r="BA323" t="str">
        <f t="shared" si="61"/>
        <v>CAAY</v>
      </c>
      <c r="BB323" s="1" t="str">
        <f t="shared" si="58"/>
        <v>0.2</v>
      </c>
      <c r="BC323" s="1">
        <f t="shared" si="57"/>
        <v>53.55</v>
      </c>
      <c r="BD323" s="1" t="s">
        <v>445</v>
      </c>
      <c r="BE323" s="1" t="s">
        <v>332</v>
      </c>
      <c r="BF323" s="1" t="s">
        <v>454</v>
      </c>
      <c r="BG323" s="1" t="s">
        <v>367</v>
      </c>
      <c r="BJ323"/>
      <c r="BK323"/>
      <c r="BM323"/>
    </row>
    <row r="324" spans="22:65" x14ac:dyDescent="0.35">
      <c r="V324" s="1" t="str">
        <v xml:space="preserve"> COVECLAR1 G</v>
      </c>
      <c r="X324" s="1" t="str">
        <f t="shared" si="56"/>
        <v xml:space="preserve"> T-303 FLEBROW5 G</v>
      </c>
      <c r="Y324" s="1" t="str" cm="1">
        <f t="array" ref="Y324">IFERROR(VLOOKUP($X324,$AN:AO,COLUMN(AO:AO)-COLUMN($AN:$AN)+1,FALSE),"")</f>
        <v>CRYLAFLOR T-303 FLEXIBLE TOPCOATBRIGHT YELLOW5 GAL KIT</v>
      </c>
      <c r="Z324" s="63" cm="1">
        <f t="array" ref="Z324">IFERROR(VLOOKUP($X324,$AN:AP,COLUMN(AP:AP)-COLUMN($AN:$AN)+1,FALSE),"")</f>
        <v>424.9</v>
      </c>
      <c r="AA324" s="1" t="str" cm="1">
        <f t="array" ref="AA324">IFERROR(VLOOKUP($X324,$AN:AQ,COLUMN(AQ:AQ)-COLUMN($AN:$AN)+1,FALSE),"")</f>
        <v>5 GAL KIT</v>
      </c>
      <c r="AC324" s="1" t="str" cm="1">
        <f t="array" ref="AC324">IFERROR(VLOOKUP($X324,$AN:AS,COLUMN(AS:AS)-COLUMN($AN:$AN)+1,FALSE),"")</f>
        <v>BRIGHT YELLOW</v>
      </c>
      <c r="AD324" s="1" t="s">
        <v>19</v>
      </c>
      <c r="AF324" s="1">
        <f>Table1[[#This Row],[C:C]]*1.1</f>
        <v>0</v>
      </c>
      <c r="AI324" s="1">
        <f>IFERROR(VLOOKUP(X324,#REF!,8,FALSE),0)</f>
        <v>0</v>
      </c>
      <c r="AN324" s="1" t="str">
        <f>PROD_ID_TABLE[[#This Row],[PROD ID]]</f>
        <v>EXT SMALL CHAL0.2</v>
      </c>
      <c r="AO324" s="1" t="str">
        <f t="shared" si="62"/>
        <v>ACCELERA EXT SMALL 1R:1HCHARCOAL0.25 GAL</v>
      </c>
      <c r="AP324" s="3">
        <f t="shared" si="63"/>
        <v>53.55</v>
      </c>
      <c r="AQ324" s="1" t="str">
        <f t="shared" si="64"/>
        <v>0.25 GAL</v>
      </c>
      <c r="AS324" s="1" t="str">
        <f t="shared" si="65"/>
        <v>CHARCOAL</v>
      </c>
      <c r="AT324"/>
      <c r="AU324"/>
      <c r="AV324"/>
      <c r="AY324" t="str">
        <f t="shared" si="59"/>
        <v>EXT SMALL CHAL0.2</v>
      </c>
      <c r="AZ324" s="1" t="str">
        <f t="shared" si="60"/>
        <v xml:space="preserve">EXT SMALL </v>
      </c>
      <c r="BA324" t="str">
        <f t="shared" si="61"/>
        <v>CHAL</v>
      </c>
      <c r="BB324" s="1" t="str">
        <f t="shared" si="58"/>
        <v>0.2</v>
      </c>
      <c r="BC324" s="1">
        <f t="shared" si="57"/>
        <v>53.55</v>
      </c>
      <c r="BD324" s="1" t="s">
        <v>445</v>
      </c>
      <c r="BE324" s="1" t="s">
        <v>318</v>
      </c>
      <c r="BF324" s="1" t="s">
        <v>454</v>
      </c>
      <c r="BG324" s="1" t="s">
        <v>367</v>
      </c>
      <c r="BJ324"/>
      <c r="BK324"/>
      <c r="BM324"/>
    </row>
    <row r="325" spans="22:65" x14ac:dyDescent="0.35">
      <c r="V325" s="1" t="str">
        <v xml:space="preserve"> COVECOAY1 G</v>
      </c>
      <c r="X325" s="1" t="str">
        <f t="shared" si="56"/>
        <v xml:space="preserve"> T-303 FLECOAY5 G</v>
      </c>
      <c r="Y325" s="1" t="str" cm="1">
        <f t="array" ref="Y325">IFERROR(VLOOKUP($X325,$AN:AO,COLUMN(AO:AO)-COLUMN($AN:$AN)+1,FALSE),"")</f>
        <v>CRYLAFLOR T-303 FLEXIBLE TOPCOATCONCRETE GRAY5 GAL KIT</v>
      </c>
      <c r="Z325" s="63" cm="1">
        <f t="array" ref="Z325">IFERROR(VLOOKUP($X325,$AN:AP,COLUMN(AP:AP)-COLUMN($AN:$AN)+1,FALSE),"")</f>
        <v>424.9</v>
      </c>
      <c r="AA325" s="1" t="str" cm="1">
        <f t="array" ref="AA325">IFERROR(VLOOKUP($X325,$AN:AQ,COLUMN(AQ:AQ)-COLUMN($AN:$AN)+1,FALSE),"")</f>
        <v>5 GAL KIT</v>
      </c>
      <c r="AC325" s="1" t="str" cm="1">
        <f t="array" ref="AC325">IFERROR(VLOOKUP($X325,$AN:AS,COLUMN(AS:AS)-COLUMN($AN:$AN)+1,FALSE),"")</f>
        <v>CONCRETE GRAY</v>
      </c>
      <c r="AD325" s="1" t="s">
        <v>19</v>
      </c>
      <c r="AF325" s="1">
        <f>Table1[[#This Row],[C:C]]*1.1</f>
        <v>0</v>
      </c>
      <c r="AI325" s="1">
        <f>IFERROR(VLOOKUP(X325,#REF!,8,FALSE),0)</f>
        <v>0</v>
      </c>
      <c r="AN325" s="1" t="str">
        <f>PROD_ID_TABLE[[#This Row],[PROD ID]]</f>
        <v>EXT SMALL STAY0.2</v>
      </c>
      <c r="AO325" s="1" t="str">
        <f t="shared" si="62"/>
        <v>ACCELERA EXT SMALL 1R:1HSTEEL GRAY0.25 GAL</v>
      </c>
      <c r="AP325" s="3">
        <f t="shared" si="63"/>
        <v>53.55</v>
      </c>
      <c r="AQ325" s="1" t="str">
        <f t="shared" si="64"/>
        <v>0.25 GAL</v>
      </c>
      <c r="AS325" s="1" t="str">
        <f t="shared" si="65"/>
        <v>STEEL GRAY</v>
      </c>
      <c r="AT325"/>
      <c r="AU325"/>
      <c r="AV325"/>
      <c r="AY325" t="str">
        <f t="shared" si="59"/>
        <v>EXT SMALL STAY0.2</v>
      </c>
      <c r="AZ325" s="1" t="str">
        <f t="shared" si="60"/>
        <v xml:space="preserve">EXT SMALL </v>
      </c>
      <c r="BA325" t="str">
        <f t="shared" si="61"/>
        <v>STAY</v>
      </c>
      <c r="BB325" s="1" t="str">
        <f t="shared" si="58"/>
        <v>0.2</v>
      </c>
      <c r="BC325" s="1">
        <f t="shared" si="57"/>
        <v>53.55</v>
      </c>
      <c r="BD325" s="1" t="s">
        <v>445</v>
      </c>
      <c r="BE325" s="1" t="s">
        <v>319</v>
      </c>
      <c r="BF325" s="1" t="s">
        <v>454</v>
      </c>
      <c r="BG325" s="1" t="s">
        <v>367</v>
      </c>
      <c r="BJ325"/>
      <c r="BK325"/>
      <c r="BM325"/>
    </row>
    <row r="326" spans="22:65" x14ac:dyDescent="0.35">
      <c r="V326" s="1" t="str">
        <v xml:space="preserve"> COVEMEAY1 G</v>
      </c>
      <c r="X326" s="1" t="str">
        <f t="shared" si="56"/>
        <v xml:space="preserve"> T-303 FLECHAY5 G</v>
      </c>
      <c r="Y326" s="1" t="str" cm="1">
        <f t="array" ref="Y326">IFERROR(VLOOKUP($X326,$AN:AO,COLUMN(AO:AO)-COLUMN($AN:$AN)+1,FALSE),"")</f>
        <v>CRYLAFLOR T-303 FLEXIBLE TOPCOATCHARCOAL GRAY5 GAL KIT</v>
      </c>
      <c r="Z326" s="63" cm="1">
        <f t="array" ref="Z326">IFERROR(VLOOKUP($X326,$AN:AP,COLUMN(AP:AP)-COLUMN($AN:$AN)+1,FALSE),"")</f>
        <v>424.9</v>
      </c>
      <c r="AA326" s="1" t="str" cm="1">
        <f t="array" ref="AA326">IFERROR(VLOOKUP($X326,$AN:AQ,COLUMN(AQ:AQ)-COLUMN($AN:$AN)+1,FALSE),"")</f>
        <v>5 GAL KIT</v>
      </c>
      <c r="AC326" s="1" t="str" cm="1">
        <f t="array" ref="AC326">IFERROR(VLOOKUP($X326,$AN:AS,COLUMN(AS:AS)-COLUMN($AN:$AN)+1,FALSE),"")</f>
        <v>CHARCOAL GRAY</v>
      </c>
      <c r="AD326" s="1" t="s">
        <v>19</v>
      </c>
      <c r="AF326" s="1">
        <f>Table1[[#This Row],[C:C]]*1.1</f>
        <v>0</v>
      </c>
      <c r="AI326" s="1">
        <f>IFERROR(VLOOKUP(X326,#REF!,8,FALSE),0)</f>
        <v>0</v>
      </c>
      <c r="AN326" s="1" t="str">
        <f>PROD_ID_TABLE[[#This Row],[PROD ID]]</f>
        <v>EXT SMALL BOTE0.2</v>
      </c>
      <c r="AO326" s="1" t="str">
        <f t="shared" si="62"/>
        <v>ACCELERA EXT SMALL 1R:1HBONE WHITE0.25 GAL</v>
      </c>
      <c r="AP326" s="3">
        <f t="shared" si="63"/>
        <v>53.55</v>
      </c>
      <c r="AQ326" s="1" t="str">
        <f t="shared" si="64"/>
        <v>0.25 GAL</v>
      </c>
      <c r="AS326" s="1" t="str">
        <f t="shared" si="65"/>
        <v>BONE WHITE</v>
      </c>
      <c r="AT326"/>
      <c r="AU326"/>
      <c r="AV326"/>
      <c r="AY326" t="str">
        <f t="shared" si="59"/>
        <v>EXT SMALL BOTE0.2</v>
      </c>
      <c r="AZ326" s="1" t="str">
        <f t="shared" si="60"/>
        <v xml:space="preserve">EXT SMALL </v>
      </c>
      <c r="BA326" t="str">
        <f t="shared" si="61"/>
        <v>BOTE</v>
      </c>
      <c r="BB326" s="1" t="str">
        <f t="shared" si="58"/>
        <v>0.2</v>
      </c>
      <c r="BC326" s="1">
        <f t="shared" si="57"/>
        <v>53.55</v>
      </c>
      <c r="BD326" s="1" t="s">
        <v>445</v>
      </c>
      <c r="BE326" s="1" t="s">
        <v>320</v>
      </c>
      <c r="BF326" s="1" t="s">
        <v>454</v>
      </c>
      <c r="BG326" s="1" t="s">
        <v>367</v>
      </c>
      <c r="BJ326"/>
      <c r="BK326"/>
      <c r="BM326"/>
    </row>
    <row r="327" spans="22:65" x14ac:dyDescent="0.35">
      <c r="V327" s="1" t="str">
        <v xml:space="preserve"> COVESLAY1 G</v>
      </c>
      <c r="X327" s="1" t="str">
        <f t="shared" si="56"/>
        <v xml:space="preserve"> T-303 FLELIAY5 G</v>
      </c>
      <c r="Y327" s="1" t="str" cm="1">
        <f t="array" ref="Y327">IFERROR(VLOOKUP($X327,$AN:AO,COLUMN(AO:AO)-COLUMN($AN:$AN)+1,FALSE),"")</f>
        <v>CRYLAFLOR T-303 FLEXIBLE TOPCOATLIGHT GRAY5 GAL KIT</v>
      </c>
      <c r="Z327" s="63" cm="1">
        <f t="array" ref="Z327">IFERROR(VLOOKUP($X327,$AN:AP,COLUMN(AP:AP)-COLUMN($AN:$AN)+1,FALSE),"")</f>
        <v>424.9</v>
      </c>
      <c r="AA327" s="1" t="str" cm="1">
        <f t="array" ref="AA327">IFERROR(VLOOKUP($X327,$AN:AQ,COLUMN(AQ:AQ)-COLUMN($AN:$AN)+1,FALSE),"")</f>
        <v>5 GAL KIT</v>
      </c>
      <c r="AC327" s="1" t="str" cm="1">
        <f t="array" ref="AC327">IFERROR(VLOOKUP($X327,$AN:AS,COLUMN(AS:AS)-COLUMN($AN:$AN)+1,FALSE),"")</f>
        <v>LIGHT GRAY</v>
      </c>
      <c r="AD327" s="1" t="s">
        <v>19</v>
      </c>
      <c r="AF327" s="1">
        <f>Table1[[#This Row],[C:C]]*1.1</f>
        <v>0</v>
      </c>
      <c r="AI327" s="1">
        <f>IFERROR(VLOOKUP(X327,#REF!,8,FALSE),0)</f>
        <v>0</v>
      </c>
      <c r="AN327" s="1" t="str">
        <f>PROD_ID_TABLE[[#This Row],[PROD ID]]</f>
        <v>EXT SMALL SIAY0.2</v>
      </c>
      <c r="AO327" s="1" t="str">
        <f t="shared" si="62"/>
        <v>ACCELERA EXT SMALL 1R:1HSILVER GRAY0.25 GAL</v>
      </c>
      <c r="AP327" s="3">
        <f t="shared" si="63"/>
        <v>53.55</v>
      </c>
      <c r="AQ327" s="1" t="str">
        <f t="shared" si="64"/>
        <v>0.25 GAL</v>
      </c>
      <c r="AS327" s="1" t="str">
        <f t="shared" si="65"/>
        <v>SILVER GRAY</v>
      </c>
      <c r="AT327"/>
      <c r="AU327"/>
      <c r="AV327"/>
      <c r="AY327" t="str">
        <f t="shared" si="59"/>
        <v>EXT SMALL SIAY0.2</v>
      </c>
      <c r="AZ327" s="1" t="str">
        <f t="shared" si="60"/>
        <v xml:space="preserve">EXT SMALL </v>
      </c>
      <c r="BA327" t="str">
        <f t="shared" si="61"/>
        <v>SIAY</v>
      </c>
      <c r="BB327" s="1" t="str">
        <f t="shared" si="58"/>
        <v>0.2</v>
      </c>
      <c r="BC327" s="1">
        <f t="shared" si="57"/>
        <v>53.55</v>
      </c>
      <c r="BD327" s="1" t="s">
        <v>445</v>
      </c>
      <c r="BE327" s="1" t="s">
        <v>321</v>
      </c>
      <c r="BF327" s="1" t="s">
        <v>454</v>
      </c>
      <c r="BG327" s="1" t="s">
        <v>367</v>
      </c>
      <c r="BJ327"/>
      <c r="BK327"/>
      <c r="BM327"/>
    </row>
    <row r="328" spans="22:65" x14ac:dyDescent="0.35">
      <c r="V328" s="1" t="str">
        <v xml:space="preserve"> COVESPAL1 G</v>
      </c>
      <c r="X328" s="1" t="str">
        <f t="shared" si="56"/>
        <v xml:space="preserve"> T-303 FLEMEAY5 G</v>
      </c>
      <c r="Y328" s="1" t="str" cm="1">
        <f t="array" ref="Y328">IFERROR(VLOOKUP($X328,$AN:AO,COLUMN(AO:AO)-COLUMN($AN:$AN)+1,FALSE),"")</f>
        <v>CRYLAFLOR T-303 FLEXIBLE TOPCOATMED. GRAY5 GAL KIT</v>
      </c>
      <c r="Z328" s="63" cm="1">
        <f t="array" ref="Z328">IFERROR(VLOOKUP($X328,$AN:AP,COLUMN(AP:AP)-COLUMN($AN:$AN)+1,FALSE),"")</f>
        <v>424.9</v>
      </c>
      <c r="AA328" s="1" t="str" cm="1">
        <f t="array" ref="AA328">IFERROR(VLOOKUP($X328,$AN:AQ,COLUMN(AQ:AQ)-COLUMN($AN:$AN)+1,FALSE),"")</f>
        <v>5 GAL KIT</v>
      </c>
      <c r="AC328" s="1" t="str" cm="1">
        <f t="array" ref="AC328">IFERROR(VLOOKUP($X328,$AN:AS,COLUMN(AS:AS)-COLUMN($AN:$AN)+1,FALSE),"")</f>
        <v>MED. GRAY</v>
      </c>
      <c r="AD328" s="1" t="s">
        <v>19</v>
      </c>
      <c r="AF328" s="1">
        <f>Table1[[#This Row],[C:C]]*1.1</f>
        <v>0</v>
      </c>
      <c r="AI328" s="1">
        <f>IFERROR(VLOOKUP(X328,#REF!,8,FALSE),0)</f>
        <v>0</v>
      </c>
      <c r="AN328" s="1" t="str">
        <f>PROD_ID_TABLE[[#This Row],[PROD ID]]</f>
        <v>EXT SMALL WHTE0.2</v>
      </c>
      <c r="AO328" s="1" t="str">
        <f t="shared" si="62"/>
        <v>ACCELERA EXT SMALL 1R:1HWHITE0.25 GAL</v>
      </c>
      <c r="AP328" s="3">
        <f t="shared" si="63"/>
        <v>53.55</v>
      </c>
      <c r="AQ328" s="1" t="str">
        <f t="shared" si="64"/>
        <v>0.25 GAL</v>
      </c>
      <c r="AS328" s="1" t="str">
        <f t="shared" si="65"/>
        <v>WHITE</v>
      </c>
      <c r="AT328"/>
      <c r="AU328"/>
      <c r="AV328"/>
      <c r="AY328" t="str">
        <f t="shared" si="59"/>
        <v>EXT SMALL WHTE0.2</v>
      </c>
      <c r="AZ328" s="1" t="str">
        <f t="shared" si="60"/>
        <v xml:space="preserve">EXT SMALL </v>
      </c>
      <c r="BA328" t="str">
        <f t="shared" si="61"/>
        <v>WHTE</v>
      </c>
      <c r="BB328" s="1" t="str">
        <f t="shared" si="58"/>
        <v>0.2</v>
      </c>
      <c r="BC328" s="1">
        <f t="shared" si="57"/>
        <v>53.55</v>
      </c>
      <c r="BD328" s="1" t="s">
        <v>445</v>
      </c>
      <c r="BE328" s="1" t="s">
        <v>322</v>
      </c>
      <c r="BF328" s="1" t="s">
        <v>454</v>
      </c>
      <c r="BG328" s="1" t="s">
        <v>367</v>
      </c>
      <c r="BJ328"/>
      <c r="BK328"/>
      <c r="BM328"/>
    </row>
    <row r="329" spans="22:65" x14ac:dyDescent="0.35">
      <c r="V329" s="1" t="str">
        <v xml:space="preserve"> COVEWHTE1 G</v>
      </c>
      <c r="X329" s="1" t="str">
        <f t="shared" si="56"/>
        <v xml:space="preserve"> T-303 FLESLAY5 G</v>
      </c>
      <c r="Y329" s="1" t="str" cm="1">
        <f t="array" ref="Y329">IFERROR(VLOOKUP($X329,$AN:AO,COLUMN(AO:AO)-COLUMN($AN:$AN)+1,FALSE),"")</f>
        <v>CRYLAFLOR T-303 FLEXIBLE TOPCOATSLATE GRAY5 GAL KIT</v>
      </c>
      <c r="Z329" s="63" cm="1">
        <f t="array" ref="Z329">IFERROR(VLOOKUP($X329,$AN:AP,COLUMN(AP:AP)-COLUMN($AN:$AN)+1,FALSE),"")</f>
        <v>424.9</v>
      </c>
      <c r="AA329" s="1" t="str" cm="1">
        <f t="array" ref="AA329">IFERROR(VLOOKUP($X329,$AN:AQ,COLUMN(AQ:AQ)-COLUMN($AN:$AN)+1,FALSE),"")</f>
        <v>5 GAL KIT</v>
      </c>
      <c r="AC329" s="1" t="str" cm="1">
        <f t="array" ref="AC329">IFERROR(VLOOKUP($X329,$AN:AS,COLUMN(AS:AS)-COLUMN($AN:$AN)+1,FALSE),"")</f>
        <v>SLATE GRAY</v>
      </c>
      <c r="AD329" s="1" t="s">
        <v>19</v>
      </c>
      <c r="AF329" s="1">
        <f>Table1[[#This Row],[C:C]]*1.1</f>
        <v>0</v>
      </c>
      <c r="AI329" s="1">
        <f>IFERROR(VLOOKUP(X329,#REF!,8,FALSE),0)</f>
        <v>0</v>
      </c>
      <c r="AN329" s="1" t="str">
        <f>PROD_ID_TABLE[[#This Row],[PROD ID]]</f>
        <v>EXT SMALL BLCK0.2</v>
      </c>
      <c r="AO329" s="1" t="str">
        <f t="shared" si="62"/>
        <v>ACCELERA EXT SMALL 1R:1HBLACK0.25 GAL</v>
      </c>
      <c r="AP329" s="3">
        <f t="shared" si="63"/>
        <v>53.55</v>
      </c>
      <c r="AQ329" s="1" t="str">
        <f t="shared" si="64"/>
        <v>0.25 GAL</v>
      </c>
      <c r="AS329" s="1" t="str">
        <f t="shared" si="65"/>
        <v>BLACK</v>
      </c>
      <c r="AT329"/>
      <c r="AU329"/>
      <c r="AV329"/>
      <c r="AY329" t="str">
        <f t="shared" si="59"/>
        <v>EXT SMALL BLCK0.2</v>
      </c>
      <c r="AZ329" s="1" t="str">
        <f t="shared" si="60"/>
        <v xml:space="preserve">EXT SMALL </v>
      </c>
      <c r="BA329" t="str">
        <f t="shared" si="61"/>
        <v>BLCK</v>
      </c>
      <c r="BB329" s="1" t="str">
        <f t="shared" si="58"/>
        <v>0.2</v>
      </c>
      <c r="BC329" s="1">
        <f t="shared" si="57"/>
        <v>53.55</v>
      </c>
      <c r="BD329" s="1" t="s">
        <v>445</v>
      </c>
      <c r="BE329" s="1" t="s">
        <v>323</v>
      </c>
      <c r="BF329" s="1" t="s">
        <v>454</v>
      </c>
      <c r="BG329" s="1" t="s">
        <v>367</v>
      </c>
      <c r="BJ329"/>
      <c r="BK329"/>
      <c r="BM329"/>
    </row>
    <row r="330" spans="22:65" x14ac:dyDescent="0.35">
      <c r="V330" s="1" t="str">
        <v xml:space="preserve"> CURE (BPON//A5 L</v>
      </c>
      <c r="X330" s="1" t="str">
        <f t="shared" si="56"/>
        <v xml:space="preserve"> T-303 FLEBLCK5 G</v>
      </c>
      <c r="Y330" s="1" t="str" cm="1">
        <f t="array" ref="Y330">IFERROR(VLOOKUP($X330,$AN:AO,COLUMN(AO:AO)-COLUMN($AN:$AN)+1,FALSE),"")</f>
        <v>CRYLAFLOR T-303 FLEXIBLE TOPCOATBLACK5 GAL KIT</v>
      </c>
      <c r="Z330" s="63" cm="1">
        <f t="array" ref="Z330">IFERROR(VLOOKUP($X330,$AN:AP,COLUMN(AP:AP)-COLUMN($AN:$AN)+1,FALSE),"")</f>
        <v>424.9</v>
      </c>
      <c r="AA330" s="1" t="str" cm="1">
        <f t="array" ref="AA330">IFERROR(VLOOKUP($X330,$AN:AQ,COLUMN(AQ:AQ)-COLUMN($AN:$AN)+1,FALSE),"")</f>
        <v>5 GAL KIT</v>
      </c>
      <c r="AC330" s="1" t="str" cm="1">
        <f t="array" ref="AC330">IFERROR(VLOOKUP($X330,$AN:AS,COLUMN(AS:AS)-COLUMN($AN:$AN)+1,FALSE),"")</f>
        <v>BLACK</v>
      </c>
      <c r="AD330" s="1" t="s">
        <v>19</v>
      </c>
      <c r="AF330" s="1">
        <f>Table1[[#This Row],[C:C]]*1.1</f>
        <v>0</v>
      </c>
      <c r="AI330" s="1">
        <f>IFERROR(VLOOKUP(X330,#REF!,8,FALSE),0)</f>
        <v>0</v>
      </c>
      <c r="AN330" s="1" t="str">
        <f>PROD_ID_TABLE[[#This Row],[PROD ID]]</f>
        <v>EXT SMALL PANT0.2</v>
      </c>
      <c r="AO330" s="1" t="str">
        <f t="shared" si="62"/>
        <v>ACCELERA EXT SMALL 1R:1HPARCHMENT0.25 GAL</v>
      </c>
      <c r="AP330" s="3">
        <f t="shared" si="63"/>
        <v>53.55</v>
      </c>
      <c r="AQ330" s="1" t="str">
        <f t="shared" si="64"/>
        <v>0.25 GAL</v>
      </c>
      <c r="AS330" s="1" t="str">
        <f t="shared" si="65"/>
        <v>PARCHMENT</v>
      </c>
      <c r="AT330"/>
      <c r="AU330"/>
      <c r="AV330"/>
      <c r="AY330" t="str">
        <f t="shared" si="59"/>
        <v>EXT SMALL PANT0.2</v>
      </c>
      <c r="AZ330" s="1" t="str">
        <f t="shared" si="60"/>
        <v xml:space="preserve">EXT SMALL </v>
      </c>
      <c r="BA330" t="str">
        <f t="shared" si="61"/>
        <v>PANT</v>
      </c>
      <c r="BB330" s="1" t="str">
        <f t="shared" si="58"/>
        <v>0.2</v>
      </c>
      <c r="BC330" s="1">
        <f t="shared" si="57"/>
        <v>53.55</v>
      </c>
      <c r="BD330" s="1" t="s">
        <v>445</v>
      </c>
      <c r="BE330" s="1" t="s">
        <v>324</v>
      </c>
      <c r="BF330" s="1" t="s">
        <v>454</v>
      </c>
      <c r="BG330" s="1" t="s">
        <v>367</v>
      </c>
      <c r="BJ330"/>
      <c r="BK330"/>
      <c r="BM330"/>
    </row>
    <row r="331" spans="22:65" x14ac:dyDescent="0.35">
      <c r="V331" s="1" t="str">
        <v xml:space="preserve"> COLOR - BBEGEKIT</v>
      </c>
      <c r="X331" s="1" t="str">
        <f t="shared" si="56"/>
        <v xml:space="preserve"> T-303 FLEGREN5 G</v>
      </c>
      <c r="Y331" s="1" t="str" cm="1">
        <f t="array" ref="Y331">IFERROR(VLOOKUP($X331,$AN:AO,COLUMN(AO:AO)-COLUMN($AN:$AN)+1,FALSE),"")</f>
        <v>CRYLAFLOR T-303 FLEXIBLE TOPCOATGREEN5 GAL KIT</v>
      </c>
      <c r="Z331" s="63" cm="1">
        <f t="array" ref="Z331">IFERROR(VLOOKUP($X331,$AN:AP,COLUMN(AP:AP)-COLUMN($AN:$AN)+1,FALSE),"")</f>
        <v>424.9</v>
      </c>
      <c r="AA331" s="1" t="str" cm="1">
        <f t="array" ref="AA331">IFERROR(VLOOKUP($X331,$AN:AQ,COLUMN(AQ:AQ)-COLUMN($AN:$AN)+1,FALSE),"")</f>
        <v>5 GAL KIT</v>
      </c>
      <c r="AC331" s="1" t="str" cm="1">
        <f t="array" ref="AC331">IFERROR(VLOOKUP($X331,$AN:AS,COLUMN(AS:AS)-COLUMN($AN:$AN)+1,FALSE),"")</f>
        <v>GREEN</v>
      </c>
      <c r="AD331" s="1" t="s">
        <v>19</v>
      </c>
      <c r="AF331" s="1">
        <f>Table1[[#This Row],[C:C]]*1.1</f>
        <v>0</v>
      </c>
      <c r="AI331" s="1">
        <f>IFERROR(VLOOKUP(X331,#REF!,8,FALSE),0)</f>
        <v>0</v>
      </c>
      <c r="AN331" s="1" t="str">
        <f>PROD_ID_TABLE[[#This Row],[PROD ID]]</f>
        <v>EXT SMALL SAED0.2</v>
      </c>
      <c r="AO331" s="1" t="str">
        <f t="shared" si="62"/>
        <v>ACCELERA EXT SMALL 1R:1HSAFETY RED0.25 GAL</v>
      </c>
      <c r="AP331" s="3">
        <f t="shared" si="63"/>
        <v>53.55</v>
      </c>
      <c r="AQ331" s="1" t="str">
        <f t="shared" si="64"/>
        <v>0.25 GAL</v>
      </c>
      <c r="AS331" s="1" t="str">
        <f t="shared" si="65"/>
        <v>SAFETY RED</v>
      </c>
      <c r="AT331"/>
      <c r="AU331"/>
      <c r="AV331"/>
      <c r="AY331" t="str">
        <f t="shared" si="59"/>
        <v>EXT SMALL SAED0.2</v>
      </c>
      <c r="AZ331" s="1" t="str">
        <f t="shared" si="60"/>
        <v xml:space="preserve">EXT SMALL </v>
      </c>
      <c r="BA331" t="str">
        <f t="shared" si="61"/>
        <v>SAED</v>
      </c>
      <c r="BB331" s="1" t="str">
        <f t="shared" si="58"/>
        <v>0.2</v>
      </c>
      <c r="BC331" s="1">
        <f t="shared" si="57"/>
        <v>53.55</v>
      </c>
      <c r="BD331" s="1" t="s">
        <v>445</v>
      </c>
      <c r="BE331" s="1" t="s">
        <v>325</v>
      </c>
      <c r="BF331" s="1" t="s">
        <v>454</v>
      </c>
      <c r="BG331" s="1" t="s">
        <v>367</v>
      </c>
      <c r="BJ331"/>
      <c r="BK331"/>
      <c r="BM331"/>
    </row>
    <row r="332" spans="22:65" x14ac:dyDescent="0.35">
      <c r="V332" s="1" t="str">
        <v xml:space="preserve"> COLOR - BBLCKKIT</v>
      </c>
      <c r="X332" s="1" t="str">
        <f t="shared" si="56"/>
        <v xml:space="preserve"> T-303 FLEWHTE5 G</v>
      </c>
      <c r="Y332" s="1" t="str" cm="1">
        <f t="array" ref="Y332">IFERROR(VLOOKUP($X332,$AN:AO,COLUMN(AO:AO)-COLUMN($AN:$AN)+1,FALSE),"")</f>
        <v>CRYLAFLOR T-303 FLEXIBLE TOPCOATWHITE5 GAL KIT</v>
      </c>
      <c r="Z332" s="63" cm="1">
        <f t="array" ref="Z332">IFERROR(VLOOKUP($X332,$AN:AP,COLUMN(AP:AP)-COLUMN($AN:$AN)+1,FALSE),"")</f>
        <v>424.9</v>
      </c>
      <c r="AA332" s="1" t="str" cm="1">
        <f t="array" ref="AA332">IFERROR(VLOOKUP($X332,$AN:AQ,COLUMN(AQ:AQ)-COLUMN($AN:$AN)+1,FALSE),"")</f>
        <v>5 GAL KIT</v>
      </c>
      <c r="AC332" s="1" t="str" cm="1">
        <f t="array" ref="AC332">IFERROR(VLOOKUP($X332,$AN:AS,COLUMN(AS:AS)-COLUMN($AN:$AN)+1,FALSE),"")</f>
        <v>WHITE</v>
      </c>
      <c r="AD332" s="1" t="s">
        <v>19</v>
      </c>
      <c r="AF332" s="1">
        <f>Table1[[#This Row],[C:C]]*1.1</f>
        <v>0</v>
      </c>
      <c r="AI332" s="1">
        <f>IFERROR(VLOOKUP(X332,#REF!,8,FALSE),0)</f>
        <v>0</v>
      </c>
      <c r="AN332" s="1" t="str">
        <f>PROD_ID_TABLE[[#This Row],[PROD ID]]</f>
        <v>EXT SMALL SAOW0.2</v>
      </c>
      <c r="AO332" s="1" t="str">
        <f t="shared" si="62"/>
        <v>ACCELERA EXT SMALL 1R:1HSAFETY YELLOW0.25 GAL</v>
      </c>
      <c r="AP332" s="3">
        <f t="shared" si="63"/>
        <v>53.55</v>
      </c>
      <c r="AQ332" s="1" t="str">
        <f t="shared" si="64"/>
        <v>0.25 GAL</v>
      </c>
      <c r="AS332" s="1" t="str">
        <f t="shared" si="65"/>
        <v>SAFETY YELLOW</v>
      </c>
      <c r="AT332"/>
      <c r="AU332"/>
      <c r="AV332"/>
      <c r="AY332" t="str">
        <f t="shared" si="59"/>
        <v>EXT SMALL SAOW0.2</v>
      </c>
      <c r="AZ332" s="1" t="str">
        <f t="shared" si="60"/>
        <v xml:space="preserve">EXT SMALL </v>
      </c>
      <c r="BA332" t="str">
        <f t="shared" si="61"/>
        <v>SAOW</v>
      </c>
      <c r="BB332" s="1" t="str">
        <f t="shared" si="58"/>
        <v>0.2</v>
      </c>
      <c r="BC332" s="1">
        <f t="shared" si="57"/>
        <v>53.55</v>
      </c>
      <c r="BD332" s="1" t="s">
        <v>445</v>
      </c>
      <c r="BE332" s="1" t="s">
        <v>326</v>
      </c>
      <c r="BF332" s="1" t="s">
        <v>454</v>
      </c>
      <c r="BG332" s="1" t="s">
        <v>367</v>
      </c>
      <c r="BJ332"/>
      <c r="BK332"/>
      <c r="BM332"/>
    </row>
    <row r="333" spans="22:65" x14ac:dyDescent="0.35">
      <c r="V333" s="1" t="str">
        <v xml:space="preserve"> COLOR - BGRAYKIT</v>
      </c>
      <c r="X333" s="1" t="str">
        <f t="shared" ref="X333:X396" si="66">V321</f>
        <v xml:space="preserve"> T-303 FLESPAL5 G</v>
      </c>
      <c r="Y333" s="1" t="str" cm="1">
        <f t="array" ref="Y333">IFERROR(VLOOKUP($X333,$AN:AO,COLUMN(AO:AO)-COLUMN($AN:$AN)+1,FALSE),"")</f>
        <v>CRYLAFLOR T-303 FLEXIBLE TOPCOATSPECIAL5 GAL KIT</v>
      </c>
      <c r="Z333" s="63" cm="1">
        <f t="array" ref="Z333">IFERROR(VLOOKUP($X333,$AN:AP,COLUMN(AP:AP)-COLUMN($AN:$AN)+1,FALSE),"")</f>
        <v>424.9</v>
      </c>
      <c r="AA333" s="1" t="str" cm="1">
        <f t="array" ref="AA333">IFERROR(VLOOKUP($X333,$AN:AQ,COLUMN(AQ:AQ)-COLUMN($AN:$AN)+1,FALSE),"")</f>
        <v>5 GAL KIT</v>
      </c>
      <c r="AC333" s="1" t="str" cm="1">
        <f t="array" ref="AC333">IFERROR(VLOOKUP($X333,$AN:AS,COLUMN(AS:AS)-COLUMN($AN:$AN)+1,FALSE),"")</f>
        <v>SPECIAL</v>
      </c>
      <c r="AD333" s="1" t="s">
        <v>19</v>
      </c>
      <c r="AF333" s="1">
        <f>Table1[[#This Row],[C:C]]*1.1</f>
        <v>0</v>
      </c>
      <c r="AI333" s="1">
        <f>IFERROR(VLOOKUP(X333,#REF!,8,FALSE),0)</f>
        <v>0</v>
      </c>
      <c r="AN333" s="1" t="str">
        <f>PROD_ID_TABLE[[#This Row],[PROD ID]]</f>
        <v>EXT SMALL ROUE0.2</v>
      </c>
      <c r="AO333" s="1" t="str">
        <f t="shared" si="62"/>
        <v>ACCELERA EXT SMALL 1R:1HROYAL BLUE0.25 GAL</v>
      </c>
      <c r="AP333" s="3">
        <f t="shared" si="63"/>
        <v>53.55</v>
      </c>
      <c r="AQ333" s="1" t="str">
        <f t="shared" si="64"/>
        <v>0.25 GAL</v>
      </c>
      <c r="AS333" s="1" t="str">
        <f t="shared" si="65"/>
        <v>ROYAL BLUE</v>
      </c>
      <c r="AT333"/>
      <c r="AU333"/>
      <c r="AV333"/>
      <c r="AY333" t="str">
        <f t="shared" si="59"/>
        <v>EXT SMALL ROUE0.2</v>
      </c>
      <c r="AZ333" s="1" t="str">
        <f t="shared" si="60"/>
        <v xml:space="preserve">EXT SMALL </v>
      </c>
      <c r="BA333" t="str">
        <f t="shared" si="61"/>
        <v>ROUE</v>
      </c>
      <c r="BB333" s="1" t="str">
        <f t="shared" si="58"/>
        <v>0.2</v>
      </c>
      <c r="BC333" s="1">
        <f t="shared" si="57"/>
        <v>53.55</v>
      </c>
      <c r="BD333" s="1" t="s">
        <v>445</v>
      </c>
      <c r="BE333" s="1" t="s">
        <v>428</v>
      </c>
      <c r="BF333" s="1" t="s">
        <v>454</v>
      </c>
      <c r="BG333" s="1" t="s">
        <v>367</v>
      </c>
      <c r="BJ333"/>
      <c r="BK333"/>
      <c r="BM333"/>
    </row>
    <row r="334" spans="22:65" x14ac:dyDescent="0.35">
      <c r="V334" s="1" t="str">
        <v xml:space="preserve"> COLOR - BGRENKIT</v>
      </c>
      <c r="X334" s="1" t="str">
        <f t="shared" si="66"/>
        <v xml:space="preserve"> T-303 FLETIED5 G</v>
      </c>
      <c r="Y334" s="1" t="str" cm="1">
        <f t="array" ref="Y334">IFERROR(VLOOKUP($X334,$AN:AO,COLUMN(AO:AO)-COLUMN($AN:$AN)+1,FALSE),"")</f>
        <v>CRYLAFLOR T-303 FLEXIBLE TOPCOATTILE RED5 GAL KIT</v>
      </c>
      <c r="Z334" s="63" cm="1">
        <f t="array" ref="Z334">IFERROR(VLOOKUP($X334,$AN:AP,COLUMN(AP:AP)-COLUMN($AN:$AN)+1,FALSE),"")</f>
        <v>424.9</v>
      </c>
      <c r="AA334" s="1" t="str" cm="1">
        <f t="array" ref="AA334">IFERROR(VLOOKUP($X334,$AN:AQ,COLUMN(AQ:AQ)-COLUMN($AN:$AN)+1,FALSE),"")</f>
        <v>5 GAL KIT</v>
      </c>
      <c r="AC334" s="1" t="str" cm="1">
        <f t="array" ref="AC334">IFERROR(VLOOKUP($X334,$AN:AS,COLUMN(AS:AS)-COLUMN($AN:$AN)+1,FALSE),"")</f>
        <v>TILE RED</v>
      </c>
      <c r="AD334" s="1" t="s">
        <v>19</v>
      </c>
      <c r="AF334" s="1">
        <f>Table1[[#This Row],[C:C]]*1.1</f>
        <v>0</v>
      </c>
      <c r="AI334" s="1">
        <f>IFERROR(VLOOKUP(X334,#REF!,8,FALSE),0)</f>
        <v>0</v>
      </c>
      <c r="AN334" s="1" t="str">
        <f>PROD_ID_TABLE[[#This Row],[PROD ID]]</f>
        <v>EXT SMALL PEER0.2</v>
      </c>
      <c r="AO334" s="1" t="str">
        <f t="shared" si="62"/>
        <v>ACCELERA EXT SMALL 1R:1HPEWTER0.25 GAL</v>
      </c>
      <c r="AP334" s="3">
        <f t="shared" si="63"/>
        <v>53.55</v>
      </c>
      <c r="AQ334" s="1" t="str">
        <f t="shared" si="64"/>
        <v>0.25 GAL</v>
      </c>
      <c r="AS334" s="1" t="str">
        <f t="shared" si="65"/>
        <v>PEWTER</v>
      </c>
      <c r="AT334"/>
      <c r="AU334"/>
      <c r="AV334"/>
      <c r="AY334" t="str">
        <f t="shared" si="59"/>
        <v>EXT SMALL PEER0.2</v>
      </c>
      <c r="AZ334" s="1" t="str">
        <f t="shared" si="60"/>
        <v xml:space="preserve">EXT SMALL </v>
      </c>
      <c r="BA334" t="str">
        <f t="shared" si="61"/>
        <v>PEER</v>
      </c>
      <c r="BB334" s="1" t="str">
        <f t="shared" si="58"/>
        <v>0.2</v>
      </c>
      <c r="BC334" s="1">
        <f t="shared" si="57"/>
        <v>53.55</v>
      </c>
      <c r="BD334" s="1" t="s">
        <v>445</v>
      </c>
      <c r="BE334" s="1" t="s">
        <v>327</v>
      </c>
      <c r="BF334" s="1" t="s">
        <v>454</v>
      </c>
      <c r="BG334" s="1" t="s">
        <v>367</v>
      </c>
      <c r="BJ334"/>
      <c r="BK334"/>
      <c r="BM334"/>
    </row>
    <row r="335" spans="22:65" x14ac:dyDescent="0.35">
      <c r="V335" s="1" t="str">
        <v xml:space="preserve"> COLOR - BTIEDKIT</v>
      </c>
      <c r="X335" s="1" t="str">
        <f t="shared" si="66"/>
        <v xml:space="preserve"> T-303 FLESMUE5 G</v>
      </c>
      <c r="Y335" s="1" t="str" cm="1">
        <f t="array" ref="Y335">IFERROR(VLOOKUP($X335,$AN:AO,COLUMN(AO:AO)-COLUMN($AN:$AN)+1,FALSE),"")</f>
        <v>CRYLAFLOR T-303 FLEXIBLE TOPCOATSMOKE BLUE5 GAL KIT</v>
      </c>
      <c r="Z335" s="63" cm="1">
        <f t="array" ref="Z335">IFERROR(VLOOKUP($X335,$AN:AP,COLUMN(AP:AP)-COLUMN($AN:$AN)+1,FALSE),"")</f>
        <v>424.9</v>
      </c>
      <c r="AA335" s="1" t="str" cm="1">
        <f t="array" ref="AA335">IFERROR(VLOOKUP($X335,$AN:AQ,COLUMN(AQ:AQ)-COLUMN($AN:$AN)+1,FALSE),"")</f>
        <v>5 GAL KIT</v>
      </c>
      <c r="AC335" s="1" t="str" cm="1">
        <f t="array" ref="AC335">IFERROR(VLOOKUP($X335,$AN:AS,COLUMN(AS:AS)-COLUMN($AN:$AN)+1,FALSE),"")</f>
        <v>SMOKE BLUE</v>
      </c>
      <c r="AD335" s="1" t="s">
        <v>19</v>
      </c>
      <c r="AF335" s="1">
        <f>Table1[[#This Row],[C:C]]*1.1</f>
        <v>0</v>
      </c>
      <c r="AI335" s="1">
        <f>IFERROR(VLOOKUP(X335,#REF!,8,FALSE),0)</f>
        <v>0</v>
      </c>
      <c r="AN335" s="1" t="str">
        <f>PROD_ID_TABLE[[#This Row],[PROD ID]]</f>
        <v>EXT SMALL CLLE0.2</v>
      </c>
      <c r="AO335" s="1" t="str">
        <f t="shared" si="62"/>
        <v>ACCELERA EXT SMALL 1R:1HCLASIC RED TILE0.25 GAL</v>
      </c>
      <c r="AP335" s="3">
        <f t="shared" si="63"/>
        <v>53.55</v>
      </c>
      <c r="AQ335" s="1" t="str">
        <f t="shared" si="64"/>
        <v>0.25 GAL</v>
      </c>
      <c r="AS335" s="1" t="str">
        <f t="shared" si="65"/>
        <v>CLASIC RED TILE</v>
      </c>
      <c r="AT335"/>
      <c r="AU335"/>
      <c r="AV335"/>
      <c r="AY335" t="str">
        <f t="shared" si="59"/>
        <v>EXT SMALL CLLE0.2</v>
      </c>
      <c r="AZ335" s="1" t="str">
        <f t="shared" si="60"/>
        <v xml:space="preserve">EXT SMALL </v>
      </c>
      <c r="BA335" t="str">
        <f t="shared" si="61"/>
        <v>CLLE</v>
      </c>
      <c r="BB335" s="1" t="str">
        <f t="shared" si="58"/>
        <v>0.2</v>
      </c>
      <c r="BC335" s="1">
        <f t="shared" si="57"/>
        <v>53.55</v>
      </c>
      <c r="BD335" s="1" t="s">
        <v>445</v>
      </c>
      <c r="BE335" s="1" t="s">
        <v>328</v>
      </c>
      <c r="BF335" s="1" t="s">
        <v>454</v>
      </c>
      <c r="BG335" s="1" t="s">
        <v>367</v>
      </c>
      <c r="BJ335"/>
      <c r="BK335"/>
      <c r="BM335"/>
    </row>
    <row r="336" spans="22:65" x14ac:dyDescent="0.35">
      <c r="V336" s="1" t="str">
        <v xml:space="preserve"> COLOR - BWHTEKIT</v>
      </c>
      <c r="X336" s="1" t="str">
        <f t="shared" si="66"/>
        <v xml:space="preserve"> COVECLAR1 G</v>
      </c>
      <c r="Y336" s="1" t="str" cm="1">
        <f t="array" ref="Y336">IFERROR(VLOOKUP($X336,$AN:AO,COLUMN(AO:AO)-COLUMN($AN:$AN)+1,FALSE),"")</f>
        <v>CRYLAFLOR COVECLEAR1 GAL KIT</v>
      </c>
      <c r="Z336" s="63" cm="1">
        <f t="array" ref="Z336">IFERROR(VLOOKUP($X336,$AN:AP,COLUMN(AP:AP)-COLUMN($AN:$AN)+1,FALSE),"")</f>
        <v>117.7</v>
      </c>
      <c r="AA336" s="1" t="str" cm="1">
        <f t="array" ref="AA336">IFERROR(VLOOKUP($X336,$AN:AQ,COLUMN(AQ:AQ)-COLUMN($AN:$AN)+1,FALSE),"")</f>
        <v>1 GAL KIT</v>
      </c>
      <c r="AC336" s="1" t="str" cm="1">
        <f t="array" ref="AC336">IFERROR(VLOOKUP($X336,$AN:AS,COLUMN(AS:AS)-COLUMN($AN:$AN)+1,FALSE),"")</f>
        <v>CLEAR</v>
      </c>
      <c r="AD336" s="1" t="s">
        <v>19</v>
      </c>
      <c r="AF336" s="1">
        <f>Table1[[#This Row],[C:C]]*1.1</f>
        <v>0</v>
      </c>
      <c r="AI336" s="1">
        <f>IFERROR(VLOOKUP(X336,#REF!,8,FALSE),0)</f>
        <v>0</v>
      </c>
      <c r="AN336" s="1" t="str">
        <f>PROD_ID_TABLE[[#This Row],[PROD ID]]</f>
        <v>EXT SMALL CAEL0.2</v>
      </c>
      <c r="AO336" s="1" t="str">
        <f t="shared" si="62"/>
        <v>ACCELERA EXT SMALL 1R:1HCARAMEL0.25 GAL</v>
      </c>
      <c r="AP336" s="3">
        <f t="shared" si="63"/>
        <v>53.55</v>
      </c>
      <c r="AQ336" s="1" t="str">
        <f t="shared" si="64"/>
        <v>0.25 GAL</v>
      </c>
      <c r="AS336" s="1" t="str">
        <f t="shared" si="65"/>
        <v>CARAMEL</v>
      </c>
      <c r="AT336"/>
      <c r="AU336"/>
      <c r="AV336"/>
      <c r="AY336" t="str">
        <f t="shared" si="59"/>
        <v>EXT SMALL CAEL0.2</v>
      </c>
      <c r="AZ336" s="1" t="str">
        <f t="shared" si="60"/>
        <v xml:space="preserve">EXT SMALL </v>
      </c>
      <c r="BA336" t="str">
        <f t="shared" si="61"/>
        <v>CAEL</v>
      </c>
      <c r="BB336" s="1" t="str">
        <f t="shared" si="58"/>
        <v>0.2</v>
      </c>
      <c r="BC336" s="1">
        <f t="shared" si="57"/>
        <v>53.55</v>
      </c>
      <c r="BD336" s="1" t="s">
        <v>445</v>
      </c>
      <c r="BE336" s="1" t="s">
        <v>329</v>
      </c>
      <c r="BF336" s="1" t="s">
        <v>454</v>
      </c>
      <c r="BG336" s="1" t="s">
        <v>367</v>
      </c>
      <c r="BJ336"/>
      <c r="BK336"/>
      <c r="BM336"/>
    </row>
    <row r="337" spans="22:65" x14ac:dyDescent="0.35">
      <c r="V337" s="1" t="str">
        <v xml:space="preserve"> BOND MT MN//AKIT</v>
      </c>
      <c r="X337" s="1" t="str">
        <f t="shared" si="66"/>
        <v xml:space="preserve"> COVECOAY1 G</v>
      </c>
      <c r="Y337" s="1" t="str" cm="1">
        <f t="array" ref="Y337">IFERROR(VLOOKUP($X337,$AN:AO,COLUMN(AO:AO)-COLUMN($AN:$AN)+1,FALSE),"")</f>
        <v>CRYLAFLOR COVECONCRETE GRAY1 GAL KIT</v>
      </c>
      <c r="Z337" s="63" cm="1">
        <f t="array" ref="Z337">IFERROR(VLOOKUP($X337,$AN:AP,COLUMN(AP:AP)-COLUMN($AN:$AN)+1,FALSE),"")</f>
        <v>117.7</v>
      </c>
      <c r="AA337" s="1" t="str" cm="1">
        <f t="array" ref="AA337">IFERROR(VLOOKUP($X337,$AN:AQ,COLUMN(AQ:AQ)-COLUMN($AN:$AN)+1,FALSE),"")</f>
        <v>1 GAL KIT</v>
      </c>
      <c r="AC337" s="1" t="str" cm="1">
        <f t="array" ref="AC337">IFERROR(VLOOKUP($X337,$AN:AS,COLUMN(AS:AS)-COLUMN($AN:$AN)+1,FALSE),"")</f>
        <v>CONCRETE GRAY</v>
      </c>
      <c r="AD337" s="1" t="s">
        <v>19</v>
      </c>
      <c r="AF337" s="1">
        <f>Table1[[#This Row],[C:C]]*1.1</f>
        <v>0</v>
      </c>
      <c r="AI337" s="1">
        <f>IFERROR(VLOOKUP(X337,#REF!,8,FALSE),0)</f>
        <v>0</v>
      </c>
      <c r="AN337" s="1" t="str">
        <f>PROD_ID_TABLE[[#This Row],[PROD ID]]</f>
        <v>EXT SMALL ULSE0.2</v>
      </c>
      <c r="AO337" s="1" t="str">
        <f t="shared" si="62"/>
        <v>ACCELERA EXT SMALL 1R:1HULTRA DEEP BASE0.25 GAL</v>
      </c>
      <c r="AP337" s="3">
        <f t="shared" si="63"/>
        <v>53.55</v>
      </c>
      <c r="AQ337" s="1" t="str">
        <f t="shared" si="64"/>
        <v>0.25 GAL</v>
      </c>
      <c r="AS337" s="1" t="str">
        <f t="shared" si="65"/>
        <v>ULTRA DEEP BASE</v>
      </c>
      <c r="AT337"/>
      <c r="AU337"/>
      <c r="AV337"/>
      <c r="AY337" t="str">
        <f t="shared" si="59"/>
        <v>EXT SMALL ULSE0.2</v>
      </c>
      <c r="AZ337" s="1" t="str">
        <f t="shared" si="60"/>
        <v xml:space="preserve">EXT SMALL </v>
      </c>
      <c r="BA337" t="str">
        <f t="shared" si="61"/>
        <v>ULSE</v>
      </c>
      <c r="BB337" s="1" t="str">
        <f t="shared" si="58"/>
        <v>0.2</v>
      </c>
      <c r="BC337" s="1">
        <f t="shared" si="57"/>
        <v>53.55</v>
      </c>
      <c r="BD337" s="1" t="s">
        <v>445</v>
      </c>
      <c r="BE337" s="1" t="s">
        <v>330</v>
      </c>
      <c r="BF337" s="1" t="s">
        <v>454</v>
      </c>
      <c r="BG337" s="1" t="s">
        <v>367</v>
      </c>
      <c r="BJ337"/>
      <c r="BK337"/>
      <c r="BM337"/>
    </row>
    <row r="338" spans="22:65" x14ac:dyDescent="0.35">
      <c r="V338" s="1" t="str">
        <v xml:space="preserve"> CLEAN SOLN//AKIT</v>
      </c>
      <c r="X338" s="1" t="str">
        <f t="shared" si="66"/>
        <v xml:space="preserve"> COVEMEAY1 G</v>
      </c>
      <c r="Y338" s="1" t="str" cm="1">
        <f t="array" ref="Y338">IFERROR(VLOOKUP($X338,$AN:AO,COLUMN(AO:AO)-COLUMN($AN:$AN)+1,FALSE),"")</f>
        <v>CRYLAFLOR COVEMED. GRAY1 GAL KIT</v>
      </c>
      <c r="Z338" s="63" cm="1">
        <f t="array" ref="Z338">IFERROR(VLOOKUP($X338,$AN:AP,COLUMN(AP:AP)-COLUMN($AN:$AN)+1,FALSE),"")</f>
        <v>117.7</v>
      </c>
      <c r="AA338" s="1" t="str" cm="1">
        <f t="array" ref="AA338">IFERROR(VLOOKUP($X338,$AN:AQ,COLUMN(AQ:AQ)-COLUMN($AN:$AN)+1,FALSE),"")</f>
        <v>1 GAL KIT</v>
      </c>
      <c r="AC338" s="1" t="str" cm="1">
        <f t="array" ref="AC338">IFERROR(VLOOKUP($X338,$AN:AS,COLUMN(AS:AS)-COLUMN($AN:$AN)+1,FALSE),"")</f>
        <v>MED. GRAY</v>
      </c>
      <c r="AD338" s="1" t="s">
        <v>19</v>
      </c>
      <c r="AF338" s="1">
        <f>Table1[[#This Row],[C:C]]*1.1</f>
        <v>0</v>
      </c>
      <c r="AI338" s="1">
        <f>IFERROR(VLOOKUP(X338,#REF!,8,FALSE),0)</f>
        <v>0</v>
      </c>
      <c r="AN338" s="1" t="str">
        <f>PROD_ID_TABLE[[#This Row],[PROD ID]]</f>
        <v>EXT SMALL WHSE0.2</v>
      </c>
      <c r="AO338" s="1" t="str">
        <f t="shared" si="62"/>
        <v>ACCELERA EXT SMALL 1R:1HWHITE TINT BASE0.25 GAL</v>
      </c>
      <c r="AP338" s="3">
        <f t="shared" si="63"/>
        <v>53.55</v>
      </c>
      <c r="AQ338" s="1" t="str">
        <f t="shared" si="64"/>
        <v>0.25 GAL</v>
      </c>
      <c r="AS338" s="1" t="str">
        <f t="shared" si="65"/>
        <v>WHITE TINT BASE</v>
      </c>
      <c r="AT338"/>
      <c r="AU338"/>
      <c r="AV338"/>
      <c r="AY338" t="str">
        <f t="shared" si="59"/>
        <v>EXT SMALL WHSE0.2</v>
      </c>
      <c r="AZ338" s="1" t="str">
        <f t="shared" si="60"/>
        <v xml:space="preserve">EXT SMALL </v>
      </c>
      <c r="BA338" t="str">
        <f t="shared" si="61"/>
        <v>WHSE</v>
      </c>
      <c r="BB338" s="1" t="str">
        <f t="shared" si="58"/>
        <v>0.2</v>
      </c>
      <c r="BC338" s="1">
        <f t="shared" si="57"/>
        <v>53.55</v>
      </c>
      <c r="BD338" s="1" t="s">
        <v>445</v>
      </c>
      <c r="BE338" s="1" t="s">
        <v>331</v>
      </c>
      <c r="BF338" s="1" t="s">
        <v>454</v>
      </c>
      <c r="BG338" s="1" t="s">
        <v>367</v>
      </c>
      <c r="BJ338"/>
      <c r="BK338"/>
      <c r="BM338"/>
    </row>
    <row r="339" spans="22:65" x14ac:dyDescent="0.35">
      <c r="V339" s="1" t="str">
        <v xml:space="preserve"> LTC ADDITN//AKIT</v>
      </c>
      <c r="X339" s="1" t="str">
        <f t="shared" si="66"/>
        <v xml:space="preserve"> COVESLAY1 G</v>
      </c>
      <c r="Y339" s="1" t="str" cm="1">
        <f t="array" ref="Y339">IFERROR(VLOOKUP($X339,$AN:AO,COLUMN(AO:AO)-COLUMN($AN:$AN)+1,FALSE),"")</f>
        <v>CRYLAFLOR COVESLATE GRAY1 GAL KIT</v>
      </c>
      <c r="Z339" s="63" cm="1">
        <f t="array" ref="Z339">IFERROR(VLOOKUP($X339,$AN:AP,COLUMN(AP:AP)-COLUMN($AN:$AN)+1,FALSE),"")</f>
        <v>117.7</v>
      </c>
      <c r="AA339" s="1" t="str" cm="1">
        <f t="array" ref="AA339">IFERROR(VLOOKUP($X339,$AN:AQ,COLUMN(AQ:AQ)-COLUMN($AN:$AN)+1,FALSE),"")</f>
        <v>1 GAL KIT</v>
      </c>
      <c r="AC339" s="1" t="str" cm="1">
        <f t="array" ref="AC339">IFERROR(VLOOKUP($X339,$AN:AS,COLUMN(AS:AS)-COLUMN($AN:$AN)+1,FALSE),"")</f>
        <v>SLATE GRAY</v>
      </c>
      <c r="AD339" s="1" t="s">
        <v>19</v>
      </c>
      <c r="AF339" s="1">
        <f>Table1[[#This Row],[C:C]]*1.1</f>
        <v>0</v>
      </c>
      <c r="AI339" s="1">
        <f>IFERROR(VLOOKUP(X339,#REF!,8,FALSE),0)</f>
        <v>0</v>
      </c>
      <c r="AN339" s="1" t="str">
        <f>PROD_ID_TABLE[[#This Row],[PROD ID]]</f>
        <v>EXT SMALL CLAR0.7</v>
      </c>
      <c r="AO339" s="1" t="str">
        <f t="shared" si="62"/>
        <v>ACCELERA EXT SMALL 1R:1HCLEAR0.75 GAL</v>
      </c>
      <c r="AP339" s="3">
        <f t="shared" si="63"/>
        <v>127.12</v>
      </c>
      <c r="AQ339" s="1" t="str">
        <f t="shared" si="64"/>
        <v>0.75 GAL</v>
      </c>
      <c r="AS339" s="1" t="str">
        <f t="shared" si="65"/>
        <v>CLEAR</v>
      </c>
      <c r="AT339"/>
      <c r="AU339"/>
      <c r="AV339"/>
      <c r="AY339" t="str">
        <f t="shared" si="59"/>
        <v>EXT SMALL CLAR0.7</v>
      </c>
      <c r="AZ339" s="1" t="str">
        <f t="shared" si="60"/>
        <v xml:space="preserve">EXT SMALL </v>
      </c>
      <c r="BA339" t="str">
        <f t="shared" si="61"/>
        <v>CLAR</v>
      </c>
      <c r="BB339" s="1" t="str">
        <f t="shared" si="58"/>
        <v>0.7</v>
      </c>
      <c r="BC339" s="1">
        <f t="shared" si="57"/>
        <v>127.12</v>
      </c>
      <c r="BD339" s="1" t="s">
        <v>445</v>
      </c>
      <c r="BE339" s="1" t="s">
        <v>315</v>
      </c>
      <c r="BF339" s="1" t="s">
        <v>455</v>
      </c>
      <c r="BG339" s="1" t="s">
        <v>367</v>
      </c>
      <c r="BJ339"/>
      <c r="BK339"/>
      <c r="BM339"/>
    </row>
    <row r="340" spans="22:65" x14ac:dyDescent="0.35">
      <c r="V340" s="1" t="str">
        <v xml:space="preserve"> SL FILLERN//AKIT</v>
      </c>
      <c r="X340" s="1" t="str">
        <f t="shared" si="66"/>
        <v xml:space="preserve"> COVESPAL1 G</v>
      </c>
      <c r="Y340" s="1" t="str" cm="1">
        <f t="array" ref="Y340">IFERROR(VLOOKUP($X340,$AN:AO,COLUMN(AO:AO)-COLUMN($AN:$AN)+1,FALSE),"")</f>
        <v>CRYLAFLOR COVESPECIAL1 GAL KIT</v>
      </c>
      <c r="Z340" s="63" cm="1">
        <f t="array" ref="Z340">IFERROR(VLOOKUP($X340,$AN:AP,COLUMN(AP:AP)-COLUMN($AN:$AN)+1,FALSE),"")</f>
        <v>117.7</v>
      </c>
      <c r="AA340" s="1" t="str" cm="1">
        <f t="array" ref="AA340">IFERROR(VLOOKUP($X340,$AN:AQ,COLUMN(AQ:AQ)-COLUMN($AN:$AN)+1,FALSE),"")</f>
        <v>1 GAL KIT</v>
      </c>
      <c r="AC340" s="1" t="str" cm="1">
        <f t="array" ref="AC340">IFERROR(VLOOKUP($X340,$AN:AS,COLUMN(AS:AS)-COLUMN($AN:$AN)+1,FALSE),"")</f>
        <v>SPECIAL</v>
      </c>
      <c r="AD340" s="1" t="s">
        <v>19</v>
      </c>
      <c r="AF340" s="1">
        <f>Table1[[#This Row],[C:C]]*1.1</f>
        <v>0</v>
      </c>
      <c r="AI340" s="1">
        <f>IFERROR(VLOOKUP(X340,#REF!,8,FALSE),0)</f>
        <v>0</v>
      </c>
      <c r="AN340" s="1" t="str">
        <f>PROD_ID_TABLE[[#This Row],[PROD ID]]</f>
        <v>EXT SMALL CUOM0.7</v>
      </c>
      <c r="AO340" s="1" t="str">
        <f t="shared" si="62"/>
        <v>ACCELERA EXT SMALL 1R:1HCUSTOM0.75 GAL</v>
      </c>
      <c r="AP340" s="3">
        <f t="shared" si="63"/>
        <v>127.12</v>
      </c>
      <c r="AQ340" s="1" t="str">
        <f t="shared" si="64"/>
        <v>0.75 GAL</v>
      </c>
      <c r="AS340" s="1" t="str">
        <f t="shared" si="65"/>
        <v>CUSTOM</v>
      </c>
      <c r="AT340"/>
      <c r="AU340"/>
      <c r="AV340"/>
      <c r="AY340" t="str">
        <f t="shared" si="59"/>
        <v>EXT SMALL CUOM0.7</v>
      </c>
      <c r="AZ340" s="1" t="str">
        <f t="shared" si="60"/>
        <v xml:space="preserve">EXT SMALL </v>
      </c>
      <c r="BA340" t="str">
        <f t="shared" si="61"/>
        <v>CUOM</v>
      </c>
      <c r="BB340" s="1" t="str">
        <f t="shared" si="58"/>
        <v>0.7</v>
      </c>
      <c r="BC340" s="1">
        <f t="shared" si="57"/>
        <v>127.12</v>
      </c>
      <c r="BD340" s="1" t="s">
        <v>445</v>
      </c>
      <c r="BE340" s="1" t="s">
        <v>316</v>
      </c>
      <c r="BF340" s="1" t="s">
        <v>455</v>
      </c>
      <c r="BG340" s="1" t="s">
        <v>367</v>
      </c>
      <c r="BJ340"/>
      <c r="BK340"/>
      <c r="BM340"/>
    </row>
    <row r="341" spans="22:65" x14ac:dyDescent="0.35">
      <c r="V341" s="1" t="str">
        <v>FLA CLEAR CLAR2 G</v>
      </c>
      <c r="X341" s="1" t="str">
        <f t="shared" si="66"/>
        <v xml:space="preserve"> COVEWHTE1 G</v>
      </c>
      <c r="Y341" s="1" t="str" cm="1">
        <f t="array" ref="Y341">IFERROR(VLOOKUP($X341,$AN:AO,COLUMN(AO:AO)-COLUMN($AN:$AN)+1,FALSE),"")</f>
        <v>CRYLAFLOR COVEWHITE1 GAL KIT</v>
      </c>
      <c r="Z341" s="63" cm="1">
        <f t="array" ref="Z341">IFERROR(VLOOKUP($X341,$AN:AP,COLUMN(AP:AP)-COLUMN($AN:$AN)+1,FALSE),"")</f>
        <v>117.7</v>
      </c>
      <c r="AA341" s="1" t="str" cm="1">
        <f t="array" ref="AA341">IFERROR(VLOOKUP($X341,$AN:AQ,COLUMN(AQ:AQ)-COLUMN($AN:$AN)+1,FALSE),"")</f>
        <v>1 GAL KIT</v>
      </c>
      <c r="AC341" s="1" t="str" cm="1">
        <f t="array" ref="AC341">IFERROR(VLOOKUP($X341,$AN:AS,COLUMN(AS:AS)-COLUMN($AN:$AN)+1,FALSE),"")</f>
        <v>WHITE</v>
      </c>
      <c r="AD341" s="1" t="s">
        <v>19</v>
      </c>
      <c r="AF341" s="1">
        <f>Table1[[#This Row],[C:C]]*1.1</f>
        <v>0</v>
      </c>
      <c r="AI341" s="1">
        <f>IFERROR(VLOOKUP(X341,#REF!,8,FALSE),0)</f>
        <v>0</v>
      </c>
      <c r="AN341" s="1" t="str">
        <f>PROD_ID_TABLE[[#This Row],[PROD ID]]</f>
        <v>EXT SMALL MEAY0.7</v>
      </c>
      <c r="AO341" s="1" t="str">
        <f t="shared" si="62"/>
        <v>ACCELERA EXT SMALL 1R:1HMEDIUM GRAY0.75 GAL</v>
      </c>
      <c r="AP341" s="3">
        <f t="shared" si="63"/>
        <v>127.12</v>
      </c>
      <c r="AQ341" s="1" t="str">
        <f t="shared" si="64"/>
        <v>0.75 GAL</v>
      </c>
      <c r="AS341" s="1" t="str">
        <f t="shared" si="65"/>
        <v>MEDIUM GRAY</v>
      </c>
      <c r="AT341"/>
      <c r="AU341"/>
      <c r="AV341"/>
      <c r="AY341" t="str">
        <f t="shared" si="59"/>
        <v>EXT SMALL MEAY0.7</v>
      </c>
      <c r="AZ341" s="1" t="str">
        <f t="shared" si="60"/>
        <v xml:space="preserve">EXT SMALL </v>
      </c>
      <c r="BA341" t="str">
        <f t="shared" si="61"/>
        <v>MEAY</v>
      </c>
      <c r="BB341" s="1" t="str">
        <f t="shared" si="58"/>
        <v>0.7</v>
      </c>
      <c r="BC341" s="1">
        <f t="shared" si="57"/>
        <v>127.12</v>
      </c>
      <c r="BD341" s="1" t="s">
        <v>445</v>
      </c>
      <c r="BE341" s="1" t="s">
        <v>333</v>
      </c>
      <c r="BF341" s="1" t="s">
        <v>455</v>
      </c>
      <c r="BG341" s="1" t="s">
        <v>367</v>
      </c>
      <c r="BJ341"/>
      <c r="BK341"/>
      <c r="BM341"/>
    </row>
    <row r="342" spans="22:65" x14ac:dyDescent="0.35">
      <c r="V342" s="1" t="str">
        <v>4850 GROUTCLAR3 G</v>
      </c>
      <c r="X342" s="1" t="str">
        <f t="shared" si="66"/>
        <v xml:space="preserve"> CURE (BPON//A5 L</v>
      </c>
      <c r="Y342" s="1" t="str" cm="1">
        <f t="array" ref="Y342">IFERROR(VLOOKUP($X342,$AN:AO,COLUMN(AO:AO)-COLUMN($AN:$AN)+1,FALSE),"")</f>
        <v>CRYLAFLOR CURE (BPO)N/A5 LB KIT</v>
      </c>
      <c r="Z342" s="63" cm="1">
        <f t="array" ref="Z342">IFERROR(VLOOKUP($X342,$AN:AP,COLUMN(AP:AP)-COLUMN($AN:$AN)+1,FALSE),"")</f>
        <v>122.41</v>
      </c>
      <c r="AA342" s="1" t="str" cm="1">
        <f t="array" ref="AA342">IFERROR(VLOOKUP($X342,$AN:AQ,COLUMN(AQ:AQ)-COLUMN($AN:$AN)+1,FALSE),"")</f>
        <v>5 LB KIT</v>
      </c>
      <c r="AC342" s="1" t="str" cm="1">
        <f t="array" ref="AC342">IFERROR(VLOOKUP($X342,$AN:AS,COLUMN(AS:AS)-COLUMN($AN:$AN)+1,FALSE),"")</f>
        <v>N/A</v>
      </c>
      <c r="AD342" s="1" t="s">
        <v>19</v>
      </c>
      <c r="AF342" s="1">
        <f>Table1[[#This Row],[C:C]]*1.1</f>
        <v>0</v>
      </c>
      <c r="AI342" s="1">
        <f>IFERROR(VLOOKUP(X342,#REF!,8,FALSE),0)</f>
        <v>0</v>
      </c>
      <c r="AN342" s="1" t="str">
        <f>PROD_ID_TABLE[[#This Row],[PROD ID]]</f>
        <v>EXT SMALL CAAY0.7</v>
      </c>
      <c r="AO342" s="1" t="str">
        <f t="shared" si="62"/>
        <v>ACCELERA EXT SMALL 1R:1HCANADA GRAY0.75 GAL</v>
      </c>
      <c r="AP342" s="3">
        <f t="shared" si="63"/>
        <v>127.12</v>
      </c>
      <c r="AQ342" s="1" t="str">
        <f t="shared" si="64"/>
        <v>0.75 GAL</v>
      </c>
      <c r="AS342" s="1" t="str">
        <f t="shared" si="65"/>
        <v>CANADA GRAY</v>
      </c>
      <c r="AT342"/>
      <c r="AU342"/>
      <c r="AV342"/>
      <c r="AY342" t="str">
        <f t="shared" si="59"/>
        <v>EXT SMALL CAAY0.7</v>
      </c>
      <c r="AZ342" s="1" t="str">
        <f t="shared" si="60"/>
        <v xml:space="preserve">EXT SMALL </v>
      </c>
      <c r="BA342" t="str">
        <f t="shared" si="61"/>
        <v>CAAY</v>
      </c>
      <c r="BB342" s="1" t="str">
        <f t="shared" si="58"/>
        <v>0.7</v>
      </c>
      <c r="BC342" s="1">
        <f t="shared" ref="BC342:BC405" si="67">IFERROR(VLOOKUP(BD342&amp;BF342,AV:AW,2,FALSE),0)</f>
        <v>127.12</v>
      </c>
      <c r="BD342" s="1" t="s">
        <v>445</v>
      </c>
      <c r="BE342" s="1" t="s">
        <v>332</v>
      </c>
      <c r="BF342" s="1" t="s">
        <v>455</v>
      </c>
      <c r="BG342" s="1" t="s">
        <v>367</v>
      </c>
      <c r="BJ342"/>
      <c r="BK342"/>
      <c r="BM342"/>
    </row>
    <row r="343" spans="22:65" x14ac:dyDescent="0.35">
      <c r="V343" s="1" t="str">
        <v>4850 GROUTCUOM3 G</v>
      </c>
      <c r="X343" s="1" t="str">
        <f t="shared" si="66"/>
        <v xml:space="preserve"> COLOR - BBEGEKIT</v>
      </c>
      <c r="Y343" s="1" t="str" cm="1">
        <f t="array" ref="Y343">IFERROR(VLOOKUP($X343,$AN:AO,COLUMN(AO:AO)-COLUMN($AN:$AN)+1,FALSE),"")</f>
        <v>CRYLAFLOR COLOR - BACKGROUND ONLYBEIGEKIT</v>
      </c>
      <c r="Z343" s="63" cm="1">
        <f t="array" ref="Z343">IFERROR(VLOOKUP($X343,$AN:AP,COLUMN(AP:AP)-COLUMN($AN:$AN)+1,FALSE),"")</f>
        <v>112.8</v>
      </c>
      <c r="AA343" s="1" t="str" cm="1">
        <f t="array" ref="AA343">IFERROR(VLOOKUP($X343,$AN:AQ,COLUMN(AQ:AQ)-COLUMN($AN:$AN)+1,FALSE),"")</f>
        <v>KIT</v>
      </c>
      <c r="AC343" s="1" t="str" cm="1">
        <f t="array" ref="AC343">IFERROR(VLOOKUP($X343,$AN:AS,COLUMN(AS:AS)-COLUMN($AN:$AN)+1,FALSE),"")</f>
        <v>BEIGE</v>
      </c>
      <c r="AD343" s="1" t="s">
        <v>19</v>
      </c>
      <c r="AF343" s="1">
        <f>Table1[[#This Row],[C:C]]*1.1</f>
        <v>0</v>
      </c>
      <c r="AI343" s="1">
        <f>IFERROR(VLOOKUP(X343,#REF!,8,FALSE),0)</f>
        <v>0</v>
      </c>
      <c r="AN343" s="1" t="str">
        <f>PROD_ID_TABLE[[#This Row],[PROD ID]]</f>
        <v>EXT SMALL CHAL0.7</v>
      </c>
      <c r="AO343" s="1" t="str">
        <f t="shared" si="62"/>
        <v>ACCELERA EXT SMALL 1R:1HCHARCOAL0.75 GAL</v>
      </c>
      <c r="AP343" s="3">
        <f t="shared" si="63"/>
        <v>127.12</v>
      </c>
      <c r="AQ343" s="1" t="str">
        <f t="shared" si="64"/>
        <v>0.75 GAL</v>
      </c>
      <c r="AS343" s="1" t="str">
        <f t="shared" si="65"/>
        <v>CHARCOAL</v>
      </c>
      <c r="AT343"/>
      <c r="AU343"/>
      <c r="AV343"/>
      <c r="AY343" t="str">
        <f t="shared" si="59"/>
        <v>EXT SMALL CHAL0.7</v>
      </c>
      <c r="AZ343" s="1" t="str">
        <f t="shared" si="60"/>
        <v xml:space="preserve">EXT SMALL </v>
      </c>
      <c r="BA343" t="str">
        <f t="shared" si="61"/>
        <v>CHAL</v>
      </c>
      <c r="BB343" s="1" t="str">
        <f t="shared" si="58"/>
        <v>0.7</v>
      </c>
      <c r="BC343" s="1">
        <f t="shared" si="67"/>
        <v>127.12</v>
      </c>
      <c r="BD343" s="1" t="s">
        <v>445</v>
      </c>
      <c r="BE343" s="1" t="s">
        <v>318</v>
      </c>
      <c r="BF343" s="1" t="s">
        <v>455</v>
      </c>
      <c r="BG343" s="1" t="s">
        <v>367</v>
      </c>
      <c r="BJ343"/>
      <c r="BK343"/>
      <c r="BM343"/>
    </row>
    <row r="344" spans="22:65" x14ac:dyDescent="0.35">
      <c r="V344" s="1" t="str">
        <v>4850 GROUTMEAY3 G</v>
      </c>
      <c r="X344" s="1" t="str">
        <f t="shared" si="66"/>
        <v xml:space="preserve"> COLOR - BBLCKKIT</v>
      </c>
      <c r="Y344" s="1" t="str" cm="1">
        <f t="array" ref="Y344">IFERROR(VLOOKUP($X344,$AN:AO,COLUMN(AO:AO)-COLUMN($AN:$AN)+1,FALSE),"")</f>
        <v>CRYLAFLOR COLOR - BACKGROUND ONLYBLACKKIT</v>
      </c>
      <c r="Z344" s="63" cm="1">
        <f t="array" ref="Z344">IFERROR(VLOOKUP($X344,$AN:AP,COLUMN(AP:AP)-COLUMN($AN:$AN)+1,FALSE),"")</f>
        <v>112.8</v>
      </c>
      <c r="AA344" s="1" t="str" cm="1">
        <f t="array" ref="AA344">IFERROR(VLOOKUP($X344,$AN:AQ,COLUMN(AQ:AQ)-COLUMN($AN:$AN)+1,FALSE),"")</f>
        <v>KIT</v>
      </c>
      <c r="AC344" s="1" t="str" cm="1">
        <f t="array" ref="AC344">IFERROR(VLOOKUP($X344,$AN:AS,COLUMN(AS:AS)-COLUMN($AN:$AN)+1,FALSE),"")</f>
        <v>BLACK</v>
      </c>
      <c r="AD344" s="1" t="s">
        <v>19</v>
      </c>
      <c r="AF344" s="1">
        <f>Table1[[#This Row],[C:C]]*1.1</f>
        <v>0</v>
      </c>
      <c r="AI344" s="1">
        <f>IFERROR(VLOOKUP(X344,#REF!,8,FALSE),0)</f>
        <v>0</v>
      </c>
      <c r="AN344" s="1" t="str">
        <f>PROD_ID_TABLE[[#This Row],[PROD ID]]</f>
        <v>EXT SMALL STAY0.7</v>
      </c>
      <c r="AO344" s="1" t="str">
        <f t="shared" si="62"/>
        <v>ACCELERA EXT SMALL 1R:1HSTEEL GRAY0.75 GAL</v>
      </c>
      <c r="AP344" s="3">
        <f t="shared" si="63"/>
        <v>127.12</v>
      </c>
      <c r="AQ344" s="1" t="str">
        <f t="shared" si="64"/>
        <v>0.75 GAL</v>
      </c>
      <c r="AS344" s="1" t="str">
        <f t="shared" si="65"/>
        <v>STEEL GRAY</v>
      </c>
      <c r="AT344"/>
      <c r="AU344"/>
      <c r="AV344"/>
      <c r="AY344" t="str">
        <f t="shared" si="59"/>
        <v>EXT SMALL STAY0.7</v>
      </c>
      <c r="AZ344" s="1" t="str">
        <f t="shared" si="60"/>
        <v xml:space="preserve">EXT SMALL </v>
      </c>
      <c r="BA344" t="str">
        <f t="shared" si="61"/>
        <v>STAY</v>
      </c>
      <c r="BB344" s="1" t="str">
        <f t="shared" si="58"/>
        <v>0.7</v>
      </c>
      <c r="BC344" s="1">
        <f t="shared" si="67"/>
        <v>127.12</v>
      </c>
      <c r="BD344" s="1" t="s">
        <v>445</v>
      </c>
      <c r="BE344" s="1" t="s">
        <v>319</v>
      </c>
      <c r="BF344" s="1" t="s">
        <v>455</v>
      </c>
      <c r="BG344" s="1" t="s">
        <v>367</v>
      </c>
      <c r="BJ344"/>
      <c r="BK344"/>
      <c r="BM344"/>
    </row>
    <row r="345" spans="22:65" x14ac:dyDescent="0.35">
      <c r="V345" s="1" t="str">
        <v>4850 GROUTCAAY3 G</v>
      </c>
      <c r="X345" s="1" t="str">
        <f t="shared" si="66"/>
        <v xml:space="preserve"> COLOR - BGRAYKIT</v>
      </c>
      <c r="Y345" s="1" t="str" cm="1">
        <f t="array" ref="Y345">IFERROR(VLOOKUP($X345,$AN:AO,COLUMN(AO:AO)-COLUMN($AN:$AN)+1,FALSE),"")</f>
        <v>CRYLAFLOR COLOR - BACKGROUND ONLYGRAYKIT</v>
      </c>
      <c r="Z345" s="63" cm="1">
        <f t="array" ref="Z345">IFERROR(VLOOKUP($X345,$AN:AP,COLUMN(AP:AP)-COLUMN($AN:$AN)+1,FALSE),"")</f>
        <v>112.8</v>
      </c>
      <c r="AA345" s="1" t="str" cm="1">
        <f t="array" ref="AA345">IFERROR(VLOOKUP($X345,$AN:AQ,COLUMN(AQ:AQ)-COLUMN($AN:$AN)+1,FALSE),"")</f>
        <v>KIT</v>
      </c>
      <c r="AC345" s="1" t="str" cm="1">
        <f t="array" ref="AC345">IFERROR(VLOOKUP($X345,$AN:AS,COLUMN(AS:AS)-COLUMN($AN:$AN)+1,FALSE),"")</f>
        <v>GRAY</v>
      </c>
      <c r="AD345" s="1" t="s">
        <v>19</v>
      </c>
      <c r="AF345" s="1">
        <f>Table1[[#This Row],[C:C]]*1.1</f>
        <v>0</v>
      </c>
      <c r="AI345" s="1">
        <f>IFERROR(VLOOKUP(X345,#REF!,8,FALSE),0)</f>
        <v>0</v>
      </c>
      <c r="AN345" s="1" t="str">
        <f>PROD_ID_TABLE[[#This Row],[PROD ID]]</f>
        <v>EXT SMALL BOTE0.7</v>
      </c>
      <c r="AO345" s="1" t="str">
        <f t="shared" si="62"/>
        <v>ACCELERA EXT SMALL 1R:1HBONE WHITE0.75 GAL</v>
      </c>
      <c r="AP345" s="3">
        <f t="shared" si="63"/>
        <v>127.12</v>
      </c>
      <c r="AQ345" s="1" t="str">
        <f t="shared" si="64"/>
        <v>0.75 GAL</v>
      </c>
      <c r="AS345" s="1" t="str">
        <f t="shared" si="65"/>
        <v>BONE WHITE</v>
      </c>
      <c r="AT345"/>
      <c r="AU345"/>
      <c r="AV345"/>
      <c r="AY345" t="str">
        <f t="shared" si="59"/>
        <v>EXT SMALL BOTE0.7</v>
      </c>
      <c r="AZ345" s="1" t="str">
        <f t="shared" si="60"/>
        <v xml:space="preserve">EXT SMALL </v>
      </c>
      <c r="BA345" t="str">
        <f t="shared" si="61"/>
        <v>BOTE</v>
      </c>
      <c r="BB345" s="1" t="str">
        <f t="shared" si="58"/>
        <v>0.7</v>
      </c>
      <c r="BC345" s="1">
        <f t="shared" si="67"/>
        <v>127.12</v>
      </c>
      <c r="BD345" s="1" t="s">
        <v>445</v>
      </c>
      <c r="BE345" s="1" t="s">
        <v>320</v>
      </c>
      <c r="BF345" s="1" t="s">
        <v>455</v>
      </c>
      <c r="BG345" s="1" t="s">
        <v>367</v>
      </c>
      <c r="BJ345"/>
      <c r="BK345"/>
      <c r="BM345"/>
    </row>
    <row r="346" spans="22:65" x14ac:dyDescent="0.35">
      <c r="V346" s="1" t="str">
        <v>4850 GROUTCHAL3 G</v>
      </c>
      <c r="X346" s="1" t="str">
        <f t="shared" si="66"/>
        <v xml:space="preserve"> COLOR - BGRENKIT</v>
      </c>
      <c r="Y346" s="1" t="str" cm="1">
        <f t="array" ref="Y346">IFERROR(VLOOKUP($X346,$AN:AO,COLUMN(AO:AO)-COLUMN($AN:$AN)+1,FALSE),"")</f>
        <v>CRYLAFLOR COLOR - BACKGROUND ONLYGREENKIT</v>
      </c>
      <c r="Z346" s="63" cm="1">
        <f t="array" ref="Z346">IFERROR(VLOOKUP($X346,$AN:AP,COLUMN(AP:AP)-COLUMN($AN:$AN)+1,FALSE),"")</f>
        <v>112.8</v>
      </c>
      <c r="AA346" s="1" t="str" cm="1">
        <f t="array" ref="AA346">IFERROR(VLOOKUP($X346,$AN:AQ,COLUMN(AQ:AQ)-COLUMN($AN:$AN)+1,FALSE),"")</f>
        <v>KIT</v>
      </c>
      <c r="AC346" s="1" t="str" cm="1">
        <f t="array" ref="AC346">IFERROR(VLOOKUP($X346,$AN:AS,COLUMN(AS:AS)-COLUMN($AN:$AN)+1,FALSE),"")</f>
        <v>GREEN</v>
      </c>
      <c r="AD346" s="1" t="s">
        <v>19</v>
      </c>
      <c r="AF346" s="1">
        <f>Table1[[#This Row],[C:C]]*1.1</f>
        <v>0</v>
      </c>
      <c r="AI346" s="1">
        <f>IFERROR(VLOOKUP(X346,#REF!,8,FALSE),0)</f>
        <v>0</v>
      </c>
      <c r="AN346" s="1" t="str">
        <f>PROD_ID_TABLE[[#This Row],[PROD ID]]</f>
        <v>EXT SMALL SIAY0.7</v>
      </c>
      <c r="AO346" s="1" t="str">
        <f t="shared" si="62"/>
        <v>ACCELERA EXT SMALL 1R:1HSILVER GRAY0.75 GAL</v>
      </c>
      <c r="AP346" s="3">
        <f t="shared" si="63"/>
        <v>127.12</v>
      </c>
      <c r="AQ346" s="1" t="str">
        <f t="shared" si="64"/>
        <v>0.75 GAL</v>
      </c>
      <c r="AS346" s="1" t="str">
        <f t="shared" si="65"/>
        <v>SILVER GRAY</v>
      </c>
      <c r="AT346"/>
      <c r="AU346"/>
      <c r="AV346"/>
      <c r="AY346" t="str">
        <f t="shared" si="59"/>
        <v>EXT SMALL SIAY0.7</v>
      </c>
      <c r="AZ346" s="1" t="str">
        <f t="shared" si="60"/>
        <v xml:space="preserve">EXT SMALL </v>
      </c>
      <c r="BA346" t="str">
        <f t="shared" si="61"/>
        <v>SIAY</v>
      </c>
      <c r="BB346" s="1" t="str">
        <f t="shared" si="58"/>
        <v>0.7</v>
      </c>
      <c r="BC346" s="1">
        <f t="shared" si="67"/>
        <v>127.12</v>
      </c>
      <c r="BD346" s="1" t="s">
        <v>445</v>
      </c>
      <c r="BE346" s="1" t="s">
        <v>321</v>
      </c>
      <c r="BF346" s="1" t="s">
        <v>455</v>
      </c>
      <c r="BG346" s="1" t="s">
        <v>367</v>
      </c>
      <c r="BJ346"/>
      <c r="BK346"/>
      <c r="BM346"/>
    </row>
    <row r="347" spans="22:65" x14ac:dyDescent="0.35">
      <c r="V347" s="1" t="str">
        <v>4850 GROUTSTAY3 G</v>
      </c>
      <c r="X347" s="1" t="str">
        <f t="shared" si="66"/>
        <v xml:space="preserve"> COLOR - BTIEDKIT</v>
      </c>
      <c r="Y347" s="1" t="str" cm="1">
        <f t="array" ref="Y347">IFERROR(VLOOKUP($X347,$AN:AO,COLUMN(AO:AO)-COLUMN($AN:$AN)+1,FALSE),"")</f>
        <v>CRYLAFLOR COLOR - BACKGROUND ONLYTILE REDKIT</v>
      </c>
      <c r="Z347" s="63" cm="1">
        <f t="array" ref="Z347">IFERROR(VLOOKUP($X347,$AN:AP,COLUMN(AP:AP)-COLUMN($AN:$AN)+1,FALSE),"")</f>
        <v>112.8</v>
      </c>
      <c r="AA347" s="1" t="str" cm="1">
        <f t="array" ref="AA347">IFERROR(VLOOKUP($X347,$AN:AQ,COLUMN(AQ:AQ)-COLUMN($AN:$AN)+1,FALSE),"")</f>
        <v>KIT</v>
      </c>
      <c r="AC347" s="1" t="str" cm="1">
        <f t="array" ref="AC347">IFERROR(VLOOKUP($X347,$AN:AS,COLUMN(AS:AS)-COLUMN($AN:$AN)+1,FALSE),"")</f>
        <v>TILE RED</v>
      </c>
      <c r="AD347" s="1" t="s">
        <v>19</v>
      </c>
      <c r="AF347" s="1">
        <f>Table1[[#This Row],[C:C]]*1.1</f>
        <v>0</v>
      </c>
      <c r="AI347" s="1">
        <f>IFERROR(VLOOKUP(X347,#REF!,8,FALSE),0)</f>
        <v>0</v>
      </c>
      <c r="AN347" s="1" t="str">
        <f>PROD_ID_TABLE[[#This Row],[PROD ID]]</f>
        <v>EXT SMALL WHTE0.7</v>
      </c>
      <c r="AO347" s="1" t="str">
        <f t="shared" si="62"/>
        <v>ACCELERA EXT SMALL 1R:1HWHITE0.75 GAL</v>
      </c>
      <c r="AP347" s="3">
        <f t="shared" si="63"/>
        <v>127.12</v>
      </c>
      <c r="AQ347" s="1" t="str">
        <f t="shared" si="64"/>
        <v>0.75 GAL</v>
      </c>
      <c r="AS347" s="1" t="str">
        <f t="shared" si="65"/>
        <v>WHITE</v>
      </c>
      <c r="AT347"/>
      <c r="AU347"/>
      <c r="AV347"/>
      <c r="AY347" t="str">
        <f t="shared" si="59"/>
        <v>EXT SMALL WHTE0.7</v>
      </c>
      <c r="AZ347" s="1" t="str">
        <f t="shared" si="60"/>
        <v xml:space="preserve">EXT SMALL </v>
      </c>
      <c r="BA347" t="str">
        <f t="shared" si="61"/>
        <v>WHTE</v>
      </c>
      <c r="BB347" s="1" t="str">
        <f t="shared" si="58"/>
        <v>0.7</v>
      </c>
      <c r="BC347" s="1">
        <f t="shared" si="67"/>
        <v>127.12</v>
      </c>
      <c r="BD347" s="1" t="s">
        <v>445</v>
      </c>
      <c r="BE347" s="1" t="s">
        <v>322</v>
      </c>
      <c r="BF347" s="1" t="s">
        <v>455</v>
      </c>
      <c r="BG347" s="1" t="s">
        <v>367</v>
      </c>
      <c r="BJ347"/>
      <c r="BK347"/>
      <c r="BM347"/>
    </row>
    <row r="348" spans="22:65" x14ac:dyDescent="0.35">
      <c r="V348" s="1" t="str">
        <v>4850 GROUTBOTE3 G</v>
      </c>
      <c r="X348" s="1" t="str">
        <f t="shared" si="66"/>
        <v xml:space="preserve"> COLOR - BWHTEKIT</v>
      </c>
      <c r="Y348" s="1" t="str" cm="1">
        <f t="array" ref="Y348">IFERROR(VLOOKUP($X348,$AN:AO,COLUMN(AO:AO)-COLUMN($AN:$AN)+1,FALSE),"")</f>
        <v>CRYLAFLOR COLOR - BACKGROUND ONLYWHITEKIT</v>
      </c>
      <c r="Z348" s="63" cm="1">
        <f t="array" ref="Z348">IFERROR(VLOOKUP($X348,$AN:AP,COLUMN(AP:AP)-COLUMN($AN:$AN)+1,FALSE),"")</f>
        <v>112.8</v>
      </c>
      <c r="AA348" s="1" t="str" cm="1">
        <f t="array" ref="AA348">IFERROR(VLOOKUP($X348,$AN:AQ,COLUMN(AQ:AQ)-COLUMN($AN:$AN)+1,FALSE),"")</f>
        <v>KIT</v>
      </c>
      <c r="AC348" s="1" t="str" cm="1">
        <f t="array" ref="AC348">IFERROR(VLOOKUP($X348,$AN:AS,COLUMN(AS:AS)-COLUMN($AN:$AN)+1,FALSE),"")</f>
        <v>WHITE</v>
      </c>
      <c r="AD348" s="1" t="s">
        <v>19</v>
      </c>
      <c r="AF348" s="1">
        <f>Table1[[#This Row],[C:C]]*1.1</f>
        <v>0</v>
      </c>
      <c r="AI348" s="1">
        <f>IFERROR(VLOOKUP(X348,#REF!,8,FALSE),0)</f>
        <v>0</v>
      </c>
      <c r="AN348" s="1" t="str">
        <f>PROD_ID_TABLE[[#This Row],[PROD ID]]</f>
        <v>EXT SMALL BLCK0.7</v>
      </c>
      <c r="AO348" s="1" t="str">
        <f t="shared" si="62"/>
        <v>ACCELERA EXT SMALL 1R:1HBLACK0.75 GAL</v>
      </c>
      <c r="AP348" s="3">
        <f t="shared" si="63"/>
        <v>127.12</v>
      </c>
      <c r="AQ348" s="1" t="str">
        <f t="shared" si="64"/>
        <v>0.75 GAL</v>
      </c>
      <c r="AS348" s="1" t="str">
        <f t="shared" si="65"/>
        <v>BLACK</v>
      </c>
      <c r="AT348"/>
      <c r="AU348"/>
      <c r="AV348"/>
      <c r="AY348" t="str">
        <f t="shared" si="59"/>
        <v>EXT SMALL BLCK0.7</v>
      </c>
      <c r="AZ348" s="1" t="str">
        <f t="shared" si="60"/>
        <v xml:space="preserve">EXT SMALL </v>
      </c>
      <c r="BA348" t="str">
        <f t="shared" si="61"/>
        <v>BLCK</v>
      </c>
      <c r="BB348" s="1" t="str">
        <f t="shared" si="58"/>
        <v>0.7</v>
      </c>
      <c r="BC348" s="1">
        <f t="shared" si="67"/>
        <v>127.12</v>
      </c>
      <c r="BD348" s="1" t="s">
        <v>445</v>
      </c>
      <c r="BE348" s="1" t="s">
        <v>323</v>
      </c>
      <c r="BF348" s="1" t="s">
        <v>455</v>
      </c>
      <c r="BG348" s="1" t="s">
        <v>367</v>
      </c>
      <c r="BJ348"/>
      <c r="BK348"/>
      <c r="BM348"/>
    </row>
    <row r="349" spans="22:65" x14ac:dyDescent="0.35">
      <c r="V349" s="1" t="str">
        <v>4850 GROUTSIAY3 G</v>
      </c>
      <c r="X349" s="1" t="str">
        <f t="shared" si="66"/>
        <v xml:space="preserve"> BOND MT MN//AKIT</v>
      </c>
      <c r="Y349" s="1" t="str" cm="1">
        <f t="array" ref="Y349">IFERROR(VLOOKUP($X349,$AN:AO,COLUMN(AO:AO)-COLUMN($AN:$AN)+1,FALSE),"")</f>
        <v>CRYLAFLOR BOND MT METAL/TILE ENHANCERN/AKIT</v>
      </c>
      <c r="Z349" s="63" cm="1">
        <f t="array" ref="Z349">IFERROR(VLOOKUP($X349,$AN:AP,COLUMN(AP:AP)-COLUMN($AN:$AN)+1,FALSE),"")</f>
        <v>85.8</v>
      </c>
      <c r="AA349" s="1" t="str" cm="1">
        <f t="array" ref="AA349">IFERROR(VLOOKUP($X349,$AN:AQ,COLUMN(AQ:AQ)-COLUMN($AN:$AN)+1,FALSE),"")</f>
        <v>KIT</v>
      </c>
      <c r="AC349" s="1" t="str" cm="1">
        <f t="array" ref="AC349">IFERROR(VLOOKUP($X349,$AN:AS,COLUMN(AS:AS)-COLUMN($AN:$AN)+1,FALSE),"")</f>
        <v>N/A</v>
      </c>
      <c r="AD349" s="1" t="s">
        <v>19</v>
      </c>
      <c r="AF349" s="1">
        <f>Table1[[#This Row],[C:C]]*1.1</f>
        <v>0</v>
      </c>
      <c r="AI349" s="1">
        <f>IFERROR(VLOOKUP(X349,#REF!,8,FALSE),0)</f>
        <v>0</v>
      </c>
      <c r="AN349" s="1" t="str">
        <f>PROD_ID_TABLE[[#This Row],[PROD ID]]</f>
        <v>EXT SMALL PANT0.7</v>
      </c>
      <c r="AO349" s="1" t="str">
        <f t="shared" si="62"/>
        <v>ACCELERA EXT SMALL 1R:1HPARCHMENT0.75 GAL</v>
      </c>
      <c r="AP349" s="3">
        <f t="shared" si="63"/>
        <v>127.12</v>
      </c>
      <c r="AQ349" s="1" t="str">
        <f t="shared" si="64"/>
        <v>0.75 GAL</v>
      </c>
      <c r="AS349" s="1" t="str">
        <f t="shared" si="65"/>
        <v>PARCHMENT</v>
      </c>
      <c r="AT349"/>
      <c r="AU349"/>
      <c r="AV349"/>
      <c r="AY349" t="str">
        <f t="shared" si="59"/>
        <v>EXT SMALL PANT0.7</v>
      </c>
      <c r="AZ349" s="1" t="str">
        <f t="shared" si="60"/>
        <v xml:space="preserve">EXT SMALL </v>
      </c>
      <c r="BA349" t="str">
        <f t="shared" si="61"/>
        <v>PANT</v>
      </c>
      <c r="BB349" s="1" t="str">
        <f t="shared" si="58"/>
        <v>0.7</v>
      </c>
      <c r="BC349" s="1">
        <f t="shared" si="67"/>
        <v>127.12</v>
      </c>
      <c r="BD349" s="1" t="s">
        <v>445</v>
      </c>
      <c r="BE349" s="1" t="s">
        <v>324</v>
      </c>
      <c r="BF349" s="1" t="s">
        <v>455</v>
      </c>
      <c r="BG349" s="1" t="s">
        <v>367</v>
      </c>
      <c r="BJ349"/>
      <c r="BK349"/>
      <c r="BM349"/>
    </row>
    <row r="350" spans="22:65" x14ac:dyDescent="0.35">
      <c r="V350" s="1" t="str">
        <v>4850 GROUTWHTE3 G</v>
      </c>
      <c r="X350" s="1" t="str">
        <f t="shared" si="66"/>
        <v xml:space="preserve"> CLEAN SOLN//AKIT</v>
      </c>
      <c r="Y350" s="1" t="str" cm="1">
        <f t="array" ref="Y350">IFERROR(VLOOKUP($X350,$AN:AO,COLUMN(AO:AO)-COLUMN($AN:$AN)+1,FALSE),"")</f>
        <v>CRYLAFLOR CLEAN SOLVENT TO CLEAN TOOLSN/AKIT</v>
      </c>
      <c r="Z350" s="63" cm="1">
        <f t="array" ref="Z350">IFERROR(VLOOKUP($X350,$AN:AP,COLUMN(AP:AP)-COLUMN($AN:$AN)+1,FALSE),"")</f>
        <v>37.799999999999997</v>
      </c>
      <c r="AA350" s="1" t="str" cm="1">
        <f t="array" ref="AA350">IFERROR(VLOOKUP($X350,$AN:AQ,COLUMN(AQ:AQ)-COLUMN($AN:$AN)+1,FALSE),"")</f>
        <v>KIT</v>
      </c>
      <c r="AC350" s="1" t="str" cm="1">
        <f t="array" ref="AC350">IFERROR(VLOOKUP($X350,$AN:AS,COLUMN(AS:AS)-COLUMN($AN:$AN)+1,FALSE),"")</f>
        <v>N/A</v>
      </c>
      <c r="AD350" s="1" t="s">
        <v>19</v>
      </c>
      <c r="AF350" s="1">
        <f>Table1[[#This Row],[C:C]]*1.1</f>
        <v>0</v>
      </c>
      <c r="AI350" s="1">
        <f>IFERROR(VLOOKUP(X350,#REF!,8,FALSE),0)</f>
        <v>0</v>
      </c>
      <c r="AN350" s="1" t="str">
        <f>PROD_ID_TABLE[[#This Row],[PROD ID]]</f>
        <v>EXT SMALL SAED0.7</v>
      </c>
      <c r="AO350" s="1" t="str">
        <f t="shared" si="62"/>
        <v>ACCELERA EXT SMALL 1R:1HSAFETY RED0.75 GAL</v>
      </c>
      <c r="AP350" s="3">
        <f t="shared" si="63"/>
        <v>127.12</v>
      </c>
      <c r="AQ350" s="1" t="str">
        <f t="shared" si="64"/>
        <v>0.75 GAL</v>
      </c>
      <c r="AS350" s="1" t="str">
        <f t="shared" si="65"/>
        <v>SAFETY RED</v>
      </c>
      <c r="AT350"/>
      <c r="AU350"/>
      <c r="AV350"/>
      <c r="AY350" t="str">
        <f t="shared" ref="AY350:AY376" si="68">_xlfn.CONCAT(AZ350:BB350)</f>
        <v>EXT SMALL SAED0.7</v>
      </c>
      <c r="AZ350" s="1" t="str">
        <f t="shared" ref="AZ350:AZ376" si="69">MID(BD350,10,10)</f>
        <v xml:space="preserve">EXT SMALL </v>
      </c>
      <c r="BA350" t="str">
        <f t="shared" ref="BA350:BA376" si="70">LEFT(BE350,2)&amp;RIGHT(BE350,2)</f>
        <v>SAED</v>
      </c>
      <c r="BB350" s="1" t="str">
        <f t="shared" si="58"/>
        <v>0.7</v>
      </c>
      <c r="BC350" s="1">
        <f t="shared" si="67"/>
        <v>127.12</v>
      </c>
      <c r="BD350" s="1" t="s">
        <v>445</v>
      </c>
      <c r="BE350" s="1" t="s">
        <v>325</v>
      </c>
      <c r="BF350" s="1" t="s">
        <v>455</v>
      </c>
      <c r="BG350" s="1" t="s">
        <v>367</v>
      </c>
      <c r="BJ350"/>
      <c r="BK350"/>
      <c r="BM350"/>
    </row>
    <row r="351" spans="22:65" x14ac:dyDescent="0.35">
      <c r="V351" s="1" t="str">
        <v>4850 GROUTBLCK3 G</v>
      </c>
      <c r="X351" s="1" t="str">
        <f t="shared" si="66"/>
        <v xml:space="preserve"> LTC ADDITN//AKIT</v>
      </c>
      <c r="Y351" s="1" t="str" cm="1">
        <f t="array" ref="Y351">IFERROR(VLOOKUP($X351,$AN:AO,COLUMN(AO:AO)-COLUMN($AN:$AN)+1,FALSE),"")</f>
        <v>CRYLAFLOR LTC ADDITIVE LOW TEMPERATUREN/AKIT</v>
      </c>
      <c r="Z351" s="63" cm="1">
        <f t="array" ref="Z351">IFERROR(VLOOKUP($X351,$AN:AP,COLUMN(AP:AP)-COLUMN($AN:$AN)+1,FALSE),"")</f>
        <v>46.8</v>
      </c>
      <c r="AA351" s="1" t="str" cm="1">
        <f t="array" ref="AA351">IFERROR(VLOOKUP($X351,$AN:AQ,COLUMN(AQ:AQ)-COLUMN($AN:$AN)+1,FALSE),"")</f>
        <v>KIT</v>
      </c>
      <c r="AC351" s="1" t="str" cm="1">
        <f t="array" ref="AC351">IFERROR(VLOOKUP($X351,$AN:AS,COLUMN(AS:AS)-COLUMN($AN:$AN)+1,FALSE),"")</f>
        <v>N/A</v>
      </c>
      <c r="AD351" s="1" t="s">
        <v>19</v>
      </c>
      <c r="AF351" s="1">
        <f>Table1[[#This Row],[C:C]]*1.1</f>
        <v>0</v>
      </c>
      <c r="AI351" s="1">
        <f>IFERROR(VLOOKUP(X351,#REF!,8,FALSE),0)</f>
        <v>0</v>
      </c>
      <c r="AN351" s="1" t="str">
        <f>PROD_ID_TABLE[[#This Row],[PROD ID]]</f>
        <v>EXT SMALL SAOW0.7</v>
      </c>
      <c r="AO351" s="1" t="str">
        <f t="shared" si="62"/>
        <v>ACCELERA EXT SMALL 1R:1HSAFETY YELLOW0.75 GAL</v>
      </c>
      <c r="AP351" s="3">
        <f t="shared" si="63"/>
        <v>127.12</v>
      </c>
      <c r="AQ351" s="1" t="str">
        <f t="shared" si="64"/>
        <v>0.75 GAL</v>
      </c>
      <c r="AS351" s="1" t="str">
        <f t="shared" si="65"/>
        <v>SAFETY YELLOW</v>
      </c>
      <c r="AT351"/>
      <c r="AU351"/>
      <c r="AV351"/>
      <c r="AY351" t="str">
        <f t="shared" si="68"/>
        <v>EXT SMALL SAOW0.7</v>
      </c>
      <c r="AZ351" s="1" t="str">
        <f t="shared" si="69"/>
        <v xml:space="preserve">EXT SMALL </v>
      </c>
      <c r="BA351" t="str">
        <f t="shared" si="70"/>
        <v>SAOW</v>
      </c>
      <c r="BB351" s="1" t="str">
        <f t="shared" si="58"/>
        <v>0.7</v>
      </c>
      <c r="BC351" s="1">
        <f t="shared" si="67"/>
        <v>127.12</v>
      </c>
      <c r="BD351" s="1" t="s">
        <v>445</v>
      </c>
      <c r="BE351" s="1" t="s">
        <v>326</v>
      </c>
      <c r="BF351" s="1" t="s">
        <v>455</v>
      </c>
      <c r="BG351" s="1" t="s">
        <v>367</v>
      </c>
      <c r="BJ351"/>
      <c r="BK351"/>
      <c r="BM351"/>
    </row>
    <row r="352" spans="22:65" x14ac:dyDescent="0.35">
      <c r="V352" s="1" t="str">
        <v>4850 GROUTPANT3 G</v>
      </c>
      <c r="X352" s="1" t="str">
        <f t="shared" si="66"/>
        <v xml:space="preserve"> SL FILLERN//AKIT</v>
      </c>
      <c r="Y352" s="1" t="str" cm="1">
        <f t="array" ref="Y352">IFERROR(VLOOKUP($X352,$AN:AO,COLUMN(AO:AO)-COLUMN($AN:$AN)+1,FALSE),"")</f>
        <v>CRYLAFLOR SL FILLER BLEND TO G-201N/AKIT</v>
      </c>
      <c r="Z352" s="63" cm="1">
        <f t="array" ref="Z352">IFERROR(VLOOKUP($X352,$AN:AP,COLUMN(AP:AP)-COLUMN($AN:$AN)+1,FALSE),"")</f>
        <v>23.4</v>
      </c>
      <c r="AA352" s="1" t="str" cm="1">
        <f t="array" ref="AA352">IFERROR(VLOOKUP($X352,$AN:AQ,COLUMN(AQ:AQ)-COLUMN($AN:$AN)+1,FALSE),"")</f>
        <v>KIT</v>
      </c>
      <c r="AC352" s="1" t="str" cm="1">
        <f t="array" ref="AC352">IFERROR(VLOOKUP($X352,$AN:AS,COLUMN(AS:AS)-COLUMN($AN:$AN)+1,FALSE),"")</f>
        <v>N/A</v>
      </c>
      <c r="AD352" s="1" t="s">
        <v>19</v>
      </c>
      <c r="AF352" s="1">
        <f>Table1[[#This Row],[C:C]]*1.1</f>
        <v>0</v>
      </c>
      <c r="AI352" s="1">
        <f>IFERROR(VLOOKUP(X352,#REF!,8,FALSE),0)</f>
        <v>0</v>
      </c>
      <c r="AN352" s="1" t="str">
        <f>PROD_ID_TABLE[[#This Row],[PROD ID]]</f>
        <v>EXT SMALL ROUE0.7</v>
      </c>
      <c r="AO352" s="1" t="str">
        <f t="shared" si="62"/>
        <v>ACCELERA EXT SMALL 1R:1HROYAL BLUE0.75 GAL</v>
      </c>
      <c r="AP352" s="3">
        <f t="shared" si="63"/>
        <v>127.12</v>
      </c>
      <c r="AQ352" s="1" t="str">
        <f t="shared" si="64"/>
        <v>0.75 GAL</v>
      </c>
      <c r="AS352" s="1" t="str">
        <f t="shared" si="65"/>
        <v>ROYAL BLUE</v>
      </c>
      <c r="AT352"/>
      <c r="AU352"/>
      <c r="AV352"/>
      <c r="AY352" t="str">
        <f t="shared" si="68"/>
        <v>EXT SMALL ROUE0.7</v>
      </c>
      <c r="AZ352" s="1" t="str">
        <f t="shared" si="69"/>
        <v xml:space="preserve">EXT SMALL </v>
      </c>
      <c r="BA352" t="str">
        <f t="shared" si="70"/>
        <v>ROUE</v>
      </c>
      <c r="BB352" s="1" t="str">
        <f t="shared" si="58"/>
        <v>0.7</v>
      </c>
      <c r="BC352" s="1">
        <f t="shared" si="67"/>
        <v>127.12</v>
      </c>
      <c r="BD352" s="1" t="s">
        <v>445</v>
      </c>
      <c r="BE352" s="1" t="s">
        <v>428</v>
      </c>
      <c r="BF352" s="1" t="s">
        <v>455</v>
      </c>
      <c r="BG352" s="1" t="s">
        <v>367</v>
      </c>
      <c r="BJ352"/>
      <c r="BK352"/>
      <c r="BM352"/>
    </row>
    <row r="353" spans="22:65" x14ac:dyDescent="0.35">
      <c r="V353" s="1" t="str">
        <v>4850 GROUTSAED3 G</v>
      </c>
      <c r="X353" s="1" t="str">
        <f t="shared" si="66"/>
        <v>FLA CLEAR CLAR2 G</v>
      </c>
      <c r="Y353" s="1" t="str" cm="1">
        <f t="array" ref="Y353">IFERROR(VLOOKUP($X353,$AN:AO,COLUMN(AO:AO)-COLUMN($AN:$AN)+1,FALSE),"")</f>
        <v>RESUDECK FLA CLEAR ALIPHATIC POLYASPARTIC TOPCOATCLEAR2 GAL</v>
      </c>
      <c r="Z353" s="63" cm="1">
        <f t="array" ref="Z353">IFERROR(VLOOKUP($X353,$AN:AP,COLUMN(AP:AP)-COLUMN($AN:$AN)+1,FALSE),"")</f>
        <v>215.98</v>
      </c>
      <c r="AA353" s="1" t="str" cm="1">
        <f t="array" ref="AA353">IFERROR(VLOOKUP($X353,$AN:AQ,COLUMN(AQ:AQ)-COLUMN($AN:$AN)+1,FALSE),"")</f>
        <v>2 GAL</v>
      </c>
      <c r="AC353" s="1" t="str" cm="1">
        <f t="array" ref="AC353">IFERROR(VLOOKUP($X353,$AN:AS,COLUMN(AS:AS)-COLUMN($AN:$AN)+1,FALSE),"")</f>
        <v>CLEAR</v>
      </c>
      <c r="AD353" s="1" t="s">
        <v>19</v>
      </c>
      <c r="AF353" s="1">
        <f>Table1[[#This Row],[C:C]]*1.1</f>
        <v>0</v>
      </c>
      <c r="AI353" s="1">
        <f>IFERROR(VLOOKUP(X353,#REF!,8,FALSE),0)</f>
        <v>0</v>
      </c>
      <c r="AN353" s="1" t="str">
        <f>PROD_ID_TABLE[[#This Row],[PROD ID]]</f>
        <v>EXT SMALL PEER0.7</v>
      </c>
      <c r="AO353" s="1" t="str">
        <f t="shared" si="62"/>
        <v>ACCELERA EXT SMALL 1R:1HPEWTER0.75 GAL</v>
      </c>
      <c r="AP353" s="3">
        <f t="shared" si="63"/>
        <v>127.12</v>
      </c>
      <c r="AQ353" s="1" t="str">
        <f t="shared" si="64"/>
        <v>0.75 GAL</v>
      </c>
      <c r="AS353" s="1" t="str">
        <f t="shared" si="65"/>
        <v>PEWTER</v>
      </c>
      <c r="AT353"/>
      <c r="AU353"/>
      <c r="AV353"/>
      <c r="AY353" t="str">
        <f t="shared" si="68"/>
        <v>EXT SMALL PEER0.7</v>
      </c>
      <c r="AZ353" s="1" t="str">
        <f t="shared" si="69"/>
        <v xml:space="preserve">EXT SMALL </v>
      </c>
      <c r="BA353" t="str">
        <f t="shared" si="70"/>
        <v>PEER</v>
      </c>
      <c r="BB353" s="1" t="str">
        <f t="shared" si="58"/>
        <v>0.7</v>
      </c>
      <c r="BC353" s="1">
        <f t="shared" si="67"/>
        <v>127.12</v>
      </c>
      <c r="BD353" s="1" t="s">
        <v>445</v>
      </c>
      <c r="BE353" s="1" t="s">
        <v>327</v>
      </c>
      <c r="BF353" s="1" t="s">
        <v>455</v>
      </c>
      <c r="BG353" s="1" t="s">
        <v>367</v>
      </c>
      <c r="BJ353"/>
      <c r="BK353"/>
      <c r="BM353"/>
    </row>
    <row r="354" spans="22:65" x14ac:dyDescent="0.35">
      <c r="V354" s="1" t="str">
        <v>4850 GROUTSAOW3 G</v>
      </c>
      <c r="X354" s="1" t="str">
        <f t="shared" si="66"/>
        <v>4850 GROUTCLAR3 G</v>
      </c>
      <c r="Y354" s="1" t="str" cm="1">
        <f t="array" ref="Y354">IFERROR(VLOOKUP($X354,$AN:AO,COLUMN(AO:AO)-COLUMN($AN:$AN)+1,FALSE),"")</f>
        <v>ACCELERA 4850 GROUT/TOPCOAT POLYASPARTICCLEAR3 GAL</v>
      </c>
      <c r="Z354" s="63" cm="1">
        <f t="array" ref="Z354">IFERROR(VLOOKUP($X354,$AN:AP,COLUMN(AP:AP)-COLUMN($AN:$AN)+1,FALSE),"")</f>
        <v>466.86</v>
      </c>
      <c r="AA354" s="1" t="str" cm="1">
        <f t="array" ref="AA354">IFERROR(VLOOKUP($X354,$AN:AQ,COLUMN(AQ:AQ)-COLUMN($AN:$AN)+1,FALSE),"")</f>
        <v>3 GAL</v>
      </c>
      <c r="AC354" s="1" t="str" cm="1">
        <f t="array" ref="AC354">IFERROR(VLOOKUP($X354,$AN:AS,COLUMN(AS:AS)-COLUMN($AN:$AN)+1,FALSE),"")</f>
        <v>CLEAR</v>
      </c>
      <c r="AD354" s="1" t="s">
        <v>19</v>
      </c>
      <c r="AF354" s="1">
        <f>Table1[[#This Row],[C:C]]*1.1</f>
        <v>0</v>
      </c>
      <c r="AI354" s="1">
        <f>IFERROR(VLOOKUP(X354,#REF!,8,FALSE),0)</f>
        <v>0</v>
      </c>
      <c r="AN354" s="1" t="str">
        <f>PROD_ID_TABLE[[#This Row],[PROD ID]]</f>
        <v>EXT SMALL CLLE0.7</v>
      </c>
      <c r="AO354" s="1" t="str">
        <f t="shared" si="62"/>
        <v>ACCELERA EXT SMALL 1R:1HCLASIC RED TILE0.75 GAL</v>
      </c>
      <c r="AP354" s="3">
        <f t="shared" si="63"/>
        <v>127.12</v>
      </c>
      <c r="AQ354" s="1" t="str">
        <f t="shared" si="64"/>
        <v>0.75 GAL</v>
      </c>
      <c r="AS354" s="1" t="str">
        <f t="shared" si="65"/>
        <v>CLASIC RED TILE</v>
      </c>
      <c r="AT354"/>
      <c r="AU354"/>
      <c r="AV354"/>
      <c r="AY354" t="str">
        <f t="shared" si="68"/>
        <v>EXT SMALL CLLE0.7</v>
      </c>
      <c r="AZ354" s="1" t="str">
        <f t="shared" si="69"/>
        <v xml:space="preserve">EXT SMALL </v>
      </c>
      <c r="BA354" t="str">
        <f t="shared" si="70"/>
        <v>CLLE</v>
      </c>
      <c r="BB354" s="1" t="str">
        <f t="shared" si="58"/>
        <v>0.7</v>
      </c>
      <c r="BC354" s="1">
        <f t="shared" si="67"/>
        <v>127.12</v>
      </c>
      <c r="BD354" s="1" t="s">
        <v>445</v>
      </c>
      <c r="BE354" s="1" t="s">
        <v>328</v>
      </c>
      <c r="BF354" s="1" t="s">
        <v>455</v>
      </c>
      <c r="BG354" s="1" t="s">
        <v>367</v>
      </c>
      <c r="BJ354"/>
      <c r="BK354"/>
      <c r="BM354"/>
    </row>
    <row r="355" spans="22:65" x14ac:dyDescent="0.35">
      <c r="V355" s="1" t="str">
        <v>4850 GROUTROUE3 G</v>
      </c>
      <c r="X355" s="1" t="str">
        <f t="shared" si="66"/>
        <v>4850 GROUTCUOM3 G</v>
      </c>
      <c r="Y355" s="1" t="str" cm="1">
        <f t="array" ref="Y355">IFERROR(VLOOKUP($X355,$AN:AO,COLUMN(AO:AO)-COLUMN($AN:$AN)+1,FALSE),"")</f>
        <v>ACCELERA 4850 GROUT/TOPCOAT POLYASPARTICCUSTOM3 GAL</v>
      </c>
      <c r="Z355" s="63" cm="1">
        <f t="array" ref="Z355">IFERROR(VLOOKUP($X355,$AN:AP,COLUMN(AP:AP)-COLUMN($AN:$AN)+1,FALSE),"")</f>
        <v>466.86</v>
      </c>
      <c r="AA355" s="1" t="str" cm="1">
        <f t="array" ref="AA355">IFERROR(VLOOKUP($X355,$AN:AQ,COLUMN(AQ:AQ)-COLUMN($AN:$AN)+1,FALSE),"")</f>
        <v>3 GAL</v>
      </c>
      <c r="AC355" s="1" t="str" cm="1">
        <f t="array" ref="AC355">IFERROR(VLOOKUP($X355,$AN:AS,COLUMN(AS:AS)-COLUMN($AN:$AN)+1,FALSE),"")</f>
        <v>CUSTOM</v>
      </c>
      <c r="AD355" s="1" t="s">
        <v>19</v>
      </c>
      <c r="AF355" s="1">
        <f>Table1[[#This Row],[C:C]]*1.1</f>
        <v>0</v>
      </c>
      <c r="AI355" s="1">
        <f>IFERROR(VLOOKUP(X355,#REF!,8,FALSE),0)</f>
        <v>0</v>
      </c>
      <c r="AN355" s="1" t="str">
        <f>PROD_ID_TABLE[[#This Row],[PROD ID]]</f>
        <v>EXT SMALL CAEL0.7</v>
      </c>
      <c r="AO355" s="1" t="str">
        <f t="shared" si="62"/>
        <v>ACCELERA EXT SMALL 1R:1HCARAMEL0.75 GAL</v>
      </c>
      <c r="AP355" s="3">
        <f t="shared" si="63"/>
        <v>127.12</v>
      </c>
      <c r="AQ355" s="1" t="str">
        <f t="shared" si="64"/>
        <v>0.75 GAL</v>
      </c>
      <c r="AS355" s="1" t="str">
        <f t="shared" si="65"/>
        <v>CARAMEL</v>
      </c>
      <c r="AT355"/>
      <c r="AU355"/>
      <c r="AV355"/>
      <c r="AY355" t="str">
        <f t="shared" si="68"/>
        <v>EXT SMALL CAEL0.7</v>
      </c>
      <c r="AZ355" s="1" t="str">
        <f t="shared" si="69"/>
        <v xml:space="preserve">EXT SMALL </v>
      </c>
      <c r="BA355" t="str">
        <f t="shared" si="70"/>
        <v>CAEL</v>
      </c>
      <c r="BB355" s="1" t="str">
        <f t="shared" si="58"/>
        <v>0.7</v>
      </c>
      <c r="BC355" s="1">
        <f t="shared" si="67"/>
        <v>127.12</v>
      </c>
      <c r="BD355" s="1" t="s">
        <v>445</v>
      </c>
      <c r="BE355" s="1" t="s">
        <v>329</v>
      </c>
      <c r="BF355" s="1" t="s">
        <v>455</v>
      </c>
      <c r="BG355" s="1" t="s">
        <v>367</v>
      </c>
      <c r="BJ355"/>
      <c r="BK355"/>
      <c r="BM355"/>
    </row>
    <row r="356" spans="22:65" x14ac:dyDescent="0.35">
      <c r="V356" s="1" t="str">
        <v>4850 GROUTPEER3 G</v>
      </c>
      <c r="X356" s="1" t="str">
        <f t="shared" si="66"/>
        <v>4850 GROUTMEAY3 G</v>
      </c>
      <c r="Y356" s="1" t="str" cm="1">
        <f t="array" ref="Y356">IFERROR(VLOOKUP($X356,$AN:AO,COLUMN(AO:AO)-COLUMN($AN:$AN)+1,FALSE),"")</f>
        <v>ACCELERA 4850 GROUT/TOPCOAT POLYASPARTICMEDIUM GRAY3 GAL</v>
      </c>
      <c r="Z356" s="63" cm="1">
        <f t="array" ref="Z356">IFERROR(VLOOKUP($X356,$AN:AP,COLUMN(AP:AP)-COLUMN($AN:$AN)+1,FALSE),"")</f>
        <v>466.86</v>
      </c>
      <c r="AA356" s="1" t="str" cm="1">
        <f t="array" ref="AA356">IFERROR(VLOOKUP($X356,$AN:AQ,COLUMN(AQ:AQ)-COLUMN($AN:$AN)+1,FALSE),"")</f>
        <v>3 GAL</v>
      </c>
      <c r="AC356" s="1" t="str" cm="1">
        <f t="array" ref="AC356">IFERROR(VLOOKUP($X356,$AN:AS,COLUMN(AS:AS)-COLUMN($AN:$AN)+1,FALSE),"")</f>
        <v>MEDIUM GRAY</v>
      </c>
      <c r="AD356" s="1" t="s">
        <v>19</v>
      </c>
      <c r="AF356" s="1">
        <f>Table1[[#This Row],[C:C]]*1.1</f>
        <v>0</v>
      </c>
      <c r="AI356" s="1">
        <f>IFERROR(VLOOKUP(X356,#REF!,8,FALSE),0)</f>
        <v>0</v>
      </c>
      <c r="AN356" s="1" t="str">
        <f>PROD_ID_TABLE[[#This Row],[PROD ID]]</f>
        <v>EXT SMALL ULSE0.7</v>
      </c>
      <c r="AO356" s="1" t="str">
        <f t="shared" si="62"/>
        <v>ACCELERA EXT SMALL 1R:1HULTRA DEEP BASE0.75 GAL</v>
      </c>
      <c r="AP356" s="3">
        <f t="shared" si="63"/>
        <v>127.12</v>
      </c>
      <c r="AQ356" s="1" t="str">
        <f t="shared" si="64"/>
        <v>0.75 GAL</v>
      </c>
      <c r="AS356" s="1" t="str">
        <f t="shared" si="65"/>
        <v>ULTRA DEEP BASE</v>
      </c>
      <c r="AT356"/>
      <c r="AU356"/>
      <c r="AV356"/>
      <c r="AY356" t="str">
        <f t="shared" si="68"/>
        <v>EXT SMALL ULSE0.7</v>
      </c>
      <c r="AZ356" s="1" t="str">
        <f t="shared" si="69"/>
        <v xml:space="preserve">EXT SMALL </v>
      </c>
      <c r="BA356" t="str">
        <f t="shared" si="70"/>
        <v>ULSE</v>
      </c>
      <c r="BB356" s="1" t="str">
        <f t="shared" si="58"/>
        <v>0.7</v>
      </c>
      <c r="BC356" s="1">
        <f t="shared" si="67"/>
        <v>127.12</v>
      </c>
      <c r="BD356" s="1" t="s">
        <v>445</v>
      </c>
      <c r="BE356" s="1" t="s">
        <v>330</v>
      </c>
      <c r="BF356" s="1" t="s">
        <v>455</v>
      </c>
      <c r="BG356" s="1" t="s">
        <v>367</v>
      </c>
      <c r="BJ356"/>
      <c r="BK356"/>
      <c r="BM356"/>
    </row>
    <row r="357" spans="22:65" x14ac:dyDescent="0.35">
      <c r="V357" s="1" t="str">
        <v>4850 GROUTCLLE3 G</v>
      </c>
      <c r="X357" s="1" t="str">
        <f t="shared" si="66"/>
        <v>4850 GROUTCAAY3 G</v>
      </c>
      <c r="Y357" s="1" t="str" cm="1">
        <f t="array" ref="Y357">IFERROR(VLOOKUP($X357,$AN:AO,COLUMN(AO:AO)-COLUMN($AN:$AN)+1,FALSE),"")</f>
        <v>ACCELERA 4850 GROUT/TOPCOAT POLYASPARTICCANADA GRAY3 GAL</v>
      </c>
      <c r="Z357" s="63" cm="1">
        <f t="array" ref="Z357">IFERROR(VLOOKUP($X357,$AN:AP,COLUMN(AP:AP)-COLUMN($AN:$AN)+1,FALSE),"")</f>
        <v>466.86</v>
      </c>
      <c r="AA357" s="1" t="str" cm="1">
        <f t="array" ref="AA357">IFERROR(VLOOKUP($X357,$AN:AQ,COLUMN(AQ:AQ)-COLUMN($AN:$AN)+1,FALSE),"")</f>
        <v>3 GAL</v>
      </c>
      <c r="AC357" s="1" t="str" cm="1">
        <f t="array" ref="AC357">IFERROR(VLOOKUP($X357,$AN:AS,COLUMN(AS:AS)-COLUMN($AN:$AN)+1,FALSE),"")</f>
        <v>CANADA GRAY</v>
      </c>
      <c r="AD357" s="1" t="s">
        <v>19</v>
      </c>
      <c r="AF357" s="1">
        <f>Table1[[#This Row],[C:C]]*1.1</f>
        <v>0</v>
      </c>
      <c r="AI357" s="1">
        <f>IFERROR(VLOOKUP(X357,#REF!,8,FALSE),0)</f>
        <v>0</v>
      </c>
      <c r="AN357" s="1" t="str">
        <f>PROD_ID_TABLE[[#This Row],[PROD ID]]</f>
        <v>EXT SMALL WHSE0.7</v>
      </c>
      <c r="AO357" s="1" t="str">
        <f t="shared" si="62"/>
        <v>ACCELERA EXT SMALL 1R:1HWHITE TINT BASE0.75 GAL</v>
      </c>
      <c r="AP357" s="3">
        <f t="shared" si="63"/>
        <v>127.12</v>
      </c>
      <c r="AQ357" s="1" t="str">
        <f t="shared" si="64"/>
        <v>0.75 GAL</v>
      </c>
      <c r="AS357" s="1" t="str">
        <f t="shared" si="65"/>
        <v>WHITE TINT BASE</v>
      </c>
      <c r="AT357"/>
      <c r="AU357"/>
      <c r="AV357"/>
      <c r="AY357" t="str">
        <f t="shared" si="68"/>
        <v>EXT SMALL WHSE0.7</v>
      </c>
      <c r="AZ357" s="1" t="str">
        <f t="shared" si="69"/>
        <v xml:space="preserve">EXT SMALL </v>
      </c>
      <c r="BA357" t="str">
        <f t="shared" si="70"/>
        <v>WHSE</v>
      </c>
      <c r="BB357" s="1" t="str">
        <f t="shared" si="58"/>
        <v>0.7</v>
      </c>
      <c r="BC357" s="1">
        <f t="shared" si="67"/>
        <v>127.12</v>
      </c>
      <c r="BD357" s="1" t="s">
        <v>445</v>
      </c>
      <c r="BE357" s="1" t="s">
        <v>331</v>
      </c>
      <c r="BF357" s="1" t="s">
        <v>455</v>
      </c>
      <c r="BG357" s="1" t="s">
        <v>367</v>
      </c>
      <c r="BJ357"/>
      <c r="BK357"/>
      <c r="BM357"/>
    </row>
    <row r="358" spans="22:65" x14ac:dyDescent="0.35">
      <c r="V358" s="1" t="str">
        <v>4850 GROUTCAEL3 G</v>
      </c>
      <c r="X358" s="1" t="str">
        <f t="shared" si="66"/>
        <v>4850 GROUTCHAL3 G</v>
      </c>
      <c r="Y358" s="1" t="str" cm="1">
        <f t="array" ref="Y358">IFERROR(VLOOKUP($X358,$AN:AO,COLUMN(AO:AO)-COLUMN($AN:$AN)+1,FALSE),"")</f>
        <v>ACCELERA 4850 GROUT/TOPCOAT POLYASPARTICCHARCOAL3 GAL</v>
      </c>
      <c r="Z358" s="63" cm="1">
        <f t="array" ref="Z358">IFERROR(VLOOKUP($X358,$AN:AP,COLUMN(AP:AP)-COLUMN($AN:$AN)+1,FALSE),"")</f>
        <v>466.86</v>
      </c>
      <c r="AA358" s="1" t="str" cm="1">
        <f t="array" ref="AA358">IFERROR(VLOOKUP($X358,$AN:AQ,COLUMN(AQ:AQ)-COLUMN($AN:$AN)+1,FALSE),"")</f>
        <v>3 GAL</v>
      </c>
      <c r="AC358" s="1" t="str" cm="1">
        <f t="array" ref="AC358">IFERROR(VLOOKUP($X358,$AN:AS,COLUMN(AS:AS)-COLUMN($AN:$AN)+1,FALSE),"")</f>
        <v>CHARCOAL</v>
      </c>
      <c r="AD358" s="1" t="s">
        <v>19</v>
      </c>
      <c r="AF358" s="1">
        <f>Table1[[#This Row],[C:C]]*1.1</f>
        <v>0</v>
      </c>
      <c r="AI358" s="1">
        <f>IFERROR(VLOOKUP(X358,#REF!,8,FALSE),0)</f>
        <v>0</v>
      </c>
      <c r="AN358" s="1" t="str">
        <f>PROD_ID_TABLE[[#This Row],[PROD ID]]</f>
        <v>EXT SMALL CLAR1.5</v>
      </c>
      <c r="AO358" s="1" t="str">
        <f t="shared" si="62"/>
        <v>ACCELERA EXT SMALL 1R:1HCLEAR1.5 GAL</v>
      </c>
      <c r="AP358" s="3">
        <f t="shared" si="63"/>
        <v>253.64</v>
      </c>
      <c r="AQ358" s="1" t="str">
        <f t="shared" si="64"/>
        <v>1.5 GAL</v>
      </c>
      <c r="AS358" s="1" t="str">
        <f t="shared" si="65"/>
        <v>CLEAR</v>
      </c>
      <c r="AT358"/>
      <c r="AU358"/>
      <c r="AV358"/>
      <c r="AY358" t="str">
        <f t="shared" si="68"/>
        <v>EXT SMALL CLAR1.5</v>
      </c>
      <c r="AZ358" s="1" t="str">
        <f t="shared" si="69"/>
        <v xml:space="preserve">EXT SMALL </v>
      </c>
      <c r="BA358" t="str">
        <f t="shared" si="70"/>
        <v>CLAR</v>
      </c>
      <c r="BB358" s="1" t="str">
        <f t="shared" si="58"/>
        <v>1.5</v>
      </c>
      <c r="BC358" s="1">
        <f t="shared" si="67"/>
        <v>253.64</v>
      </c>
      <c r="BD358" s="1" t="s">
        <v>445</v>
      </c>
      <c r="BE358" s="1" t="s">
        <v>315</v>
      </c>
      <c r="BF358" s="1" t="s">
        <v>456</v>
      </c>
      <c r="BG358" s="1" t="s">
        <v>367</v>
      </c>
      <c r="BJ358"/>
      <c r="BK358"/>
      <c r="BM358"/>
    </row>
    <row r="359" spans="22:65" x14ac:dyDescent="0.35">
      <c r="V359" s="1" t="str">
        <v>4850 GROUTULSE3 G</v>
      </c>
      <c r="X359" s="1" t="str">
        <f t="shared" si="66"/>
        <v>4850 GROUTSTAY3 G</v>
      </c>
      <c r="Y359" s="1" t="str" cm="1">
        <f t="array" ref="Y359">IFERROR(VLOOKUP($X359,$AN:AO,COLUMN(AO:AO)-COLUMN($AN:$AN)+1,FALSE),"")</f>
        <v>ACCELERA 4850 GROUT/TOPCOAT POLYASPARTICSTEEL GRAY3 GAL</v>
      </c>
      <c r="Z359" s="63" cm="1">
        <f t="array" ref="Z359">IFERROR(VLOOKUP($X359,$AN:AP,COLUMN(AP:AP)-COLUMN($AN:$AN)+1,FALSE),"")</f>
        <v>466.86</v>
      </c>
      <c r="AA359" s="1" t="str" cm="1">
        <f t="array" ref="AA359">IFERROR(VLOOKUP($X359,$AN:AQ,COLUMN(AQ:AQ)-COLUMN($AN:$AN)+1,FALSE),"")</f>
        <v>3 GAL</v>
      </c>
      <c r="AC359" s="1" t="str" cm="1">
        <f t="array" ref="AC359">IFERROR(VLOOKUP($X359,$AN:AS,COLUMN(AS:AS)-COLUMN($AN:$AN)+1,FALSE),"")</f>
        <v>STEEL GRAY</v>
      </c>
      <c r="AD359" s="1" t="s">
        <v>19</v>
      </c>
      <c r="AF359" s="1">
        <f>Table1[[#This Row],[C:C]]*1.1</f>
        <v>0</v>
      </c>
      <c r="AI359" s="1">
        <f>IFERROR(VLOOKUP(X359,#REF!,8,FALSE),0)</f>
        <v>0</v>
      </c>
      <c r="AN359" s="1" t="str">
        <f>PROD_ID_TABLE[[#This Row],[PROD ID]]</f>
        <v>EXT SMALL CUOM1.5</v>
      </c>
      <c r="AO359" s="1" t="str">
        <f t="shared" si="62"/>
        <v>ACCELERA EXT SMALL 1R:1HCUSTOM1.5 GAL</v>
      </c>
      <c r="AP359" s="3">
        <f t="shared" si="63"/>
        <v>253.64</v>
      </c>
      <c r="AQ359" s="1" t="str">
        <f t="shared" si="64"/>
        <v>1.5 GAL</v>
      </c>
      <c r="AS359" s="1" t="str">
        <f t="shared" si="65"/>
        <v>CUSTOM</v>
      </c>
      <c r="AT359"/>
      <c r="AU359"/>
      <c r="AV359"/>
      <c r="AY359" t="str">
        <f t="shared" si="68"/>
        <v>EXT SMALL CUOM1.5</v>
      </c>
      <c r="AZ359" s="1" t="str">
        <f t="shared" si="69"/>
        <v xml:space="preserve">EXT SMALL </v>
      </c>
      <c r="BA359" t="str">
        <f t="shared" si="70"/>
        <v>CUOM</v>
      </c>
      <c r="BB359" s="1" t="str">
        <f t="shared" si="58"/>
        <v>1.5</v>
      </c>
      <c r="BC359" s="1">
        <f t="shared" si="67"/>
        <v>253.64</v>
      </c>
      <c r="BD359" s="1" t="s">
        <v>445</v>
      </c>
      <c r="BE359" s="1" t="s">
        <v>316</v>
      </c>
      <c r="BF359" s="1" t="s">
        <v>456</v>
      </c>
      <c r="BG359" s="1" t="s">
        <v>367</v>
      </c>
      <c r="BJ359"/>
      <c r="BK359"/>
      <c r="BM359"/>
    </row>
    <row r="360" spans="22:65" x14ac:dyDescent="0.35">
      <c r="V360" s="1" t="str">
        <v>4850 GROUTWHSE3 G</v>
      </c>
      <c r="X360" s="1" t="str">
        <f t="shared" si="66"/>
        <v>4850 GROUTBOTE3 G</v>
      </c>
      <c r="Y360" s="1" t="str" cm="1">
        <f t="array" ref="Y360">IFERROR(VLOOKUP($X360,$AN:AO,COLUMN(AO:AO)-COLUMN($AN:$AN)+1,FALSE),"")</f>
        <v>ACCELERA 4850 GROUT/TOPCOAT POLYASPARTICBONE WHITE3 GAL</v>
      </c>
      <c r="Z360" s="63" cm="1">
        <f t="array" ref="Z360">IFERROR(VLOOKUP($X360,$AN:AP,COLUMN(AP:AP)-COLUMN($AN:$AN)+1,FALSE),"")</f>
        <v>466.86</v>
      </c>
      <c r="AA360" s="1" t="str" cm="1">
        <f t="array" ref="AA360">IFERROR(VLOOKUP($X360,$AN:AQ,COLUMN(AQ:AQ)-COLUMN($AN:$AN)+1,FALSE),"")</f>
        <v>3 GAL</v>
      </c>
      <c r="AC360" s="1" t="str" cm="1">
        <f t="array" ref="AC360">IFERROR(VLOOKUP($X360,$AN:AS,COLUMN(AS:AS)-COLUMN($AN:$AN)+1,FALSE),"")</f>
        <v>BONE WHITE</v>
      </c>
      <c r="AD360" s="1" t="s">
        <v>19</v>
      </c>
      <c r="AF360" s="1">
        <f>Table1[[#This Row],[C:C]]*1.1</f>
        <v>0</v>
      </c>
      <c r="AI360" s="1">
        <f>IFERROR(VLOOKUP(X360,#REF!,8,FALSE),0)</f>
        <v>0</v>
      </c>
      <c r="AN360" s="1" t="str">
        <f>PROD_ID_TABLE[[#This Row],[PROD ID]]</f>
        <v>EXT SMALL MEAY1.5</v>
      </c>
      <c r="AO360" s="1" t="str">
        <f t="shared" si="62"/>
        <v>ACCELERA EXT SMALL 1R:1HMEDIUM GRAY1.5 GAL</v>
      </c>
      <c r="AP360" s="3">
        <f t="shared" si="63"/>
        <v>253.64</v>
      </c>
      <c r="AQ360" s="1" t="str">
        <f t="shared" si="64"/>
        <v>1.5 GAL</v>
      </c>
      <c r="AS360" s="1" t="str">
        <f t="shared" si="65"/>
        <v>MEDIUM GRAY</v>
      </c>
      <c r="AT360"/>
      <c r="AU360"/>
      <c r="AV360"/>
      <c r="AY360" t="str">
        <f t="shared" si="68"/>
        <v>EXT SMALL MEAY1.5</v>
      </c>
      <c r="AZ360" s="1" t="str">
        <f t="shared" si="69"/>
        <v xml:space="preserve">EXT SMALL </v>
      </c>
      <c r="BA360" t="str">
        <f t="shared" si="70"/>
        <v>MEAY</v>
      </c>
      <c r="BB360" s="1" t="str">
        <f t="shared" si="58"/>
        <v>1.5</v>
      </c>
      <c r="BC360" s="1">
        <f t="shared" si="67"/>
        <v>253.64</v>
      </c>
      <c r="BD360" s="1" t="s">
        <v>445</v>
      </c>
      <c r="BE360" s="1" t="s">
        <v>333</v>
      </c>
      <c r="BF360" s="1" t="s">
        <v>456</v>
      </c>
      <c r="BG360" s="1" t="s">
        <v>367</v>
      </c>
      <c r="BJ360"/>
      <c r="BK360"/>
      <c r="BM360"/>
    </row>
    <row r="361" spans="22:65" x14ac:dyDescent="0.35">
      <c r="V361" s="1" t="str">
        <v xml:space="preserve">4850 GROUTCLAR15 </v>
      </c>
      <c r="X361" s="1" t="str">
        <f t="shared" si="66"/>
        <v>4850 GROUTSIAY3 G</v>
      </c>
      <c r="Y361" s="1" t="str" cm="1">
        <f t="array" ref="Y361">IFERROR(VLOOKUP($X361,$AN:AO,COLUMN(AO:AO)-COLUMN($AN:$AN)+1,FALSE),"")</f>
        <v>ACCELERA 4850 GROUT/TOPCOAT POLYASPARTICSILVER GRAY3 GAL</v>
      </c>
      <c r="Z361" s="63" cm="1">
        <f t="array" ref="Z361">IFERROR(VLOOKUP($X361,$AN:AP,COLUMN(AP:AP)-COLUMN($AN:$AN)+1,FALSE),"")</f>
        <v>466.86</v>
      </c>
      <c r="AA361" s="1" t="str" cm="1">
        <f t="array" ref="AA361">IFERROR(VLOOKUP($X361,$AN:AQ,COLUMN(AQ:AQ)-COLUMN($AN:$AN)+1,FALSE),"")</f>
        <v>3 GAL</v>
      </c>
      <c r="AC361" s="1" t="str" cm="1">
        <f t="array" ref="AC361">IFERROR(VLOOKUP($X361,$AN:AS,COLUMN(AS:AS)-COLUMN($AN:$AN)+1,FALSE),"")</f>
        <v>SILVER GRAY</v>
      </c>
      <c r="AD361" s="1" t="s">
        <v>19</v>
      </c>
      <c r="AF361" s="1">
        <f>Table1[[#This Row],[C:C]]*1.1</f>
        <v>0</v>
      </c>
      <c r="AI361" s="1">
        <f>IFERROR(VLOOKUP(X361,#REF!,8,FALSE),0)</f>
        <v>0</v>
      </c>
      <c r="AN361" s="1" t="str">
        <f>PROD_ID_TABLE[[#This Row],[PROD ID]]</f>
        <v>EXT SMALL CAAY1.5</v>
      </c>
      <c r="AO361" s="1" t="str">
        <f t="shared" si="62"/>
        <v>ACCELERA EXT SMALL 1R:1HCANADA GRAY1.5 GAL</v>
      </c>
      <c r="AP361" s="3">
        <f t="shared" si="63"/>
        <v>253.64</v>
      </c>
      <c r="AQ361" s="1" t="str">
        <f t="shared" si="64"/>
        <v>1.5 GAL</v>
      </c>
      <c r="AS361" s="1" t="str">
        <f t="shared" si="65"/>
        <v>CANADA GRAY</v>
      </c>
      <c r="AT361"/>
      <c r="AU361"/>
      <c r="AV361"/>
      <c r="AY361" t="str">
        <f t="shared" si="68"/>
        <v>EXT SMALL CAAY1.5</v>
      </c>
      <c r="AZ361" s="1" t="str">
        <f t="shared" si="69"/>
        <v xml:space="preserve">EXT SMALL </v>
      </c>
      <c r="BA361" t="str">
        <f t="shared" si="70"/>
        <v>CAAY</v>
      </c>
      <c r="BB361" s="1" t="str">
        <f t="shared" si="58"/>
        <v>1.5</v>
      </c>
      <c r="BC361" s="1">
        <f t="shared" si="67"/>
        <v>253.64</v>
      </c>
      <c r="BD361" s="1" t="s">
        <v>445</v>
      </c>
      <c r="BE361" s="1" t="s">
        <v>332</v>
      </c>
      <c r="BF361" s="1" t="s">
        <v>456</v>
      </c>
      <c r="BG361" s="1" t="s">
        <v>367</v>
      </c>
      <c r="BJ361"/>
      <c r="BK361"/>
      <c r="BM361"/>
    </row>
    <row r="362" spans="22:65" x14ac:dyDescent="0.35">
      <c r="V362" s="1" t="str">
        <v xml:space="preserve">4850 GROUTCUOM15 </v>
      </c>
      <c r="X362" s="1" t="str">
        <f t="shared" si="66"/>
        <v>4850 GROUTWHTE3 G</v>
      </c>
      <c r="Y362" s="1" t="str" cm="1">
        <f t="array" ref="Y362">IFERROR(VLOOKUP($X362,$AN:AO,COLUMN(AO:AO)-COLUMN($AN:$AN)+1,FALSE),"")</f>
        <v>ACCELERA 4850 GROUT/TOPCOAT POLYASPARTICWHITE3 GAL</v>
      </c>
      <c r="Z362" s="63" cm="1">
        <f t="array" ref="Z362">IFERROR(VLOOKUP($X362,$AN:AP,COLUMN(AP:AP)-COLUMN($AN:$AN)+1,FALSE),"")</f>
        <v>466.86</v>
      </c>
      <c r="AA362" s="1" t="str" cm="1">
        <f t="array" ref="AA362">IFERROR(VLOOKUP($X362,$AN:AQ,COLUMN(AQ:AQ)-COLUMN($AN:$AN)+1,FALSE),"")</f>
        <v>3 GAL</v>
      </c>
      <c r="AC362" s="1" t="str" cm="1">
        <f t="array" ref="AC362">IFERROR(VLOOKUP($X362,$AN:AS,COLUMN(AS:AS)-COLUMN($AN:$AN)+1,FALSE),"")</f>
        <v>WHITE</v>
      </c>
      <c r="AD362" s="1" t="s">
        <v>19</v>
      </c>
      <c r="AF362" s="1">
        <f>Table1[[#This Row],[C:C]]*1.1</f>
        <v>0</v>
      </c>
      <c r="AI362" s="1">
        <f>IFERROR(VLOOKUP(X362,#REF!,8,FALSE),0)</f>
        <v>0</v>
      </c>
      <c r="AN362" s="1" t="str">
        <f>PROD_ID_TABLE[[#This Row],[PROD ID]]</f>
        <v>EXT SMALL CHAL1.5</v>
      </c>
      <c r="AO362" s="1" t="str">
        <f t="shared" si="62"/>
        <v>ACCELERA EXT SMALL 1R:1HCHARCOAL1.5 GAL</v>
      </c>
      <c r="AP362" s="3">
        <f t="shared" si="63"/>
        <v>253.64</v>
      </c>
      <c r="AQ362" s="1" t="str">
        <f t="shared" si="64"/>
        <v>1.5 GAL</v>
      </c>
      <c r="AS362" s="1" t="str">
        <f t="shared" si="65"/>
        <v>CHARCOAL</v>
      </c>
      <c r="AT362"/>
      <c r="AU362"/>
      <c r="AV362"/>
      <c r="AY362" t="str">
        <f t="shared" si="68"/>
        <v>EXT SMALL CHAL1.5</v>
      </c>
      <c r="AZ362" s="1" t="str">
        <f t="shared" si="69"/>
        <v xml:space="preserve">EXT SMALL </v>
      </c>
      <c r="BA362" t="str">
        <f t="shared" si="70"/>
        <v>CHAL</v>
      </c>
      <c r="BB362" s="1" t="str">
        <f t="shared" si="58"/>
        <v>1.5</v>
      </c>
      <c r="BC362" s="1">
        <f t="shared" si="67"/>
        <v>253.64</v>
      </c>
      <c r="BD362" s="1" t="s">
        <v>445</v>
      </c>
      <c r="BE362" s="1" t="s">
        <v>318</v>
      </c>
      <c r="BF362" s="1" t="s">
        <v>456</v>
      </c>
      <c r="BG362" s="1" t="s">
        <v>367</v>
      </c>
      <c r="BJ362"/>
      <c r="BK362"/>
      <c r="BM362"/>
    </row>
    <row r="363" spans="22:65" x14ac:dyDescent="0.35">
      <c r="V363" s="1" t="str">
        <v xml:space="preserve">4850 GROUTMEAY15 </v>
      </c>
      <c r="X363" s="1" t="str">
        <f t="shared" si="66"/>
        <v>4850 GROUTBLCK3 G</v>
      </c>
      <c r="Y363" s="1" t="str" cm="1">
        <f t="array" ref="Y363">IFERROR(VLOOKUP($X363,$AN:AO,COLUMN(AO:AO)-COLUMN($AN:$AN)+1,FALSE),"")</f>
        <v>ACCELERA 4850 GROUT/TOPCOAT POLYASPARTICBLACK3 GAL</v>
      </c>
      <c r="Z363" s="63" cm="1">
        <f t="array" ref="Z363">IFERROR(VLOOKUP($X363,$AN:AP,COLUMN(AP:AP)-COLUMN($AN:$AN)+1,FALSE),"")</f>
        <v>466.86</v>
      </c>
      <c r="AA363" s="1" t="str" cm="1">
        <f t="array" ref="AA363">IFERROR(VLOOKUP($X363,$AN:AQ,COLUMN(AQ:AQ)-COLUMN($AN:$AN)+1,FALSE),"")</f>
        <v>3 GAL</v>
      </c>
      <c r="AC363" s="1" t="str" cm="1">
        <f t="array" ref="AC363">IFERROR(VLOOKUP($X363,$AN:AS,COLUMN(AS:AS)-COLUMN($AN:$AN)+1,FALSE),"")</f>
        <v>BLACK</v>
      </c>
      <c r="AD363" s="1" t="s">
        <v>19</v>
      </c>
      <c r="AF363" s="1">
        <f>Table1[[#This Row],[C:C]]*1.1</f>
        <v>0</v>
      </c>
      <c r="AI363" s="1">
        <f>IFERROR(VLOOKUP(X363,#REF!,8,FALSE),0)</f>
        <v>0</v>
      </c>
      <c r="AN363" s="1" t="str">
        <f>PROD_ID_TABLE[[#This Row],[PROD ID]]</f>
        <v>EXT SMALL STAY1.5</v>
      </c>
      <c r="AO363" s="1" t="str">
        <f t="shared" si="62"/>
        <v>ACCELERA EXT SMALL 1R:1HSTEEL GRAY1.5 GAL</v>
      </c>
      <c r="AP363" s="3">
        <f t="shared" si="63"/>
        <v>253.64</v>
      </c>
      <c r="AQ363" s="1" t="str">
        <f t="shared" si="64"/>
        <v>1.5 GAL</v>
      </c>
      <c r="AS363" s="1" t="str">
        <f t="shared" si="65"/>
        <v>STEEL GRAY</v>
      </c>
      <c r="AT363"/>
      <c r="AU363"/>
      <c r="AV363"/>
      <c r="AY363" t="str">
        <f t="shared" si="68"/>
        <v>EXT SMALL STAY1.5</v>
      </c>
      <c r="AZ363" s="1" t="str">
        <f t="shared" si="69"/>
        <v xml:space="preserve">EXT SMALL </v>
      </c>
      <c r="BA363" t="str">
        <f t="shared" si="70"/>
        <v>STAY</v>
      </c>
      <c r="BB363" s="1" t="str">
        <f t="shared" si="58"/>
        <v>1.5</v>
      </c>
      <c r="BC363" s="1">
        <f t="shared" si="67"/>
        <v>253.64</v>
      </c>
      <c r="BD363" s="1" t="s">
        <v>445</v>
      </c>
      <c r="BE363" s="1" t="s">
        <v>319</v>
      </c>
      <c r="BF363" s="1" t="s">
        <v>456</v>
      </c>
      <c r="BG363" s="1" t="s">
        <v>367</v>
      </c>
      <c r="BJ363"/>
      <c r="BK363"/>
      <c r="BM363"/>
    </row>
    <row r="364" spans="22:65" x14ac:dyDescent="0.35">
      <c r="V364" s="1" t="str">
        <v xml:space="preserve">4850 GROUTCAAY15 </v>
      </c>
      <c r="X364" s="1" t="str">
        <f t="shared" si="66"/>
        <v>4850 GROUTPANT3 G</v>
      </c>
      <c r="Y364" s="1" t="str" cm="1">
        <f t="array" ref="Y364">IFERROR(VLOOKUP($X364,$AN:AO,COLUMN(AO:AO)-COLUMN($AN:$AN)+1,FALSE),"")</f>
        <v>ACCELERA 4850 GROUT/TOPCOAT POLYASPARTICPARCHMENT3 GAL</v>
      </c>
      <c r="Z364" s="63" cm="1">
        <f t="array" ref="Z364">IFERROR(VLOOKUP($X364,$AN:AP,COLUMN(AP:AP)-COLUMN($AN:$AN)+1,FALSE),"")</f>
        <v>466.86</v>
      </c>
      <c r="AA364" s="1" t="str" cm="1">
        <f t="array" ref="AA364">IFERROR(VLOOKUP($X364,$AN:AQ,COLUMN(AQ:AQ)-COLUMN($AN:$AN)+1,FALSE),"")</f>
        <v>3 GAL</v>
      </c>
      <c r="AC364" s="1" t="str" cm="1">
        <f t="array" ref="AC364">IFERROR(VLOOKUP($X364,$AN:AS,COLUMN(AS:AS)-COLUMN($AN:$AN)+1,FALSE),"")</f>
        <v>PARCHMENT</v>
      </c>
      <c r="AD364" s="1" t="s">
        <v>19</v>
      </c>
      <c r="AF364" s="1">
        <f>Table1[[#This Row],[C:C]]*1.1</f>
        <v>0</v>
      </c>
      <c r="AI364" s="1">
        <f>IFERROR(VLOOKUP(X364,#REF!,8,FALSE),0)</f>
        <v>0</v>
      </c>
      <c r="AN364" s="1" t="str">
        <f>PROD_ID_TABLE[[#This Row],[PROD ID]]</f>
        <v>EXT SMALL BOTE1.5</v>
      </c>
      <c r="AO364" s="1" t="str">
        <f t="shared" si="62"/>
        <v>ACCELERA EXT SMALL 1R:1HBONE WHITE1.5 GAL</v>
      </c>
      <c r="AP364" s="3">
        <f t="shared" si="63"/>
        <v>253.64</v>
      </c>
      <c r="AQ364" s="1" t="str">
        <f t="shared" si="64"/>
        <v>1.5 GAL</v>
      </c>
      <c r="AS364" s="1" t="str">
        <f t="shared" si="65"/>
        <v>BONE WHITE</v>
      </c>
      <c r="AT364"/>
      <c r="AU364"/>
      <c r="AV364"/>
      <c r="AY364" t="str">
        <f t="shared" si="68"/>
        <v>EXT SMALL BOTE1.5</v>
      </c>
      <c r="AZ364" s="1" t="str">
        <f t="shared" si="69"/>
        <v xml:space="preserve">EXT SMALL </v>
      </c>
      <c r="BA364" t="str">
        <f t="shared" si="70"/>
        <v>BOTE</v>
      </c>
      <c r="BB364" s="1" t="str">
        <f t="shared" si="58"/>
        <v>1.5</v>
      </c>
      <c r="BC364" s="1">
        <f t="shared" si="67"/>
        <v>253.64</v>
      </c>
      <c r="BD364" s="1" t="s">
        <v>445</v>
      </c>
      <c r="BE364" s="1" t="s">
        <v>320</v>
      </c>
      <c r="BF364" s="1" t="s">
        <v>456</v>
      </c>
      <c r="BG364" s="1" t="s">
        <v>367</v>
      </c>
      <c r="BJ364"/>
      <c r="BK364"/>
      <c r="BM364"/>
    </row>
    <row r="365" spans="22:65" x14ac:dyDescent="0.35">
      <c r="V365" s="1" t="str">
        <v xml:space="preserve">4850 GROUTCHAL15 </v>
      </c>
      <c r="X365" s="1" t="str">
        <f t="shared" si="66"/>
        <v>4850 GROUTSAED3 G</v>
      </c>
      <c r="Y365" s="1" t="str" cm="1">
        <f t="array" ref="Y365">IFERROR(VLOOKUP($X365,$AN:AO,COLUMN(AO:AO)-COLUMN($AN:$AN)+1,FALSE),"")</f>
        <v>ACCELERA 4850 GROUT/TOPCOAT POLYASPARTICSAFETY RED3 GAL</v>
      </c>
      <c r="Z365" s="63" cm="1">
        <f t="array" ref="Z365">IFERROR(VLOOKUP($X365,$AN:AP,COLUMN(AP:AP)-COLUMN($AN:$AN)+1,FALSE),"")</f>
        <v>466.86</v>
      </c>
      <c r="AA365" s="1" t="str" cm="1">
        <f t="array" ref="AA365">IFERROR(VLOOKUP($X365,$AN:AQ,COLUMN(AQ:AQ)-COLUMN($AN:$AN)+1,FALSE),"")</f>
        <v>3 GAL</v>
      </c>
      <c r="AC365" s="1" t="str" cm="1">
        <f t="array" ref="AC365">IFERROR(VLOOKUP($X365,$AN:AS,COLUMN(AS:AS)-COLUMN($AN:$AN)+1,FALSE),"")</f>
        <v>SAFETY RED</v>
      </c>
      <c r="AD365" s="1" t="s">
        <v>19</v>
      </c>
      <c r="AF365" s="1">
        <f>Table1[[#This Row],[C:C]]*1.1</f>
        <v>0</v>
      </c>
      <c r="AI365" s="1">
        <f>IFERROR(VLOOKUP(X365,#REF!,8,FALSE),0)</f>
        <v>0</v>
      </c>
      <c r="AN365" s="1" t="str">
        <f>PROD_ID_TABLE[[#This Row],[PROD ID]]</f>
        <v>EXT SMALL SIAY1.5</v>
      </c>
      <c r="AO365" s="1" t="str">
        <f t="shared" si="62"/>
        <v>ACCELERA EXT SMALL 1R:1HSILVER GRAY1.5 GAL</v>
      </c>
      <c r="AP365" s="3">
        <f t="shared" si="63"/>
        <v>253.64</v>
      </c>
      <c r="AQ365" s="1" t="str">
        <f t="shared" si="64"/>
        <v>1.5 GAL</v>
      </c>
      <c r="AS365" s="1" t="str">
        <f t="shared" si="65"/>
        <v>SILVER GRAY</v>
      </c>
      <c r="AT365"/>
      <c r="AU365"/>
      <c r="AV365"/>
      <c r="AY365" t="str">
        <f t="shared" si="68"/>
        <v>EXT SMALL SIAY1.5</v>
      </c>
      <c r="AZ365" s="1" t="str">
        <f t="shared" si="69"/>
        <v xml:space="preserve">EXT SMALL </v>
      </c>
      <c r="BA365" t="str">
        <f t="shared" si="70"/>
        <v>SIAY</v>
      </c>
      <c r="BB365" s="1" t="str">
        <f t="shared" si="58"/>
        <v>1.5</v>
      </c>
      <c r="BC365" s="1">
        <f t="shared" si="67"/>
        <v>253.64</v>
      </c>
      <c r="BD365" s="1" t="s">
        <v>445</v>
      </c>
      <c r="BE365" s="1" t="s">
        <v>321</v>
      </c>
      <c r="BF365" s="1" t="s">
        <v>456</v>
      </c>
      <c r="BG365" s="1" t="s">
        <v>367</v>
      </c>
      <c r="BJ365"/>
      <c r="BK365"/>
      <c r="BM365"/>
    </row>
    <row r="366" spans="22:65" x14ac:dyDescent="0.35">
      <c r="V366" s="1" t="str">
        <v xml:space="preserve">4850 GROUTSTAY15 </v>
      </c>
      <c r="X366" s="1" t="str">
        <f t="shared" si="66"/>
        <v>4850 GROUTSAOW3 G</v>
      </c>
      <c r="Y366" s="1" t="str" cm="1">
        <f t="array" ref="Y366">IFERROR(VLOOKUP($X366,$AN:AO,COLUMN(AO:AO)-COLUMN($AN:$AN)+1,FALSE),"")</f>
        <v>ACCELERA 4850 GROUT/TOPCOAT POLYASPARTICSAFETY YELLOW3 GAL</v>
      </c>
      <c r="Z366" s="63" cm="1">
        <f t="array" ref="Z366">IFERROR(VLOOKUP($X366,$AN:AP,COLUMN(AP:AP)-COLUMN($AN:$AN)+1,FALSE),"")</f>
        <v>466.86</v>
      </c>
      <c r="AA366" s="1" t="str" cm="1">
        <f t="array" ref="AA366">IFERROR(VLOOKUP($X366,$AN:AQ,COLUMN(AQ:AQ)-COLUMN($AN:$AN)+1,FALSE),"")</f>
        <v>3 GAL</v>
      </c>
      <c r="AC366" s="1" t="str" cm="1">
        <f t="array" ref="AC366">IFERROR(VLOOKUP($X366,$AN:AS,COLUMN(AS:AS)-COLUMN($AN:$AN)+1,FALSE),"")</f>
        <v>SAFETY YELLOW</v>
      </c>
      <c r="AD366" s="1" t="s">
        <v>19</v>
      </c>
      <c r="AF366" s="1">
        <f>Table1[[#This Row],[C:C]]*1.1</f>
        <v>0</v>
      </c>
      <c r="AI366" s="1">
        <f>IFERROR(VLOOKUP(X366,#REF!,8,FALSE),0)</f>
        <v>0</v>
      </c>
      <c r="AN366" s="1" t="str">
        <f>PROD_ID_TABLE[[#This Row],[PROD ID]]</f>
        <v>EXT SMALL WHTE1.5</v>
      </c>
      <c r="AO366" s="1" t="str">
        <f t="shared" si="62"/>
        <v>ACCELERA EXT SMALL 1R:1HWHITE1.5 GAL</v>
      </c>
      <c r="AP366" s="3">
        <f t="shared" si="63"/>
        <v>253.64</v>
      </c>
      <c r="AQ366" s="1" t="str">
        <f t="shared" si="64"/>
        <v>1.5 GAL</v>
      </c>
      <c r="AS366" s="1" t="str">
        <f t="shared" si="65"/>
        <v>WHITE</v>
      </c>
      <c r="AT366"/>
      <c r="AU366"/>
      <c r="AV366"/>
      <c r="AY366" t="str">
        <f t="shared" si="68"/>
        <v>EXT SMALL WHTE1.5</v>
      </c>
      <c r="AZ366" s="1" t="str">
        <f t="shared" si="69"/>
        <v xml:space="preserve">EXT SMALL </v>
      </c>
      <c r="BA366" t="str">
        <f t="shared" si="70"/>
        <v>WHTE</v>
      </c>
      <c r="BB366" s="1" t="str">
        <f t="shared" si="58"/>
        <v>1.5</v>
      </c>
      <c r="BC366" s="1">
        <f t="shared" si="67"/>
        <v>253.64</v>
      </c>
      <c r="BD366" s="1" t="s">
        <v>445</v>
      </c>
      <c r="BE366" s="1" t="s">
        <v>322</v>
      </c>
      <c r="BF366" s="1" t="s">
        <v>456</v>
      </c>
      <c r="BG366" s="1" t="s">
        <v>367</v>
      </c>
      <c r="BJ366"/>
      <c r="BK366"/>
      <c r="BM366"/>
    </row>
    <row r="367" spans="22:65" x14ac:dyDescent="0.35">
      <c r="V367" s="1" t="str">
        <v xml:space="preserve">4850 GROUTBOTE15 </v>
      </c>
      <c r="X367" s="1" t="str">
        <f t="shared" si="66"/>
        <v>4850 GROUTROUE3 G</v>
      </c>
      <c r="Y367" s="1" t="str" cm="1">
        <f t="array" ref="Y367">IFERROR(VLOOKUP($X367,$AN:AO,COLUMN(AO:AO)-COLUMN($AN:$AN)+1,FALSE),"")</f>
        <v>ACCELERA 4850 GROUT/TOPCOAT POLYASPARTICROYAL BLUE3 GAL</v>
      </c>
      <c r="Z367" s="63" cm="1">
        <f t="array" ref="Z367">IFERROR(VLOOKUP($X367,$AN:AP,COLUMN(AP:AP)-COLUMN($AN:$AN)+1,FALSE),"")</f>
        <v>466.86</v>
      </c>
      <c r="AA367" s="1" t="str" cm="1">
        <f t="array" ref="AA367">IFERROR(VLOOKUP($X367,$AN:AQ,COLUMN(AQ:AQ)-COLUMN($AN:$AN)+1,FALSE),"")</f>
        <v>3 GAL</v>
      </c>
      <c r="AC367" s="1" t="str" cm="1">
        <f t="array" ref="AC367">IFERROR(VLOOKUP($X367,$AN:AS,COLUMN(AS:AS)-COLUMN($AN:$AN)+1,FALSE),"")</f>
        <v>ROYAL BLUE</v>
      </c>
      <c r="AD367" s="1" t="s">
        <v>19</v>
      </c>
      <c r="AF367" s="1">
        <f>Table1[[#This Row],[C:C]]*1.1</f>
        <v>0</v>
      </c>
      <c r="AI367" s="1">
        <f>IFERROR(VLOOKUP(X367,#REF!,8,FALSE),0)</f>
        <v>0</v>
      </c>
      <c r="AN367" s="1" t="str">
        <f>PROD_ID_TABLE[[#This Row],[PROD ID]]</f>
        <v>EXT SMALL BLCK1.5</v>
      </c>
      <c r="AO367" s="1" t="str">
        <f t="shared" si="62"/>
        <v>ACCELERA EXT SMALL 1R:1HBLACK1.5 GAL</v>
      </c>
      <c r="AP367" s="3">
        <f t="shared" si="63"/>
        <v>253.64</v>
      </c>
      <c r="AQ367" s="1" t="str">
        <f t="shared" si="64"/>
        <v>1.5 GAL</v>
      </c>
      <c r="AS367" s="1" t="str">
        <f t="shared" si="65"/>
        <v>BLACK</v>
      </c>
      <c r="AT367"/>
      <c r="AU367"/>
      <c r="AV367"/>
      <c r="AY367" t="str">
        <f t="shared" si="68"/>
        <v>EXT SMALL BLCK1.5</v>
      </c>
      <c r="AZ367" s="1" t="str">
        <f t="shared" si="69"/>
        <v xml:space="preserve">EXT SMALL </v>
      </c>
      <c r="BA367" t="str">
        <f t="shared" si="70"/>
        <v>BLCK</v>
      </c>
      <c r="BB367" s="1" t="str">
        <f t="shared" si="58"/>
        <v>1.5</v>
      </c>
      <c r="BC367" s="1">
        <f t="shared" si="67"/>
        <v>253.64</v>
      </c>
      <c r="BD367" s="1" t="s">
        <v>445</v>
      </c>
      <c r="BE367" s="1" t="s">
        <v>323</v>
      </c>
      <c r="BF367" s="1" t="s">
        <v>456</v>
      </c>
      <c r="BG367" s="1" t="s">
        <v>367</v>
      </c>
      <c r="BJ367"/>
      <c r="BK367"/>
      <c r="BM367"/>
    </row>
    <row r="368" spans="22:65" x14ac:dyDescent="0.35">
      <c r="V368" s="1" t="str">
        <v xml:space="preserve">4850 GROUTSIAY15 </v>
      </c>
      <c r="X368" s="1" t="str">
        <f t="shared" si="66"/>
        <v>4850 GROUTPEER3 G</v>
      </c>
      <c r="Y368" s="1" t="str" cm="1">
        <f t="array" ref="Y368">IFERROR(VLOOKUP($X368,$AN:AO,COLUMN(AO:AO)-COLUMN($AN:$AN)+1,FALSE),"")</f>
        <v>ACCELERA 4850 GROUT/TOPCOAT POLYASPARTICPEWTER3 GAL</v>
      </c>
      <c r="Z368" s="63" cm="1">
        <f t="array" ref="Z368">IFERROR(VLOOKUP($X368,$AN:AP,COLUMN(AP:AP)-COLUMN($AN:$AN)+1,FALSE),"")</f>
        <v>466.86</v>
      </c>
      <c r="AA368" s="1" t="str" cm="1">
        <f t="array" ref="AA368">IFERROR(VLOOKUP($X368,$AN:AQ,COLUMN(AQ:AQ)-COLUMN($AN:$AN)+1,FALSE),"")</f>
        <v>3 GAL</v>
      </c>
      <c r="AC368" s="1" t="str" cm="1">
        <f t="array" ref="AC368">IFERROR(VLOOKUP($X368,$AN:AS,COLUMN(AS:AS)-COLUMN($AN:$AN)+1,FALSE),"")</f>
        <v>PEWTER</v>
      </c>
      <c r="AD368" s="1" t="s">
        <v>19</v>
      </c>
      <c r="AF368" s="1">
        <f>Table1[[#This Row],[C:C]]*1.1</f>
        <v>0</v>
      </c>
      <c r="AI368" s="1">
        <f>IFERROR(VLOOKUP(X368,#REF!,8,FALSE),0)</f>
        <v>0</v>
      </c>
      <c r="AN368" s="1" t="str">
        <f>PROD_ID_TABLE[[#This Row],[PROD ID]]</f>
        <v>EXT SMALL PANT1.5</v>
      </c>
      <c r="AO368" s="1" t="str">
        <f t="shared" si="62"/>
        <v>ACCELERA EXT SMALL 1R:1HPARCHMENT1.5 GAL</v>
      </c>
      <c r="AP368" s="3">
        <f t="shared" si="63"/>
        <v>253.64</v>
      </c>
      <c r="AQ368" s="1" t="str">
        <f t="shared" si="64"/>
        <v>1.5 GAL</v>
      </c>
      <c r="AS368" s="1" t="str">
        <f t="shared" si="65"/>
        <v>PARCHMENT</v>
      </c>
      <c r="AT368"/>
      <c r="AU368"/>
      <c r="AV368"/>
      <c r="AY368" t="str">
        <f t="shared" si="68"/>
        <v>EXT SMALL PANT1.5</v>
      </c>
      <c r="AZ368" s="1" t="str">
        <f t="shared" si="69"/>
        <v xml:space="preserve">EXT SMALL </v>
      </c>
      <c r="BA368" t="str">
        <f t="shared" si="70"/>
        <v>PANT</v>
      </c>
      <c r="BB368" s="1" t="str">
        <f t="shared" ref="BB368:BB399" si="71">LEFT(BF368,3)</f>
        <v>1.5</v>
      </c>
      <c r="BC368" s="1">
        <f t="shared" si="67"/>
        <v>253.64</v>
      </c>
      <c r="BD368" s="1" t="s">
        <v>445</v>
      </c>
      <c r="BE368" s="1" t="s">
        <v>324</v>
      </c>
      <c r="BF368" s="1" t="s">
        <v>456</v>
      </c>
      <c r="BG368" s="1" t="s">
        <v>367</v>
      </c>
      <c r="BJ368"/>
      <c r="BK368"/>
      <c r="BM368"/>
    </row>
    <row r="369" spans="22:65" x14ac:dyDescent="0.35">
      <c r="V369" s="1" t="str">
        <v xml:space="preserve">4850 GROUTWHTE15 </v>
      </c>
      <c r="X369" s="1" t="str">
        <f t="shared" si="66"/>
        <v>4850 GROUTCLLE3 G</v>
      </c>
      <c r="Y369" s="1" t="str" cm="1">
        <f t="array" ref="Y369">IFERROR(VLOOKUP($X369,$AN:AO,COLUMN(AO:AO)-COLUMN($AN:$AN)+1,FALSE),"")</f>
        <v>ACCELERA 4850 GROUT/TOPCOAT POLYASPARTICCLASIC RED TILE3 GAL</v>
      </c>
      <c r="Z369" s="63" cm="1">
        <f t="array" ref="Z369">IFERROR(VLOOKUP($X369,$AN:AP,COLUMN(AP:AP)-COLUMN($AN:$AN)+1,FALSE),"")</f>
        <v>466.86</v>
      </c>
      <c r="AA369" s="1" t="str" cm="1">
        <f t="array" ref="AA369">IFERROR(VLOOKUP($X369,$AN:AQ,COLUMN(AQ:AQ)-COLUMN($AN:$AN)+1,FALSE),"")</f>
        <v>3 GAL</v>
      </c>
      <c r="AC369" s="1" t="str" cm="1">
        <f t="array" ref="AC369">IFERROR(VLOOKUP($X369,$AN:AS,COLUMN(AS:AS)-COLUMN($AN:$AN)+1,FALSE),"")</f>
        <v>CLASIC RED TILE</v>
      </c>
      <c r="AD369" s="1" t="s">
        <v>19</v>
      </c>
      <c r="AF369" s="1">
        <f>Table1[[#This Row],[C:C]]*1.1</f>
        <v>0</v>
      </c>
      <c r="AI369" s="1">
        <f>IFERROR(VLOOKUP(X369,#REF!,8,FALSE),0)</f>
        <v>0</v>
      </c>
      <c r="AN369" s="1" t="str">
        <f>PROD_ID_TABLE[[#This Row],[PROD ID]]</f>
        <v>EXT SMALL SAED1.5</v>
      </c>
      <c r="AO369" s="1" t="str">
        <f t="shared" si="62"/>
        <v>ACCELERA EXT SMALL 1R:1HSAFETY RED1.5 GAL</v>
      </c>
      <c r="AP369" s="3">
        <f t="shared" si="63"/>
        <v>253.64</v>
      </c>
      <c r="AQ369" s="1" t="str">
        <f t="shared" si="64"/>
        <v>1.5 GAL</v>
      </c>
      <c r="AS369" s="1" t="str">
        <f t="shared" si="65"/>
        <v>SAFETY RED</v>
      </c>
      <c r="AT369"/>
      <c r="AU369"/>
      <c r="AV369"/>
      <c r="AY369" t="str">
        <f t="shared" si="68"/>
        <v>EXT SMALL SAED1.5</v>
      </c>
      <c r="AZ369" s="1" t="str">
        <f t="shared" si="69"/>
        <v xml:space="preserve">EXT SMALL </v>
      </c>
      <c r="BA369" t="str">
        <f t="shared" si="70"/>
        <v>SAED</v>
      </c>
      <c r="BB369" s="1" t="str">
        <f t="shared" si="71"/>
        <v>1.5</v>
      </c>
      <c r="BC369" s="1">
        <f t="shared" si="67"/>
        <v>253.64</v>
      </c>
      <c r="BD369" s="1" t="s">
        <v>445</v>
      </c>
      <c r="BE369" s="1" t="s">
        <v>325</v>
      </c>
      <c r="BF369" s="1" t="s">
        <v>456</v>
      </c>
      <c r="BG369" s="1" t="s">
        <v>367</v>
      </c>
      <c r="BJ369"/>
      <c r="BK369"/>
      <c r="BM369"/>
    </row>
    <row r="370" spans="22:65" x14ac:dyDescent="0.35">
      <c r="V370" s="1" t="str">
        <v xml:space="preserve">4850 GROUTBLCK15 </v>
      </c>
      <c r="X370" s="1" t="str">
        <f t="shared" si="66"/>
        <v>4850 GROUTCAEL3 G</v>
      </c>
      <c r="Y370" s="1" t="str" cm="1">
        <f t="array" ref="Y370">IFERROR(VLOOKUP($X370,$AN:AO,COLUMN(AO:AO)-COLUMN($AN:$AN)+1,FALSE),"")</f>
        <v>ACCELERA 4850 GROUT/TOPCOAT POLYASPARTICCARAMEL3 GAL</v>
      </c>
      <c r="Z370" s="63" cm="1">
        <f t="array" ref="Z370">IFERROR(VLOOKUP($X370,$AN:AP,COLUMN(AP:AP)-COLUMN($AN:$AN)+1,FALSE),"")</f>
        <v>466.86</v>
      </c>
      <c r="AA370" s="1" t="str" cm="1">
        <f t="array" ref="AA370">IFERROR(VLOOKUP($X370,$AN:AQ,COLUMN(AQ:AQ)-COLUMN($AN:$AN)+1,FALSE),"")</f>
        <v>3 GAL</v>
      </c>
      <c r="AC370" s="1" t="str" cm="1">
        <f t="array" ref="AC370">IFERROR(VLOOKUP($X370,$AN:AS,COLUMN(AS:AS)-COLUMN($AN:$AN)+1,FALSE),"")</f>
        <v>CARAMEL</v>
      </c>
      <c r="AD370" s="1" t="s">
        <v>19</v>
      </c>
      <c r="AF370" s="1">
        <f>Table1[[#This Row],[C:C]]*1.1</f>
        <v>0</v>
      </c>
      <c r="AI370" s="1">
        <f>IFERROR(VLOOKUP(X370,#REF!,8,FALSE),0)</f>
        <v>0</v>
      </c>
      <c r="AN370" s="1" t="str">
        <f>PROD_ID_TABLE[[#This Row],[PROD ID]]</f>
        <v>EXT SMALL SAOW1.5</v>
      </c>
      <c r="AO370" s="1" t="str">
        <f t="shared" si="62"/>
        <v>ACCELERA EXT SMALL 1R:1HSAFETY YELLOW1.5 GAL</v>
      </c>
      <c r="AP370" s="3">
        <f t="shared" si="63"/>
        <v>253.64</v>
      </c>
      <c r="AQ370" s="1" t="str">
        <f t="shared" si="64"/>
        <v>1.5 GAL</v>
      </c>
      <c r="AS370" s="1" t="str">
        <f t="shared" si="65"/>
        <v>SAFETY YELLOW</v>
      </c>
      <c r="AT370"/>
      <c r="AU370"/>
      <c r="AV370"/>
      <c r="AY370" t="str">
        <f t="shared" si="68"/>
        <v>EXT SMALL SAOW1.5</v>
      </c>
      <c r="AZ370" s="1" t="str">
        <f t="shared" si="69"/>
        <v xml:space="preserve">EXT SMALL </v>
      </c>
      <c r="BA370" t="str">
        <f t="shared" si="70"/>
        <v>SAOW</v>
      </c>
      <c r="BB370" s="1" t="str">
        <f t="shared" si="71"/>
        <v>1.5</v>
      </c>
      <c r="BC370" s="1">
        <f t="shared" si="67"/>
        <v>253.64</v>
      </c>
      <c r="BD370" s="1" t="s">
        <v>445</v>
      </c>
      <c r="BE370" s="1" t="s">
        <v>326</v>
      </c>
      <c r="BF370" s="1" t="s">
        <v>456</v>
      </c>
      <c r="BG370" s="1" t="s">
        <v>367</v>
      </c>
      <c r="BJ370"/>
      <c r="BK370"/>
      <c r="BM370"/>
    </row>
    <row r="371" spans="22:65" x14ac:dyDescent="0.35">
      <c r="V371" s="1" t="str">
        <v xml:space="preserve">4850 GROUTPANT15 </v>
      </c>
      <c r="X371" s="1" t="str">
        <f t="shared" si="66"/>
        <v>4850 GROUTULSE3 G</v>
      </c>
      <c r="Y371" s="1" t="str" cm="1">
        <f t="array" ref="Y371">IFERROR(VLOOKUP($X371,$AN:AO,COLUMN(AO:AO)-COLUMN($AN:$AN)+1,FALSE),"")</f>
        <v>ACCELERA 4850 GROUT/TOPCOAT POLYASPARTICULTRA DEEP BASE3 GAL</v>
      </c>
      <c r="Z371" s="63" cm="1">
        <f t="array" ref="Z371">IFERROR(VLOOKUP($X371,$AN:AP,COLUMN(AP:AP)-COLUMN($AN:$AN)+1,FALSE),"")</f>
        <v>466.86</v>
      </c>
      <c r="AA371" s="1" t="str" cm="1">
        <f t="array" ref="AA371">IFERROR(VLOOKUP($X371,$AN:AQ,COLUMN(AQ:AQ)-COLUMN($AN:$AN)+1,FALSE),"")</f>
        <v>3 GAL</v>
      </c>
      <c r="AC371" s="1" t="str" cm="1">
        <f t="array" ref="AC371">IFERROR(VLOOKUP($X371,$AN:AS,COLUMN(AS:AS)-COLUMN($AN:$AN)+1,FALSE),"")</f>
        <v>ULTRA DEEP BASE</v>
      </c>
      <c r="AD371" s="1" t="s">
        <v>19</v>
      </c>
      <c r="AF371" s="1">
        <f>Table1[[#This Row],[C:C]]*1.1</f>
        <v>0</v>
      </c>
      <c r="AI371" s="1">
        <f>IFERROR(VLOOKUP(X371,#REF!,8,FALSE),0)</f>
        <v>0</v>
      </c>
      <c r="AN371" s="1" t="str">
        <f>PROD_ID_TABLE[[#This Row],[PROD ID]]</f>
        <v>EXT SMALL ROUE1.5</v>
      </c>
      <c r="AO371" s="1" t="str">
        <f t="shared" si="62"/>
        <v>ACCELERA EXT SMALL 1R:1HROYAL BLUE1.5 GAL</v>
      </c>
      <c r="AP371" s="3">
        <f t="shared" si="63"/>
        <v>253.64</v>
      </c>
      <c r="AQ371" s="1" t="str">
        <f t="shared" si="64"/>
        <v>1.5 GAL</v>
      </c>
      <c r="AS371" s="1" t="str">
        <f t="shared" si="65"/>
        <v>ROYAL BLUE</v>
      </c>
      <c r="AT371"/>
      <c r="AU371"/>
      <c r="AV371"/>
      <c r="AY371" t="str">
        <f t="shared" si="68"/>
        <v>EXT SMALL ROUE1.5</v>
      </c>
      <c r="AZ371" s="1" t="str">
        <f t="shared" si="69"/>
        <v xml:space="preserve">EXT SMALL </v>
      </c>
      <c r="BA371" t="str">
        <f t="shared" si="70"/>
        <v>ROUE</v>
      </c>
      <c r="BB371" s="1" t="str">
        <f t="shared" si="71"/>
        <v>1.5</v>
      </c>
      <c r="BC371" s="1">
        <f t="shared" si="67"/>
        <v>253.64</v>
      </c>
      <c r="BD371" s="1" t="s">
        <v>445</v>
      </c>
      <c r="BE371" s="1" t="s">
        <v>428</v>
      </c>
      <c r="BF371" s="1" t="s">
        <v>456</v>
      </c>
      <c r="BG371" s="1" t="s">
        <v>367</v>
      </c>
      <c r="BJ371"/>
      <c r="BK371"/>
      <c r="BM371"/>
    </row>
    <row r="372" spans="22:65" x14ac:dyDescent="0.35">
      <c r="V372" s="1" t="str">
        <v xml:space="preserve">4850 GROUTSAED15 </v>
      </c>
      <c r="X372" s="1" t="str">
        <f t="shared" si="66"/>
        <v>4850 GROUTWHSE3 G</v>
      </c>
      <c r="Y372" s="1" t="str" cm="1">
        <f t="array" ref="Y372">IFERROR(VLOOKUP($X372,$AN:AO,COLUMN(AO:AO)-COLUMN($AN:$AN)+1,FALSE),"")</f>
        <v>ACCELERA 4850 GROUT/TOPCOAT POLYASPARTICWHITE TINT BASE3 GAL</v>
      </c>
      <c r="Z372" s="63" cm="1">
        <f t="array" ref="Z372">IFERROR(VLOOKUP($X372,$AN:AP,COLUMN(AP:AP)-COLUMN($AN:$AN)+1,FALSE),"")</f>
        <v>466.86</v>
      </c>
      <c r="AA372" s="1" t="str" cm="1">
        <f t="array" ref="AA372">IFERROR(VLOOKUP($X372,$AN:AQ,COLUMN(AQ:AQ)-COLUMN($AN:$AN)+1,FALSE),"")</f>
        <v>3 GAL</v>
      </c>
      <c r="AC372" s="1" t="str" cm="1">
        <f t="array" ref="AC372">IFERROR(VLOOKUP($X372,$AN:AS,COLUMN(AS:AS)-COLUMN($AN:$AN)+1,FALSE),"")</f>
        <v>WHITE TINT BASE</v>
      </c>
      <c r="AD372" s="1" t="s">
        <v>19</v>
      </c>
      <c r="AF372" s="1">
        <f>Table1[[#This Row],[C:C]]*1.1</f>
        <v>0</v>
      </c>
      <c r="AI372" s="1">
        <f>IFERROR(VLOOKUP(X372,#REF!,8,FALSE),0)</f>
        <v>0</v>
      </c>
      <c r="AN372" s="1" t="str">
        <f>PROD_ID_TABLE[[#This Row],[PROD ID]]</f>
        <v>EXT SMALL PEER1.5</v>
      </c>
      <c r="AO372" s="1" t="str">
        <f t="shared" si="62"/>
        <v>ACCELERA EXT SMALL 1R:1HPEWTER1.5 GAL</v>
      </c>
      <c r="AP372" s="3">
        <f t="shared" si="63"/>
        <v>253.64</v>
      </c>
      <c r="AQ372" s="1" t="str">
        <f t="shared" si="64"/>
        <v>1.5 GAL</v>
      </c>
      <c r="AS372" s="1" t="str">
        <f t="shared" si="65"/>
        <v>PEWTER</v>
      </c>
      <c r="AT372"/>
      <c r="AU372"/>
      <c r="AV372"/>
      <c r="AY372" t="str">
        <f t="shared" si="68"/>
        <v>EXT SMALL PEER1.5</v>
      </c>
      <c r="AZ372" s="1" t="str">
        <f t="shared" si="69"/>
        <v xml:space="preserve">EXT SMALL </v>
      </c>
      <c r="BA372" t="str">
        <f t="shared" si="70"/>
        <v>PEER</v>
      </c>
      <c r="BB372" s="1" t="str">
        <f t="shared" si="71"/>
        <v>1.5</v>
      </c>
      <c r="BC372" s="1">
        <f t="shared" si="67"/>
        <v>253.64</v>
      </c>
      <c r="BD372" s="1" t="s">
        <v>445</v>
      </c>
      <c r="BE372" s="1" t="s">
        <v>327</v>
      </c>
      <c r="BF372" s="1" t="s">
        <v>456</v>
      </c>
      <c r="BG372" s="1" t="s">
        <v>367</v>
      </c>
      <c r="BJ372"/>
      <c r="BK372"/>
      <c r="BM372"/>
    </row>
    <row r="373" spans="22:65" x14ac:dyDescent="0.35">
      <c r="V373" s="1" t="str">
        <v xml:space="preserve">4850 GROUTSAOW15 </v>
      </c>
      <c r="X373" s="1" t="str">
        <f t="shared" si="66"/>
        <v xml:space="preserve">4850 GROUTCLAR15 </v>
      </c>
      <c r="Y373" s="1" t="str" cm="1">
        <f t="array" ref="Y373">IFERROR(VLOOKUP($X373,$AN:AO,COLUMN(AO:AO)-COLUMN($AN:$AN)+1,FALSE),"")</f>
        <v>ACCELERA 4850 GROUT/TOPCOAT POLYASPARTICCLEAR15 GAL</v>
      </c>
      <c r="Z373" s="63" cm="1">
        <f t="array" ref="Z373">IFERROR(VLOOKUP($X373,$AN:AP,COLUMN(AP:AP)-COLUMN($AN:$AN)+1,FALSE),"")</f>
        <v>2126.25</v>
      </c>
      <c r="AA373" s="1" t="str" cm="1">
        <f t="array" ref="AA373">IFERROR(VLOOKUP($X373,$AN:AQ,COLUMN(AQ:AQ)-COLUMN($AN:$AN)+1,FALSE),"")</f>
        <v>15 GAL</v>
      </c>
      <c r="AC373" s="1" t="str" cm="1">
        <f t="array" ref="AC373">IFERROR(VLOOKUP($X373,$AN:AS,COLUMN(AS:AS)-COLUMN($AN:$AN)+1,FALSE),"")</f>
        <v>CLEAR</v>
      </c>
      <c r="AD373" s="1" t="s">
        <v>19</v>
      </c>
      <c r="AF373" s="1">
        <f>Table1[[#This Row],[C:C]]*1.1</f>
        <v>0</v>
      </c>
      <c r="AI373" s="1">
        <f>IFERROR(VLOOKUP(X373,#REF!,8,FALSE),0)</f>
        <v>0</v>
      </c>
      <c r="AN373" s="1" t="str">
        <f>PROD_ID_TABLE[[#This Row],[PROD ID]]</f>
        <v>EXT SMALL CLLE1.5</v>
      </c>
      <c r="AO373" s="1" t="str">
        <f t="shared" si="62"/>
        <v>ACCELERA EXT SMALL 1R:1HCLASIC RED TILE1.5 GAL</v>
      </c>
      <c r="AP373" s="3">
        <f t="shared" si="63"/>
        <v>253.64</v>
      </c>
      <c r="AQ373" s="1" t="str">
        <f t="shared" si="64"/>
        <v>1.5 GAL</v>
      </c>
      <c r="AS373" s="1" t="str">
        <f t="shared" si="65"/>
        <v>CLASIC RED TILE</v>
      </c>
      <c r="AT373"/>
      <c r="AU373"/>
      <c r="AV373"/>
      <c r="AY373" t="str">
        <f t="shared" si="68"/>
        <v>EXT SMALL CLLE1.5</v>
      </c>
      <c r="AZ373" s="1" t="str">
        <f t="shared" si="69"/>
        <v xml:space="preserve">EXT SMALL </v>
      </c>
      <c r="BA373" t="str">
        <f t="shared" si="70"/>
        <v>CLLE</v>
      </c>
      <c r="BB373" s="1" t="str">
        <f t="shared" si="71"/>
        <v>1.5</v>
      </c>
      <c r="BC373" s="1">
        <f t="shared" si="67"/>
        <v>253.64</v>
      </c>
      <c r="BD373" s="1" t="s">
        <v>445</v>
      </c>
      <c r="BE373" s="1" t="s">
        <v>328</v>
      </c>
      <c r="BF373" s="1" t="s">
        <v>456</v>
      </c>
      <c r="BG373" s="1" t="s">
        <v>367</v>
      </c>
      <c r="BJ373"/>
      <c r="BK373"/>
      <c r="BM373"/>
    </row>
    <row r="374" spans="22:65" x14ac:dyDescent="0.35">
      <c r="V374" s="1" t="str">
        <v xml:space="preserve">4850 GROUTROUE15 </v>
      </c>
      <c r="X374" s="1" t="str">
        <f t="shared" si="66"/>
        <v xml:space="preserve">4850 GROUTCUOM15 </v>
      </c>
      <c r="Y374" s="1" t="str" cm="1">
        <f t="array" ref="Y374">IFERROR(VLOOKUP($X374,$AN:AO,COLUMN(AO:AO)-COLUMN($AN:$AN)+1,FALSE),"")</f>
        <v>ACCELERA 4850 GROUT/TOPCOAT POLYASPARTICCUSTOM15 GAL</v>
      </c>
      <c r="Z374" s="63" cm="1">
        <f t="array" ref="Z374">IFERROR(VLOOKUP($X374,$AN:AP,COLUMN(AP:AP)-COLUMN($AN:$AN)+1,FALSE),"")</f>
        <v>2126.25</v>
      </c>
      <c r="AA374" s="1" t="str" cm="1">
        <f t="array" ref="AA374">IFERROR(VLOOKUP($X374,$AN:AQ,COLUMN(AQ:AQ)-COLUMN($AN:$AN)+1,FALSE),"")</f>
        <v>15 GAL</v>
      </c>
      <c r="AC374" s="1" t="str" cm="1">
        <f t="array" ref="AC374">IFERROR(VLOOKUP($X374,$AN:AS,COLUMN(AS:AS)-COLUMN($AN:$AN)+1,FALSE),"")</f>
        <v>CUSTOM</v>
      </c>
      <c r="AD374" s="1" t="s">
        <v>19</v>
      </c>
      <c r="AF374" s="1">
        <f>Table1[[#This Row],[C:C]]*1.1</f>
        <v>0</v>
      </c>
      <c r="AI374" s="1">
        <f>IFERROR(VLOOKUP(X374,#REF!,8,FALSE),0)</f>
        <v>0</v>
      </c>
      <c r="AN374" s="1" t="str">
        <f>PROD_ID_TABLE[[#This Row],[PROD ID]]</f>
        <v>EXT SMALL CAEL1.5</v>
      </c>
      <c r="AO374" s="1" t="str">
        <f t="shared" si="62"/>
        <v>ACCELERA EXT SMALL 1R:1HCARAMEL1.5 GAL</v>
      </c>
      <c r="AP374" s="3">
        <f t="shared" si="63"/>
        <v>253.64</v>
      </c>
      <c r="AQ374" s="1" t="str">
        <f t="shared" si="64"/>
        <v>1.5 GAL</v>
      </c>
      <c r="AS374" s="1" t="str">
        <f t="shared" si="65"/>
        <v>CARAMEL</v>
      </c>
      <c r="AT374"/>
      <c r="AU374"/>
      <c r="AV374"/>
      <c r="AY374" t="str">
        <f t="shared" si="68"/>
        <v>EXT SMALL CAEL1.5</v>
      </c>
      <c r="AZ374" s="1" t="str">
        <f t="shared" si="69"/>
        <v xml:space="preserve">EXT SMALL </v>
      </c>
      <c r="BA374" t="str">
        <f t="shared" si="70"/>
        <v>CAEL</v>
      </c>
      <c r="BB374" s="1" t="str">
        <f t="shared" si="71"/>
        <v>1.5</v>
      </c>
      <c r="BC374" s="1">
        <f t="shared" si="67"/>
        <v>253.64</v>
      </c>
      <c r="BD374" s="1" t="s">
        <v>445</v>
      </c>
      <c r="BE374" s="1" t="s">
        <v>329</v>
      </c>
      <c r="BF374" s="1" t="s">
        <v>456</v>
      </c>
      <c r="BG374" s="1" t="s">
        <v>367</v>
      </c>
      <c r="BJ374"/>
      <c r="BK374"/>
      <c r="BM374"/>
    </row>
    <row r="375" spans="22:65" x14ac:dyDescent="0.35">
      <c r="V375" s="1" t="str">
        <v xml:space="preserve">4850 GROUTPEER15 </v>
      </c>
      <c r="X375" s="1" t="str">
        <f t="shared" si="66"/>
        <v xml:space="preserve">4850 GROUTMEAY15 </v>
      </c>
      <c r="Y375" s="1" t="str" cm="1">
        <f t="array" ref="Y375">IFERROR(VLOOKUP($X375,$AN:AO,COLUMN(AO:AO)-COLUMN($AN:$AN)+1,FALSE),"")</f>
        <v>ACCELERA 4850 GROUT/TOPCOAT POLYASPARTICMEDIUM GRAY15 GAL</v>
      </c>
      <c r="Z375" s="63" cm="1">
        <f t="array" ref="Z375">IFERROR(VLOOKUP($X375,$AN:AP,COLUMN(AP:AP)-COLUMN($AN:$AN)+1,FALSE),"")</f>
        <v>2126.25</v>
      </c>
      <c r="AA375" s="1" t="str" cm="1">
        <f t="array" ref="AA375">IFERROR(VLOOKUP($X375,$AN:AQ,COLUMN(AQ:AQ)-COLUMN($AN:$AN)+1,FALSE),"")</f>
        <v>15 GAL</v>
      </c>
      <c r="AC375" s="1" t="str" cm="1">
        <f t="array" ref="AC375">IFERROR(VLOOKUP($X375,$AN:AS,COLUMN(AS:AS)-COLUMN($AN:$AN)+1,FALSE),"")</f>
        <v>MEDIUM GRAY</v>
      </c>
      <c r="AD375" s="1" t="s">
        <v>19</v>
      </c>
      <c r="AF375" s="1">
        <f>Table1[[#This Row],[C:C]]*1.1</f>
        <v>0</v>
      </c>
      <c r="AI375" s="1">
        <f>IFERROR(VLOOKUP(X375,#REF!,8,FALSE),0)</f>
        <v>0</v>
      </c>
      <c r="AN375" s="1" t="str">
        <f>PROD_ID_TABLE[[#This Row],[PROD ID]]</f>
        <v>EXT SMALL ULSE1.5</v>
      </c>
      <c r="AO375" s="1" t="str">
        <f t="shared" si="62"/>
        <v>ACCELERA EXT SMALL 1R:1HULTRA DEEP BASE1.5 GAL</v>
      </c>
      <c r="AP375" s="3">
        <f t="shared" si="63"/>
        <v>253.64</v>
      </c>
      <c r="AQ375" s="1" t="str">
        <f t="shared" si="64"/>
        <v>1.5 GAL</v>
      </c>
      <c r="AS375" s="1" t="str">
        <f t="shared" si="65"/>
        <v>ULTRA DEEP BASE</v>
      </c>
      <c r="AT375"/>
      <c r="AU375"/>
      <c r="AV375"/>
      <c r="AY375" t="str">
        <f t="shared" si="68"/>
        <v>EXT SMALL ULSE1.5</v>
      </c>
      <c r="AZ375" s="1" t="str">
        <f t="shared" si="69"/>
        <v xml:space="preserve">EXT SMALL </v>
      </c>
      <c r="BA375" t="str">
        <f t="shared" si="70"/>
        <v>ULSE</v>
      </c>
      <c r="BB375" s="1" t="str">
        <f t="shared" si="71"/>
        <v>1.5</v>
      </c>
      <c r="BC375" s="1">
        <f t="shared" si="67"/>
        <v>253.64</v>
      </c>
      <c r="BD375" s="1" t="s">
        <v>445</v>
      </c>
      <c r="BE375" s="1" t="s">
        <v>330</v>
      </c>
      <c r="BF375" s="1" t="s">
        <v>456</v>
      </c>
      <c r="BG375" s="1" t="s">
        <v>367</v>
      </c>
      <c r="BJ375"/>
      <c r="BK375"/>
      <c r="BM375"/>
    </row>
    <row r="376" spans="22:65" x14ac:dyDescent="0.35">
      <c r="V376" s="1" t="str">
        <v xml:space="preserve">4850 GROUTCLLE15 </v>
      </c>
      <c r="X376" s="1" t="str">
        <f t="shared" si="66"/>
        <v xml:space="preserve">4850 GROUTCAAY15 </v>
      </c>
      <c r="Y376" s="1" t="str" cm="1">
        <f t="array" ref="Y376">IFERROR(VLOOKUP($X376,$AN:AO,COLUMN(AO:AO)-COLUMN($AN:$AN)+1,FALSE),"")</f>
        <v>ACCELERA 4850 GROUT/TOPCOAT POLYASPARTICCANADA GRAY15 GAL</v>
      </c>
      <c r="Z376" s="63" cm="1">
        <f t="array" ref="Z376">IFERROR(VLOOKUP($X376,$AN:AP,COLUMN(AP:AP)-COLUMN($AN:$AN)+1,FALSE),"")</f>
        <v>2126.25</v>
      </c>
      <c r="AA376" s="1" t="str" cm="1">
        <f t="array" ref="AA376">IFERROR(VLOOKUP($X376,$AN:AQ,COLUMN(AQ:AQ)-COLUMN($AN:$AN)+1,FALSE),"")</f>
        <v>15 GAL</v>
      </c>
      <c r="AC376" s="1" t="str" cm="1">
        <f t="array" ref="AC376">IFERROR(VLOOKUP($X376,$AN:AS,COLUMN(AS:AS)-COLUMN($AN:$AN)+1,FALSE),"")</f>
        <v>CANADA GRAY</v>
      </c>
      <c r="AD376" s="1" t="s">
        <v>19</v>
      </c>
      <c r="AF376" s="1">
        <f>Table1[[#This Row],[C:C]]*1.1</f>
        <v>0</v>
      </c>
      <c r="AI376" s="1">
        <f>IFERROR(VLOOKUP(X376,#REF!,8,FALSE),0)</f>
        <v>0</v>
      </c>
      <c r="AN376" s="1" t="str">
        <f>PROD_ID_TABLE[[#This Row],[PROD ID]]</f>
        <v>EXT SMALL WHSE1.5</v>
      </c>
      <c r="AO376" s="1" t="str">
        <f t="shared" si="62"/>
        <v>ACCELERA EXT SMALL 1R:1HWHITE TINT BASE1.5 GAL</v>
      </c>
      <c r="AP376" s="3">
        <f t="shared" si="63"/>
        <v>253.64</v>
      </c>
      <c r="AQ376" s="1" t="str">
        <f t="shared" si="64"/>
        <v>1.5 GAL</v>
      </c>
      <c r="AS376" s="1" t="str">
        <f t="shared" si="65"/>
        <v>WHITE TINT BASE</v>
      </c>
      <c r="AT376"/>
      <c r="AU376"/>
      <c r="AV376"/>
      <c r="AY376" t="str">
        <f t="shared" si="68"/>
        <v>EXT SMALL WHSE1.5</v>
      </c>
      <c r="AZ376" s="1" t="str">
        <f t="shared" si="69"/>
        <v xml:space="preserve">EXT SMALL </v>
      </c>
      <c r="BA376" t="str">
        <f t="shared" si="70"/>
        <v>WHSE</v>
      </c>
      <c r="BB376" s="1" t="str">
        <f t="shared" si="71"/>
        <v>1.5</v>
      </c>
      <c r="BC376" s="1">
        <f t="shared" si="67"/>
        <v>253.64</v>
      </c>
      <c r="BD376" s="1" t="s">
        <v>445</v>
      </c>
      <c r="BE376" s="1" t="s">
        <v>331</v>
      </c>
      <c r="BF376" s="1" t="s">
        <v>456</v>
      </c>
      <c r="BG376" s="1" t="s">
        <v>367</v>
      </c>
      <c r="BJ376"/>
      <c r="BK376"/>
      <c r="BM376"/>
    </row>
    <row r="377" spans="22:65" x14ac:dyDescent="0.35">
      <c r="V377" s="1" t="str">
        <v xml:space="preserve">4850 GROUTCAEL15 </v>
      </c>
      <c r="X377" s="1" t="str">
        <f t="shared" si="66"/>
        <v xml:space="preserve">4850 GROUTCHAL15 </v>
      </c>
      <c r="Y377" s="1" t="str" cm="1">
        <f t="array" ref="Y377">IFERROR(VLOOKUP($X377,$AN:AO,COLUMN(AO:AO)-COLUMN($AN:$AN)+1,FALSE),"")</f>
        <v>ACCELERA 4850 GROUT/TOPCOAT POLYASPARTICCHARCOAL15 GAL</v>
      </c>
      <c r="Z377" s="63" cm="1">
        <f t="array" ref="Z377">IFERROR(VLOOKUP($X377,$AN:AP,COLUMN(AP:AP)-COLUMN($AN:$AN)+1,FALSE),"")</f>
        <v>2126.25</v>
      </c>
      <c r="AA377" s="1" t="str" cm="1">
        <f t="array" ref="AA377">IFERROR(VLOOKUP($X377,$AN:AQ,COLUMN(AQ:AQ)-COLUMN($AN:$AN)+1,FALSE),"")</f>
        <v>15 GAL</v>
      </c>
      <c r="AC377" s="1" t="str" cm="1">
        <f t="array" ref="AC377">IFERROR(VLOOKUP($X377,$AN:AS,COLUMN(AS:AS)-COLUMN($AN:$AN)+1,FALSE),"")</f>
        <v>CHARCOAL</v>
      </c>
      <c r="AD377" s="1" t="s">
        <v>19</v>
      </c>
      <c r="AF377" s="1">
        <f>Table1[[#This Row],[C:C]]*1.1</f>
        <v>0</v>
      </c>
      <c r="AI377" s="1">
        <f>IFERROR(VLOOKUP(X377,#REF!,8,FALSE),0)</f>
        <v>0</v>
      </c>
      <c r="AN377" s="1" t="str">
        <f>PROD_ID_TABLE[[#This Row],[PROD ID]]</f>
        <v>ONE RESIN CLAR5 G</v>
      </c>
      <c r="AO377" s="1" t="str">
        <f t="shared" si="62"/>
        <v>ACCELERA ONE RESIN (SEE MIX CHART)CLEAR5 GAL</v>
      </c>
      <c r="AP377" s="3">
        <f t="shared" si="63"/>
        <v>684.43</v>
      </c>
      <c r="AQ377" s="1" t="str">
        <f t="shared" si="64"/>
        <v>5 GAL</v>
      </c>
      <c r="AS377" s="1" t="str">
        <f t="shared" si="65"/>
        <v>CLEAR</v>
      </c>
      <c r="AT377"/>
      <c r="AU377"/>
      <c r="AV377"/>
      <c r="AY377" t="str">
        <f t="shared" ref="AY377:AY399" si="72">_xlfn.CONCAT(AZ377:BB377)</f>
        <v>ONE RESIN CLAR5 G</v>
      </c>
      <c r="AZ377" s="1" t="str">
        <f t="shared" ref="AZ377:AZ399" si="73">MID(BD377,10,10)</f>
        <v xml:space="preserve">ONE RESIN </v>
      </c>
      <c r="BA377" t="str">
        <f t="shared" ref="BA377:BA399" si="74">LEFT(BE377,2)&amp;RIGHT(BE377,2)</f>
        <v>CLAR</v>
      </c>
      <c r="BB377" s="1" t="str">
        <f t="shared" si="71"/>
        <v>5 G</v>
      </c>
      <c r="BC377" s="1">
        <f t="shared" si="67"/>
        <v>684.43</v>
      </c>
      <c r="BD377" s="1" t="s">
        <v>446</v>
      </c>
      <c r="BE377" s="1" t="s">
        <v>315</v>
      </c>
      <c r="BF377" s="1" t="s">
        <v>412</v>
      </c>
      <c r="BG377" s="1" t="s">
        <v>367</v>
      </c>
      <c r="BJ377"/>
      <c r="BK377"/>
      <c r="BM377"/>
    </row>
    <row r="378" spans="22:65" x14ac:dyDescent="0.35">
      <c r="V378" s="1" t="str">
        <v xml:space="preserve">4850 GROUTULSE15 </v>
      </c>
      <c r="X378" s="1" t="str">
        <f t="shared" si="66"/>
        <v xml:space="preserve">4850 GROUTSTAY15 </v>
      </c>
      <c r="Y378" s="1" t="str" cm="1">
        <f t="array" ref="Y378">IFERROR(VLOOKUP($X378,$AN:AO,COLUMN(AO:AO)-COLUMN($AN:$AN)+1,FALSE),"")</f>
        <v>ACCELERA 4850 GROUT/TOPCOAT POLYASPARTICSTEEL GRAY15 GAL</v>
      </c>
      <c r="Z378" s="63" cm="1">
        <f t="array" ref="Z378">IFERROR(VLOOKUP($X378,$AN:AP,COLUMN(AP:AP)-COLUMN($AN:$AN)+1,FALSE),"")</f>
        <v>2126.25</v>
      </c>
      <c r="AA378" s="1" t="str" cm="1">
        <f t="array" ref="AA378">IFERROR(VLOOKUP($X378,$AN:AQ,COLUMN(AQ:AQ)-COLUMN($AN:$AN)+1,FALSE),"")</f>
        <v>15 GAL</v>
      </c>
      <c r="AC378" s="1" t="str" cm="1">
        <f t="array" ref="AC378">IFERROR(VLOOKUP($X378,$AN:AS,COLUMN(AS:AS)-COLUMN($AN:$AN)+1,FALSE),"")</f>
        <v>STEEL GRAY</v>
      </c>
      <c r="AD378" s="1" t="s">
        <v>19</v>
      </c>
      <c r="AF378" s="1">
        <f>Table1[[#This Row],[C:C]]*1.1</f>
        <v>0</v>
      </c>
      <c r="AI378" s="1">
        <f>IFERROR(VLOOKUP(X378,#REF!,8,FALSE),0)</f>
        <v>0</v>
      </c>
      <c r="AN378" s="1" t="str">
        <f>PROD_ID_TABLE[[#This Row],[PROD ID]]</f>
        <v>ONE HARDENCLAR1 G</v>
      </c>
      <c r="AO378" s="1" t="str">
        <f t="shared" si="62"/>
        <v>ACCELERA ONE HARDENER (SEE MIX CHART)CLEAR1 GAL</v>
      </c>
      <c r="AP378" s="3">
        <f t="shared" si="63"/>
        <v>362.52</v>
      </c>
      <c r="AQ378" s="1" t="str">
        <f t="shared" si="64"/>
        <v>1 GAL</v>
      </c>
      <c r="AS378" s="1" t="str">
        <f t="shared" si="65"/>
        <v>CLEAR</v>
      </c>
      <c r="AT378"/>
      <c r="AU378"/>
      <c r="AV378"/>
      <c r="AY378" t="str">
        <f t="shared" si="72"/>
        <v>ONE HARDENCLAR1 G</v>
      </c>
      <c r="AZ378" s="1" t="str">
        <f t="shared" si="73"/>
        <v>ONE HARDEN</v>
      </c>
      <c r="BA378" t="str">
        <f t="shared" si="74"/>
        <v>CLAR</v>
      </c>
      <c r="BB378" s="1" t="str">
        <f t="shared" si="71"/>
        <v>1 G</v>
      </c>
      <c r="BC378" s="1">
        <f t="shared" si="67"/>
        <v>362.52</v>
      </c>
      <c r="BD378" s="1" t="s">
        <v>447</v>
      </c>
      <c r="BE378" s="1" t="s">
        <v>315</v>
      </c>
      <c r="BF378" s="1" t="s">
        <v>457</v>
      </c>
      <c r="BG378" s="1" t="s">
        <v>367</v>
      </c>
      <c r="BJ378"/>
      <c r="BK378"/>
      <c r="BM378"/>
    </row>
    <row r="379" spans="22:65" x14ac:dyDescent="0.35">
      <c r="V379" s="1" t="str">
        <v xml:space="preserve">4850 GROUTWHSE15 </v>
      </c>
      <c r="X379" s="1" t="str">
        <f t="shared" si="66"/>
        <v xml:space="preserve">4850 GROUTBOTE15 </v>
      </c>
      <c r="Y379" s="1" t="str" cm="1">
        <f t="array" ref="Y379">IFERROR(VLOOKUP($X379,$AN:AO,COLUMN(AO:AO)-COLUMN($AN:$AN)+1,FALSE),"")</f>
        <v>ACCELERA 4850 GROUT/TOPCOAT POLYASPARTICBONE WHITE15 GAL</v>
      </c>
      <c r="Z379" s="63" cm="1">
        <f t="array" ref="Z379">IFERROR(VLOOKUP($X379,$AN:AP,COLUMN(AP:AP)-COLUMN($AN:$AN)+1,FALSE),"")</f>
        <v>2126.25</v>
      </c>
      <c r="AA379" s="1" t="str" cm="1">
        <f t="array" ref="AA379">IFERROR(VLOOKUP($X379,$AN:AQ,COLUMN(AQ:AQ)-COLUMN($AN:$AN)+1,FALSE),"")</f>
        <v>15 GAL</v>
      </c>
      <c r="AC379" s="1" t="str" cm="1">
        <f t="array" ref="AC379">IFERROR(VLOOKUP($X379,$AN:AS,COLUMN(AS:AS)-COLUMN($AN:$AN)+1,FALSE),"")</f>
        <v>BONE WHITE</v>
      </c>
      <c r="AD379" s="1" t="s">
        <v>19</v>
      </c>
      <c r="AF379" s="1">
        <f>Table1[[#This Row],[C:C]]*1.1</f>
        <v>0</v>
      </c>
      <c r="AI379" s="1">
        <f>IFERROR(VLOOKUP(X379,#REF!,8,FALSE),0)</f>
        <v>0</v>
      </c>
      <c r="AN379" s="1" t="str">
        <f>PROD_ID_TABLE[[#This Row],[PROD ID]]</f>
        <v>5 66% SOLICLAR2 G</v>
      </c>
      <c r="AO379" s="1" t="str">
        <f t="shared" si="62"/>
        <v>ACCELERA 5 66% SOLIDS 1:1CLEAR2 GAL</v>
      </c>
      <c r="AP379" s="3">
        <f t="shared" si="63"/>
        <v>168.31</v>
      </c>
      <c r="AQ379" s="1" t="str">
        <f t="shared" si="64"/>
        <v>2 GAL</v>
      </c>
      <c r="AS379" s="1" t="str">
        <f t="shared" si="65"/>
        <v>CLEAR</v>
      </c>
      <c r="AT379"/>
      <c r="AU379"/>
      <c r="AV379"/>
      <c r="AY379" t="str">
        <f t="shared" si="72"/>
        <v>5 66% SOLICLAR2 G</v>
      </c>
      <c r="AZ379" s="1" t="str">
        <f t="shared" si="73"/>
        <v>5 66% SOLI</v>
      </c>
      <c r="BA379" t="str">
        <f t="shared" si="74"/>
        <v>CLAR</v>
      </c>
      <c r="BB379" s="1" t="str">
        <f t="shared" si="71"/>
        <v>2 G</v>
      </c>
      <c r="BC379" s="1">
        <f t="shared" si="67"/>
        <v>168.31</v>
      </c>
      <c r="BD379" s="1" t="s">
        <v>448</v>
      </c>
      <c r="BE379" s="1" t="s">
        <v>315</v>
      </c>
      <c r="BF379" s="1" t="s">
        <v>406</v>
      </c>
      <c r="BG379" s="1" t="s">
        <v>367</v>
      </c>
      <c r="BJ379"/>
      <c r="BK379"/>
      <c r="BM379"/>
    </row>
    <row r="380" spans="22:65" x14ac:dyDescent="0.35">
      <c r="V380" s="1" t="str">
        <v>AR AGGREGAN//A50L</v>
      </c>
      <c r="X380" s="1" t="str">
        <f t="shared" si="66"/>
        <v xml:space="preserve">4850 GROUTSIAY15 </v>
      </c>
      <c r="Y380" s="1" t="str" cm="1">
        <f t="array" ref="Y380">IFERROR(VLOOKUP($X380,$AN:AO,COLUMN(AO:AO)-COLUMN($AN:$AN)+1,FALSE),"")</f>
        <v>ACCELERA 4850 GROUT/TOPCOAT POLYASPARTICSILVER GRAY15 GAL</v>
      </c>
      <c r="Z380" s="63" cm="1">
        <f t="array" ref="Z380">IFERROR(VLOOKUP($X380,$AN:AP,COLUMN(AP:AP)-COLUMN($AN:$AN)+1,FALSE),"")</f>
        <v>2126.25</v>
      </c>
      <c r="AA380" s="1" t="str" cm="1">
        <f t="array" ref="AA380">IFERROR(VLOOKUP($X380,$AN:AQ,COLUMN(AQ:AQ)-COLUMN($AN:$AN)+1,FALSE),"")</f>
        <v>15 GAL</v>
      </c>
      <c r="AC380" s="1" t="str" cm="1">
        <f t="array" ref="AC380">IFERROR(VLOOKUP($X380,$AN:AS,COLUMN(AS:AS)-COLUMN($AN:$AN)+1,FALSE),"")</f>
        <v>SILVER GRAY</v>
      </c>
      <c r="AD380" s="1" t="s">
        <v>19</v>
      </c>
      <c r="AF380" s="1">
        <f>Table1[[#This Row],[C:C]]*1.1</f>
        <v>0</v>
      </c>
      <c r="AI380" s="1">
        <f>IFERROR(VLOOKUP(X380,#REF!,8,FALSE),0)</f>
        <v>0</v>
      </c>
      <c r="AN380" s="1" t="str">
        <f>PROD_ID_TABLE[[#This Row],[PROD ID]]</f>
        <v xml:space="preserve">5 66% SOLICLAR10 </v>
      </c>
      <c r="AO380" s="1" t="str">
        <f t="shared" si="62"/>
        <v>ACCELERA 5 66% SOLIDS 1:1CLEAR10 GAL</v>
      </c>
      <c r="AP380" s="3">
        <f t="shared" si="63"/>
        <v>800.36</v>
      </c>
      <c r="AQ380" s="1" t="str">
        <f t="shared" si="64"/>
        <v>10 GAL</v>
      </c>
      <c r="AS380" s="1" t="str">
        <f t="shared" si="65"/>
        <v>CLEAR</v>
      </c>
      <c r="AT380"/>
      <c r="AU380" t="s">
        <v>464</v>
      </c>
      <c r="AV380" t="b">
        <f>AU380=COPY_TABLE[[#This Row],[Product '#]]</f>
        <v>0</v>
      </c>
      <c r="AY380" t="str">
        <f t="shared" si="72"/>
        <v xml:space="preserve">5 66% SOLICLAR10 </v>
      </c>
      <c r="AZ380" s="1" t="str">
        <f t="shared" si="73"/>
        <v>5 66% SOLI</v>
      </c>
      <c r="BA380" t="str">
        <f t="shared" si="74"/>
        <v>CLAR</v>
      </c>
      <c r="BB380" s="1" t="str">
        <f t="shared" si="71"/>
        <v xml:space="preserve">10 </v>
      </c>
      <c r="BC380" s="1">
        <f t="shared" si="67"/>
        <v>800.36</v>
      </c>
      <c r="BD380" s="1" t="s">
        <v>448</v>
      </c>
      <c r="BE380" s="1" t="s">
        <v>315</v>
      </c>
      <c r="BF380" s="1" t="s">
        <v>410</v>
      </c>
      <c r="BG380" s="1" t="s">
        <v>367</v>
      </c>
      <c r="BJ380"/>
      <c r="BK380"/>
      <c r="BM380"/>
    </row>
    <row r="381" spans="22:65" x14ac:dyDescent="0.35">
      <c r="V381" s="1" t="str">
        <v>SILICA SAN204050L</v>
      </c>
      <c r="X381" s="1" t="str">
        <f t="shared" si="66"/>
        <v xml:space="preserve">4850 GROUTWHTE15 </v>
      </c>
      <c r="Y381" s="1" t="str" cm="1">
        <f t="array" ref="Y381">IFERROR(VLOOKUP($X381,$AN:AO,COLUMN(AO:AO)-COLUMN($AN:$AN)+1,FALSE),"")</f>
        <v>ACCELERA 4850 GROUT/TOPCOAT POLYASPARTICWHITE15 GAL</v>
      </c>
      <c r="Z381" s="63" cm="1">
        <f t="array" ref="Z381">IFERROR(VLOOKUP($X381,$AN:AP,COLUMN(AP:AP)-COLUMN($AN:$AN)+1,FALSE),"")</f>
        <v>2126.25</v>
      </c>
      <c r="AA381" s="1" t="str" cm="1">
        <f t="array" ref="AA381">IFERROR(VLOOKUP($X381,$AN:AQ,COLUMN(AQ:AQ)-COLUMN($AN:$AN)+1,FALSE),"")</f>
        <v>15 GAL</v>
      </c>
      <c r="AC381" s="1" t="str" cm="1">
        <f t="array" ref="AC381">IFERROR(VLOOKUP($X381,$AN:AS,COLUMN(AS:AS)-COLUMN($AN:$AN)+1,FALSE),"")</f>
        <v>WHITE</v>
      </c>
      <c r="AD381" s="1" t="s">
        <v>19</v>
      </c>
      <c r="AF381" s="1">
        <f>Table1[[#This Row],[C:C]]*1.1</f>
        <v>0</v>
      </c>
      <c r="AI381" s="1">
        <f>IFERROR(VLOOKUP(X381,#REF!,8,FALSE),0)</f>
        <v>0</v>
      </c>
      <c r="AN381" s="1" t="str">
        <f>PROD_ID_TABLE[[#This Row],[PROD ID]]</f>
        <v xml:space="preserve">PT 250 THICLAR15 </v>
      </c>
      <c r="AO381" s="1" t="str">
        <f t="shared" si="62"/>
        <v>RESUFLOR PT 250 THICKENED EPOXY 2:1CLEAR15 GAL</v>
      </c>
      <c r="AP381" s="3">
        <f t="shared" si="63"/>
        <v>1053.42</v>
      </c>
      <c r="AQ381" s="1" t="str">
        <f t="shared" si="64"/>
        <v>15 GAL</v>
      </c>
      <c r="AS381" s="1" t="str">
        <f t="shared" si="65"/>
        <v>CLEAR</v>
      </c>
      <c r="AT381"/>
      <c r="AU381"/>
      <c r="AV381"/>
      <c r="AY381" t="str">
        <f t="shared" si="72"/>
        <v xml:space="preserve">PT 250 THICLAR15 </v>
      </c>
      <c r="AZ381" s="1" t="str">
        <f t="shared" si="73"/>
        <v>PT 250 THI</v>
      </c>
      <c r="BA381" t="str">
        <f t="shared" si="74"/>
        <v>CLAR</v>
      </c>
      <c r="BB381" s="1" t="str">
        <f t="shared" si="71"/>
        <v xml:space="preserve">15 </v>
      </c>
      <c r="BC381" s="1">
        <f t="shared" si="67"/>
        <v>1053.42</v>
      </c>
      <c r="BD381" s="1" t="s">
        <v>450</v>
      </c>
      <c r="BE381" s="1" t="s">
        <v>315</v>
      </c>
      <c r="BF381" s="1" t="s">
        <v>408</v>
      </c>
      <c r="BG381" s="1" t="s">
        <v>311</v>
      </c>
      <c r="BJ381"/>
      <c r="BK381"/>
      <c r="BM381"/>
    </row>
    <row r="382" spans="22:65" x14ac:dyDescent="0.35">
      <c r="V382" s="1" t="str">
        <v>SILICA SAN406050L</v>
      </c>
      <c r="X382" s="1" t="str">
        <f t="shared" si="66"/>
        <v xml:space="preserve">4850 GROUTBLCK15 </v>
      </c>
      <c r="Y382" s="1" t="str" cm="1">
        <f t="array" ref="Y382">IFERROR(VLOOKUP($X382,$AN:AO,COLUMN(AO:AO)-COLUMN($AN:$AN)+1,FALSE),"")</f>
        <v>ACCELERA 4850 GROUT/TOPCOAT POLYASPARTICBLACK15 GAL</v>
      </c>
      <c r="Z382" s="63" cm="1">
        <f t="array" ref="Z382">IFERROR(VLOOKUP($X382,$AN:AP,COLUMN(AP:AP)-COLUMN($AN:$AN)+1,FALSE),"")</f>
        <v>2126.25</v>
      </c>
      <c r="AA382" s="1" t="str" cm="1">
        <f t="array" ref="AA382">IFERROR(VLOOKUP($X382,$AN:AQ,COLUMN(AQ:AQ)-COLUMN($AN:$AN)+1,FALSE),"")</f>
        <v>15 GAL</v>
      </c>
      <c r="AC382" s="1" t="str" cm="1">
        <f t="array" ref="AC382">IFERROR(VLOOKUP($X382,$AN:AS,COLUMN(AS:AS)-COLUMN($AN:$AN)+1,FALSE),"")</f>
        <v>BLACK</v>
      </c>
      <c r="AD382" s="1" t="s">
        <v>19</v>
      </c>
      <c r="AF382" s="1">
        <f>Table1[[#This Row],[C:C]]*1.1</f>
        <v>0</v>
      </c>
      <c r="AI382" s="1">
        <f>IFERROR(VLOOKUP(X382,#REF!,8,FALSE),0)</f>
        <v>0</v>
      </c>
      <c r="AN382" s="1" t="str">
        <f>PROD_ID_TABLE[[#This Row],[PROD ID]]</f>
        <v xml:space="preserve">NO SAGN//A10 </v>
      </c>
      <c r="AO382" s="1" t="str">
        <f t="shared" si="62"/>
        <v>RESUFLOR NO SAGN/A10 LBS</v>
      </c>
      <c r="AP382" s="3">
        <f t="shared" si="63"/>
        <v>341.9</v>
      </c>
      <c r="AQ382" s="1" t="str">
        <f t="shared" si="64"/>
        <v>10 LBS</v>
      </c>
      <c r="AS382" s="1" t="str">
        <f t="shared" si="65"/>
        <v>N/A</v>
      </c>
      <c r="AT382"/>
      <c r="AU382"/>
      <c r="AV382"/>
      <c r="AY382" t="str">
        <f t="shared" si="72"/>
        <v xml:space="preserve">NO SAGN//A10 </v>
      </c>
      <c r="AZ382" s="1" t="str">
        <f t="shared" si="73"/>
        <v>NO SAG</v>
      </c>
      <c r="BA382" t="str">
        <f t="shared" si="74"/>
        <v>N//A</v>
      </c>
      <c r="BB382" s="1" t="str">
        <f t="shared" si="71"/>
        <v xml:space="preserve">10 </v>
      </c>
      <c r="BC382" s="1">
        <f t="shared" si="67"/>
        <v>341.9</v>
      </c>
      <c r="BD382" s="1" t="s">
        <v>451</v>
      </c>
      <c r="BE382" s="1" t="s">
        <v>398</v>
      </c>
      <c r="BF382" s="1" t="s">
        <v>459</v>
      </c>
      <c r="BG382" s="1" t="s">
        <v>390</v>
      </c>
      <c r="BJ382"/>
      <c r="BK382"/>
      <c r="BM382"/>
    </row>
    <row r="383" spans="22:65" x14ac:dyDescent="0.35">
      <c r="V383" s="1" t="str">
        <v>SILICA SAN802050L</v>
      </c>
      <c r="X383" s="1" t="str">
        <f t="shared" si="66"/>
        <v xml:space="preserve">4850 GROUTPANT15 </v>
      </c>
      <c r="Y383" s="1" t="str" cm="1">
        <f t="array" ref="Y383">IFERROR(VLOOKUP($X383,$AN:AO,COLUMN(AO:AO)-COLUMN($AN:$AN)+1,FALSE),"")</f>
        <v>ACCELERA 4850 GROUT/TOPCOAT POLYASPARTICPARCHMENT15 GAL</v>
      </c>
      <c r="Z383" s="63" cm="1">
        <f t="array" ref="Z383">IFERROR(VLOOKUP($X383,$AN:AP,COLUMN(AP:AP)-COLUMN($AN:$AN)+1,FALSE),"")</f>
        <v>2126.25</v>
      </c>
      <c r="AA383" s="1" t="str" cm="1">
        <f t="array" ref="AA383">IFERROR(VLOOKUP($X383,$AN:AQ,COLUMN(AQ:AQ)-COLUMN($AN:$AN)+1,FALSE),"")</f>
        <v>15 GAL</v>
      </c>
      <c r="AC383" s="1" t="str" cm="1">
        <f t="array" ref="AC383">IFERROR(VLOOKUP($X383,$AN:AS,COLUMN(AS:AS)-COLUMN($AN:$AN)+1,FALSE),"")</f>
        <v>PARCHMENT</v>
      </c>
      <c r="AD383" s="1" t="s">
        <v>19</v>
      </c>
      <c r="AF383" s="1">
        <f>Table1[[#This Row],[C:C]]*1.1</f>
        <v>0</v>
      </c>
      <c r="AI383" s="1">
        <f>IFERROR(VLOOKUP(X383,#REF!,8,FALSE),0)</f>
        <v>0</v>
      </c>
      <c r="AN383" s="1" t="str">
        <f>PROD_ID_TABLE[[#This Row],[PROD ID]]</f>
        <v xml:space="preserve"> GRITN//A50L</v>
      </c>
      <c r="AO383" s="1" t="str">
        <f t="shared" si="62"/>
        <v>Q-ROCK 16 GRITN/A50LB BAG</v>
      </c>
      <c r="AP383" s="3">
        <f t="shared" si="63"/>
        <v>16</v>
      </c>
      <c r="AQ383" s="1" t="str">
        <f t="shared" si="64"/>
        <v>50LB BAG</v>
      </c>
      <c r="AS383" s="1" t="str">
        <f t="shared" si="65"/>
        <v>N/A</v>
      </c>
      <c r="AT383"/>
      <c r="AU383"/>
      <c r="AV383"/>
      <c r="AY383" t="str">
        <f t="shared" si="72"/>
        <v xml:space="preserve"> GRITN//A50L</v>
      </c>
      <c r="AZ383" s="1" t="str">
        <f t="shared" si="73"/>
        <v xml:space="preserve"> GRIT</v>
      </c>
      <c r="BA383" t="str">
        <f t="shared" si="74"/>
        <v>N//A</v>
      </c>
      <c r="BB383" s="1" t="str">
        <f t="shared" si="71"/>
        <v>50L</v>
      </c>
      <c r="BC383" s="1">
        <f t="shared" si="67"/>
        <v>16</v>
      </c>
      <c r="BD383" s="1" t="s">
        <v>452</v>
      </c>
      <c r="BE383" s="1" t="s">
        <v>398</v>
      </c>
      <c r="BF383" s="1" t="s">
        <v>413</v>
      </c>
      <c r="BG383" s="1" t="s">
        <v>390</v>
      </c>
      <c r="BJ383"/>
      <c r="BK383"/>
      <c r="BM383"/>
    </row>
    <row r="384" spans="22:65" x14ac:dyDescent="0.35">
      <c r="V384" s="1" t="str">
        <v>GRAVEL 3/1N//A50L</v>
      </c>
      <c r="X384" s="1" t="str">
        <f t="shared" si="66"/>
        <v xml:space="preserve">4850 GROUTSAED15 </v>
      </c>
      <c r="Y384" s="1" t="str" cm="1">
        <f t="array" ref="Y384">IFERROR(VLOOKUP($X384,$AN:AO,COLUMN(AO:AO)-COLUMN($AN:$AN)+1,FALSE),"")</f>
        <v>ACCELERA 4850 GROUT/TOPCOAT POLYASPARTICSAFETY RED15 GAL</v>
      </c>
      <c r="Z384" s="63" cm="1">
        <f t="array" ref="Z384">IFERROR(VLOOKUP($X384,$AN:AP,COLUMN(AP:AP)-COLUMN($AN:$AN)+1,FALSE),"")</f>
        <v>2126.25</v>
      </c>
      <c r="AA384" s="1" t="str" cm="1">
        <f t="array" ref="AA384">IFERROR(VLOOKUP($X384,$AN:AQ,COLUMN(AQ:AQ)-COLUMN($AN:$AN)+1,FALSE),"")</f>
        <v>15 GAL</v>
      </c>
      <c r="AC384" s="1" t="str" cm="1">
        <f t="array" ref="AC384">IFERROR(VLOOKUP($X384,$AN:AS,COLUMN(AS:AS)-COLUMN($AN:$AN)+1,FALSE),"")</f>
        <v>SAFETY RED</v>
      </c>
      <c r="AD384" s="1" t="s">
        <v>19</v>
      </c>
      <c r="AF384" s="1">
        <f>Table1[[#This Row],[C:C]]*1.1</f>
        <v>0</v>
      </c>
      <c r="AI384" s="1">
        <f>IFERROR(VLOOKUP(X384,#REF!,8,FALSE),0)</f>
        <v>0</v>
      </c>
      <c r="AN384" s="1" t="str">
        <f>PROD_ID_TABLE[[#This Row],[PROD ID]]</f>
        <v>O FLAKE - AGVE40L</v>
      </c>
      <c r="AO384" s="1" t="str">
        <f t="shared" si="62"/>
        <v>1-4IN DECO FLAKE - 40LB BAGAGAVE40LB BAG</v>
      </c>
      <c r="AP384" s="3">
        <f t="shared" si="63"/>
        <v>110</v>
      </c>
      <c r="AQ384" s="1" t="str">
        <f t="shared" si="64"/>
        <v>40LB BAG</v>
      </c>
      <c r="AS384" s="1" t="str">
        <f t="shared" si="65"/>
        <v>AGAVE</v>
      </c>
      <c r="AT384"/>
      <c r="AU384"/>
      <c r="AV384"/>
      <c r="AY384" t="str">
        <f t="shared" si="72"/>
        <v>O FLAKE - AGVE40L</v>
      </c>
      <c r="AZ384" s="1" t="str">
        <f t="shared" si="73"/>
        <v xml:space="preserve">O FLAKE - </v>
      </c>
      <c r="BA384" t="str">
        <f t="shared" si="74"/>
        <v>AGVE</v>
      </c>
      <c r="BB384" s="1" t="str">
        <f t="shared" si="71"/>
        <v>40L</v>
      </c>
      <c r="BC384" s="1">
        <f t="shared" si="67"/>
        <v>110</v>
      </c>
      <c r="BD384" s="1" t="s">
        <v>795</v>
      </c>
      <c r="BE384" s="1" t="s">
        <v>827</v>
      </c>
      <c r="BF384" s="1" t="s">
        <v>414</v>
      </c>
      <c r="BG384" s="1" t="s">
        <v>390</v>
      </c>
      <c r="BJ384"/>
      <c r="BK384"/>
      <c r="BM384"/>
    </row>
    <row r="385" spans="22:65" x14ac:dyDescent="0.35">
      <c r="V385" s="1" t="str">
        <v>N//A50L</v>
      </c>
      <c r="X385" s="1" t="str">
        <f t="shared" si="66"/>
        <v xml:space="preserve">4850 GROUTSAOW15 </v>
      </c>
      <c r="Y385" s="1" t="str" cm="1">
        <f t="array" ref="Y385">IFERROR(VLOOKUP($X385,$AN:AO,COLUMN(AO:AO)-COLUMN($AN:$AN)+1,FALSE),"")</f>
        <v>ACCELERA 4850 GROUT/TOPCOAT POLYASPARTICSAFETY YELLOW15 GAL</v>
      </c>
      <c r="Z385" s="63" cm="1">
        <f t="array" ref="Z385">IFERROR(VLOOKUP($X385,$AN:AP,COLUMN(AP:AP)-COLUMN($AN:$AN)+1,FALSE),"")</f>
        <v>2126.25</v>
      </c>
      <c r="AA385" s="1" t="str" cm="1">
        <f t="array" ref="AA385">IFERROR(VLOOKUP($X385,$AN:AQ,COLUMN(AQ:AQ)-COLUMN($AN:$AN)+1,FALSE),"")</f>
        <v>15 GAL</v>
      </c>
      <c r="AC385" s="1" t="str" cm="1">
        <f t="array" ref="AC385">IFERROR(VLOOKUP($X385,$AN:AS,COLUMN(AS:AS)-COLUMN($AN:$AN)+1,FALSE),"")</f>
        <v>SAFETY YELLOW</v>
      </c>
      <c r="AD385" s="1" t="s">
        <v>19</v>
      </c>
      <c r="AF385" s="1">
        <f>Table1[[#This Row],[C:C]]*1.1</f>
        <v>0</v>
      </c>
      <c r="AI385" s="1">
        <f>IFERROR(VLOOKUP(X385,#REF!,8,FALSE),0)</f>
        <v>0</v>
      </c>
      <c r="AN385" s="1" t="str">
        <f>PROD_ID_TABLE[[#This Row],[PROD ID]]</f>
        <v>O FLAKE - ALLK40L</v>
      </c>
      <c r="AO385" s="1" t="str">
        <f t="shared" si="62"/>
        <v>1-4IN DECO FLAKE - 40LB BAGALMOND MILK40LB BAG</v>
      </c>
      <c r="AP385" s="3">
        <f t="shared" si="63"/>
        <v>110</v>
      </c>
      <c r="AQ385" s="1" t="str">
        <f t="shared" si="64"/>
        <v>40LB BAG</v>
      </c>
      <c r="AS385" s="1" t="str">
        <f t="shared" si="65"/>
        <v>ALMOND MILK</v>
      </c>
      <c r="AT385"/>
      <c r="AU385"/>
      <c r="AV385"/>
      <c r="AY385" t="str">
        <f t="shared" si="72"/>
        <v>O FLAKE - ALLK40L</v>
      </c>
      <c r="AZ385" s="1" t="str">
        <f t="shared" si="73"/>
        <v xml:space="preserve">O FLAKE - </v>
      </c>
      <c r="BA385" t="str">
        <f t="shared" si="74"/>
        <v>ALLK</v>
      </c>
      <c r="BB385" s="1" t="str">
        <f t="shared" si="71"/>
        <v>40L</v>
      </c>
      <c r="BC385" s="1">
        <f t="shared" si="67"/>
        <v>110</v>
      </c>
      <c r="BD385" s="1" t="s">
        <v>795</v>
      </c>
      <c r="BE385" s="1" t="s">
        <v>799</v>
      </c>
      <c r="BF385" s="1" t="s">
        <v>414</v>
      </c>
      <c r="BG385" s="1" t="s">
        <v>390</v>
      </c>
      <c r="BJ385"/>
      <c r="BK385"/>
      <c r="BM385"/>
    </row>
    <row r="386" spans="22:65" x14ac:dyDescent="0.35">
      <c r="V386" s="1" t="str">
        <v/>
      </c>
      <c r="X386" s="1" t="str">
        <f t="shared" si="66"/>
        <v xml:space="preserve">4850 GROUTROUE15 </v>
      </c>
      <c r="Y386" s="1" t="str" cm="1">
        <f t="array" ref="Y386">IFERROR(VLOOKUP($X386,$AN:AO,COLUMN(AO:AO)-COLUMN($AN:$AN)+1,FALSE),"")</f>
        <v>ACCELERA 4850 GROUT/TOPCOAT POLYASPARTICROYAL BLUE15 GAL</v>
      </c>
      <c r="Z386" s="63" cm="1">
        <f t="array" ref="Z386">IFERROR(VLOOKUP($X386,$AN:AP,COLUMN(AP:AP)-COLUMN($AN:$AN)+1,FALSE),"")</f>
        <v>2126.25</v>
      </c>
      <c r="AA386" s="1" t="str" cm="1">
        <f t="array" ref="AA386">IFERROR(VLOOKUP($X386,$AN:AQ,COLUMN(AQ:AQ)-COLUMN($AN:$AN)+1,FALSE),"")</f>
        <v>15 GAL</v>
      </c>
      <c r="AC386" s="1" t="str" cm="1">
        <f t="array" ref="AC386">IFERROR(VLOOKUP($X386,$AN:AS,COLUMN(AS:AS)-COLUMN($AN:$AN)+1,FALSE),"")</f>
        <v>ROYAL BLUE</v>
      </c>
      <c r="AD386" s="1" t="s">
        <v>19</v>
      </c>
      <c r="AF386" s="1">
        <f>Table1[[#This Row],[C:C]]*1.1</f>
        <v>0</v>
      </c>
      <c r="AI386" s="1">
        <f>IFERROR(VLOOKUP(X386,#REF!,8,FALSE),0)</f>
        <v>0</v>
      </c>
      <c r="AN386" s="1" t="str">
        <f>PROD_ID_TABLE[[#This Row],[PROD ID]]</f>
        <v>O FLAKE - BLAN40L</v>
      </c>
      <c r="AO386" s="1" t="str">
        <f t="shared" si="62"/>
        <v>1-4IN DECO FLAKE - 40LB BAGBLACK BEAN40LB BAG</v>
      </c>
      <c r="AP386" s="3">
        <f t="shared" si="63"/>
        <v>110</v>
      </c>
      <c r="AQ386" s="1" t="str">
        <f t="shared" si="64"/>
        <v>40LB BAG</v>
      </c>
      <c r="AS386" s="1" t="str">
        <f t="shared" si="65"/>
        <v>BLACK BEAN</v>
      </c>
      <c r="AT386"/>
      <c r="AU386"/>
      <c r="AV386"/>
      <c r="AY386" t="str">
        <f t="shared" si="72"/>
        <v>O FLAKE - BLAN40L</v>
      </c>
      <c r="AZ386" s="1" t="str">
        <f t="shared" si="73"/>
        <v xml:space="preserve">O FLAKE - </v>
      </c>
      <c r="BA386" t="str">
        <f t="shared" si="74"/>
        <v>BLAN</v>
      </c>
      <c r="BB386" s="1" t="str">
        <f t="shared" si="71"/>
        <v>40L</v>
      </c>
      <c r="BC386" s="1">
        <f t="shared" si="67"/>
        <v>110</v>
      </c>
      <c r="BD386" s="1" t="s">
        <v>795</v>
      </c>
      <c r="BE386" s="1" t="s">
        <v>818</v>
      </c>
      <c r="BF386" s="1" t="s">
        <v>414</v>
      </c>
      <c r="BG386" s="1" t="s">
        <v>390</v>
      </c>
      <c r="BJ386"/>
      <c r="BK386"/>
      <c r="BM386"/>
    </row>
    <row r="387" spans="22:65" x14ac:dyDescent="0.35">
      <c r="V387" s="1" t="str">
        <v>AQUA 3460 WHTE1.2</v>
      </c>
      <c r="X387" s="1" t="str">
        <f t="shared" si="66"/>
        <v xml:space="preserve">4850 GROUTPEER15 </v>
      </c>
      <c r="Y387" s="1" t="str" cm="1">
        <f t="array" ref="Y387">IFERROR(VLOOKUP($X387,$AN:AO,COLUMN(AO:AO)-COLUMN($AN:$AN)+1,FALSE),"")</f>
        <v>ACCELERA 4850 GROUT/TOPCOAT POLYASPARTICPEWTER15 GAL</v>
      </c>
      <c r="Z387" s="63" cm="1">
        <f t="array" ref="Z387">IFERROR(VLOOKUP($X387,$AN:AP,COLUMN(AP:AP)-COLUMN($AN:$AN)+1,FALSE),"")</f>
        <v>2126.25</v>
      </c>
      <c r="AA387" s="1" t="str" cm="1">
        <f t="array" ref="AA387">IFERROR(VLOOKUP($X387,$AN:AQ,COLUMN(AQ:AQ)-COLUMN($AN:$AN)+1,FALSE),"")</f>
        <v>15 GAL</v>
      </c>
      <c r="AC387" s="1" t="str" cm="1">
        <f t="array" ref="AC387">IFERROR(VLOOKUP($X387,$AN:AS,COLUMN(AS:AS)-COLUMN($AN:$AN)+1,FALSE),"")</f>
        <v>PEWTER</v>
      </c>
      <c r="AD387" s="1" t="s">
        <v>19</v>
      </c>
      <c r="AF387" s="1">
        <f>Table1[[#This Row],[C:C]]*1.1</f>
        <v>0</v>
      </c>
      <c r="AI387" s="1">
        <f>IFERROR(VLOOKUP(X387,#REF!,8,FALSE),0)</f>
        <v>0</v>
      </c>
      <c r="AN387" s="1" t="str">
        <f>PROD_ID_TABLE[[#This Row],[PROD ID]]</f>
        <v>O FLAKE - BLND40L</v>
      </c>
      <c r="AO387" s="1" t="str">
        <f>_xlfn.CONCAT(BD387:BF387)</f>
        <v>1-4IN DECO FLAKE - 40LB BAGBLACK DIAMOND40LB BAG</v>
      </c>
      <c r="AP387" s="3">
        <f t="shared" ref="AP387:AP450" si="75">BC387</f>
        <v>110</v>
      </c>
      <c r="AQ387" s="1" t="str">
        <f>BF387</f>
        <v>40LB BAG</v>
      </c>
      <c r="AS387" s="1" t="str">
        <f>BE387</f>
        <v>BLACK DIAMOND</v>
      </c>
      <c r="AT387"/>
      <c r="AU387"/>
      <c r="AV387"/>
      <c r="AY387" t="str">
        <f t="shared" si="72"/>
        <v>O FLAKE - BLND40L</v>
      </c>
      <c r="AZ387" s="1" t="str">
        <f t="shared" si="73"/>
        <v xml:space="preserve">O FLAKE - </v>
      </c>
      <c r="BA387" t="str">
        <f t="shared" si="74"/>
        <v>BLND</v>
      </c>
      <c r="BB387" s="1" t="str">
        <f t="shared" si="71"/>
        <v>40L</v>
      </c>
      <c r="BC387" s="1">
        <f t="shared" si="67"/>
        <v>110</v>
      </c>
      <c r="BD387" s="1" t="s">
        <v>795</v>
      </c>
      <c r="BE387" s="1" t="s">
        <v>813</v>
      </c>
      <c r="BF387" s="1" t="s">
        <v>414</v>
      </c>
      <c r="BG387" s="1" t="s">
        <v>390</v>
      </c>
      <c r="BJ387"/>
      <c r="BK387"/>
      <c r="BM387"/>
    </row>
    <row r="388" spans="22:65" x14ac:dyDescent="0.35">
      <c r="V388" s="1" t="str">
        <v>AQUA 3460 GRAY1.2</v>
      </c>
      <c r="X388" s="1" t="str">
        <f t="shared" si="66"/>
        <v xml:space="preserve">4850 GROUTCLLE15 </v>
      </c>
      <c r="Y388" s="1" t="str" cm="1">
        <f t="array" ref="Y388">IFERROR(VLOOKUP($X388,$AN:AO,COLUMN(AO:AO)-COLUMN($AN:$AN)+1,FALSE),"")</f>
        <v>ACCELERA 4850 GROUT/TOPCOAT POLYASPARTICCLASIC RED TILE15 GAL</v>
      </c>
      <c r="Z388" s="63" cm="1">
        <f t="array" ref="Z388">IFERROR(VLOOKUP($X388,$AN:AP,COLUMN(AP:AP)-COLUMN($AN:$AN)+1,FALSE),"")</f>
        <v>2126.25</v>
      </c>
      <c r="AA388" s="1" t="str" cm="1">
        <f t="array" ref="AA388">IFERROR(VLOOKUP($X388,$AN:AQ,COLUMN(AQ:AQ)-COLUMN($AN:$AN)+1,FALSE),"")</f>
        <v>15 GAL</v>
      </c>
      <c r="AC388" s="1" t="str" cm="1">
        <f t="array" ref="AC388">IFERROR(VLOOKUP($X388,$AN:AS,COLUMN(AS:AS)-COLUMN($AN:$AN)+1,FALSE),"")</f>
        <v>CLASIC RED TILE</v>
      </c>
      <c r="AD388" s="1" t="s">
        <v>19</v>
      </c>
      <c r="AF388" s="1">
        <f>Table1[[#This Row],[C:C]]*1.1</f>
        <v>0</v>
      </c>
      <c r="AI388" s="1">
        <f>IFERROR(VLOOKUP(X388,#REF!,8,FALSE),0)</f>
        <v>0</v>
      </c>
      <c r="AN388" s="1" t="str">
        <f>PROD_ID_TABLE[[#This Row],[PROD ID]]</f>
        <v>O FLAKE - BLOA40L</v>
      </c>
      <c r="AO388" s="1" t="str">
        <f>_xlfn.CONCAT(BD388:BF388)</f>
        <v>1-4IN DECO FLAKE - 40LB BAGBLACK QUINOA40LB BAG</v>
      </c>
      <c r="AP388" s="3">
        <f t="shared" si="75"/>
        <v>110</v>
      </c>
      <c r="AQ388" s="1" t="str">
        <f>BF388</f>
        <v>40LB BAG</v>
      </c>
      <c r="AS388" s="1" t="str">
        <f>BE388</f>
        <v>BLACK QUINOA</v>
      </c>
      <c r="AT388"/>
      <c r="AU388"/>
      <c r="AV388"/>
      <c r="AY388" t="str">
        <f t="shared" si="72"/>
        <v>O FLAKE - BLOA40L</v>
      </c>
      <c r="AZ388" s="1" t="str">
        <f t="shared" si="73"/>
        <v xml:space="preserve">O FLAKE - </v>
      </c>
      <c r="BA388" t="str">
        <f t="shared" si="74"/>
        <v>BLOA</v>
      </c>
      <c r="BB388" s="1" t="str">
        <f t="shared" si="71"/>
        <v>40L</v>
      </c>
      <c r="BC388" s="1">
        <f t="shared" si="67"/>
        <v>110</v>
      </c>
      <c r="BD388" s="1" t="s">
        <v>795</v>
      </c>
      <c r="BE388" s="1" t="s">
        <v>822</v>
      </c>
      <c r="BF388" s="1" t="s">
        <v>414</v>
      </c>
      <c r="BG388" s="1" t="s">
        <v>390</v>
      </c>
      <c r="BH388" s="1" t="str">
        <f>UPPER(BE388)</f>
        <v>BLACK QUINOA</v>
      </c>
      <c r="BJ388"/>
      <c r="BK388"/>
      <c r="BM388"/>
    </row>
    <row r="389" spans="22:65" x14ac:dyDescent="0.35">
      <c r="V389" s="1" t="str">
        <v xml:space="preserve">AQUA 3460 WHTE25 </v>
      </c>
      <c r="X389" s="1" t="str">
        <f t="shared" si="66"/>
        <v xml:space="preserve">4850 GROUTCAEL15 </v>
      </c>
      <c r="Y389" s="1" t="str" cm="1">
        <f t="array" ref="Y389">IFERROR(VLOOKUP($X389,$AN:AO,COLUMN(AO:AO)-COLUMN($AN:$AN)+1,FALSE),"")</f>
        <v>ACCELERA 4850 GROUT/TOPCOAT POLYASPARTICCARAMEL15 GAL</v>
      </c>
      <c r="Z389" s="63" cm="1">
        <f t="array" ref="Z389">IFERROR(VLOOKUP($X389,$AN:AP,COLUMN(AP:AP)-COLUMN($AN:$AN)+1,FALSE),"")</f>
        <v>2126.25</v>
      </c>
      <c r="AA389" s="1" t="str" cm="1">
        <f t="array" ref="AA389">IFERROR(VLOOKUP($X389,$AN:AQ,COLUMN(AQ:AQ)-COLUMN($AN:$AN)+1,FALSE),"")</f>
        <v>15 GAL</v>
      </c>
      <c r="AC389" s="1" t="str" cm="1">
        <f t="array" ref="AC389">IFERROR(VLOOKUP($X389,$AN:AS,COLUMN(AS:AS)-COLUMN($AN:$AN)+1,FALSE),"")</f>
        <v>CARAMEL</v>
      </c>
      <c r="AD389" s="1" t="s">
        <v>19</v>
      </c>
      <c r="AF389" s="1">
        <f>Table1[[#This Row],[C:C]]*1.1</f>
        <v>0</v>
      </c>
      <c r="AI389" s="1">
        <f>IFERROR(VLOOKUP(X389,#REF!,8,FALSE),0)</f>
        <v>0</v>
      </c>
      <c r="AN389" s="1" t="str">
        <f>PROD_ID_TABLE[[#This Row],[PROD ID]]</f>
        <v>O FLAKE - BOSE40L</v>
      </c>
      <c r="AO389" s="1" t="str">
        <f>_xlfn.CONCAT(BD389:BF389)</f>
        <v>1-4IN DECO FLAKE - 40LB BAGBOTTLENOSE40LB BAG</v>
      </c>
      <c r="AP389" s="3">
        <f t="shared" si="75"/>
        <v>110</v>
      </c>
      <c r="AQ389" s="1" t="str">
        <f>BF389</f>
        <v>40LB BAG</v>
      </c>
      <c r="AS389" s="1" t="str">
        <f>BE389</f>
        <v>BOTTLENOSE</v>
      </c>
      <c r="AT389"/>
      <c r="AU389"/>
      <c r="AV389"/>
      <c r="AY389" t="str">
        <f t="shared" si="72"/>
        <v>O FLAKE - BOSE40L</v>
      </c>
      <c r="AZ389" s="1" t="str">
        <f t="shared" si="73"/>
        <v xml:space="preserve">O FLAKE - </v>
      </c>
      <c r="BA389" t="str">
        <f t="shared" si="74"/>
        <v>BOSE</v>
      </c>
      <c r="BB389" s="1" t="str">
        <f t="shared" si="71"/>
        <v>40L</v>
      </c>
      <c r="BC389" s="1">
        <f t="shared" si="67"/>
        <v>110</v>
      </c>
      <c r="BD389" s="1" t="s">
        <v>795</v>
      </c>
      <c r="BE389" s="1" t="s">
        <v>823</v>
      </c>
      <c r="BF389" s="1" t="s">
        <v>414</v>
      </c>
      <c r="BG389" s="1" t="s">
        <v>390</v>
      </c>
      <c r="BH389" s="1" t="str">
        <f t="shared" ref="BH389:BH453" si="76">UPPER(BE389)</f>
        <v>BOTTLENOSE</v>
      </c>
      <c r="BJ389"/>
      <c r="BK389"/>
      <c r="BM389"/>
    </row>
    <row r="390" spans="22:65" x14ac:dyDescent="0.35">
      <c r="V390" s="1" t="str">
        <v xml:space="preserve">AQUA 3460 GRAY25 </v>
      </c>
      <c r="X390" s="1" t="str">
        <f t="shared" si="66"/>
        <v xml:space="preserve">4850 GROUTULSE15 </v>
      </c>
      <c r="Y390" s="1" t="str" cm="1">
        <f t="array" ref="Y390">IFERROR(VLOOKUP($X390,$AN:AO,COLUMN(AO:AO)-COLUMN($AN:$AN)+1,FALSE),"")</f>
        <v>ACCELERA 4850 GROUT/TOPCOAT POLYASPARTICULTRA DEEP BASE15 GAL</v>
      </c>
      <c r="Z390" s="63" cm="1">
        <f t="array" ref="Z390">IFERROR(VLOOKUP($X390,$AN:AP,COLUMN(AP:AP)-COLUMN($AN:$AN)+1,FALSE),"")</f>
        <v>2126.25</v>
      </c>
      <c r="AA390" s="1" t="str" cm="1">
        <f t="array" ref="AA390">IFERROR(VLOOKUP($X390,$AN:AQ,COLUMN(AQ:AQ)-COLUMN($AN:$AN)+1,FALSE),"")</f>
        <v>15 GAL</v>
      </c>
      <c r="AC390" s="1" t="str" cm="1">
        <f t="array" ref="AC390">IFERROR(VLOOKUP($X390,$AN:AS,COLUMN(AS:AS)-COLUMN($AN:$AN)+1,FALSE),"")</f>
        <v>ULTRA DEEP BASE</v>
      </c>
      <c r="AD390" s="1" t="s">
        <v>19</v>
      </c>
      <c r="AF390" s="1">
        <f>Table1[[#This Row],[C:C]]*1.1</f>
        <v>0</v>
      </c>
      <c r="AI390" s="1">
        <f>IFERROR(VLOOKUP(X390,#REF!,8,FALSE),0)</f>
        <v>0</v>
      </c>
      <c r="AN390" s="1" t="str">
        <f>PROD_ID_TABLE[[#This Row],[PROD ID]]</f>
        <v>O FLAKE - BUOD40L</v>
      </c>
      <c r="AO390" s="1" t="str">
        <f>_xlfn.CONCAT(BD390:BF390)</f>
        <v>1-4IN DECO FLAKE - 40LB BAGBURNT WOOD40LB BAG</v>
      </c>
      <c r="AP390" s="3">
        <f t="shared" si="75"/>
        <v>110</v>
      </c>
      <c r="AQ390" s="1" t="str">
        <f>BF390</f>
        <v>40LB BAG</v>
      </c>
      <c r="AS390" s="1" t="str">
        <f>BE390</f>
        <v>BURNT WOOD</v>
      </c>
      <c r="AT390"/>
      <c r="AU390"/>
      <c r="AV390"/>
      <c r="AY390" t="str">
        <f t="shared" si="72"/>
        <v>O FLAKE - BUOD40L</v>
      </c>
      <c r="AZ390" s="1" t="str">
        <f t="shared" si="73"/>
        <v xml:space="preserve">O FLAKE - </v>
      </c>
      <c r="BA390" t="str">
        <f t="shared" si="74"/>
        <v>BUOD</v>
      </c>
      <c r="BB390" s="1" t="str">
        <f t="shared" si="71"/>
        <v>40L</v>
      </c>
      <c r="BC390" s="1">
        <f t="shared" si="67"/>
        <v>110</v>
      </c>
      <c r="BD390" s="1" t="s">
        <v>795</v>
      </c>
      <c r="BE390" s="1" t="s">
        <v>802</v>
      </c>
      <c r="BF390" s="1" t="s">
        <v>414</v>
      </c>
      <c r="BG390" s="1" t="s">
        <v>390</v>
      </c>
      <c r="BH390" s="1" t="str">
        <f t="shared" si="76"/>
        <v>BURNT WOOD</v>
      </c>
      <c r="BJ390"/>
      <c r="BK390"/>
      <c r="BM390"/>
    </row>
    <row r="391" spans="22:65" x14ac:dyDescent="0.35">
      <c r="V391" s="1" t="str">
        <v>AQUA 3461 N//A3 G</v>
      </c>
      <c r="X391" s="1" t="str">
        <f t="shared" si="66"/>
        <v xml:space="preserve">4850 GROUTWHSE15 </v>
      </c>
      <c r="Y391" s="1" t="str" cm="1">
        <f t="array" ref="Y391">IFERROR(VLOOKUP($X391,$AN:AO,COLUMN(AO:AO)-COLUMN($AN:$AN)+1,FALSE),"")</f>
        <v>ACCELERA 4850 GROUT/TOPCOAT POLYASPARTICWHITE TINT BASE15 GAL</v>
      </c>
      <c r="Z391" s="63" cm="1">
        <f t="array" ref="Z391">IFERROR(VLOOKUP($X391,$AN:AP,COLUMN(AP:AP)-COLUMN($AN:$AN)+1,FALSE),"")</f>
        <v>2126.25</v>
      </c>
      <c r="AA391" s="1" t="str" cm="1">
        <f t="array" ref="AA391">IFERROR(VLOOKUP($X391,$AN:AQ,COLUMN(AQ:AQ)-COLUMN($AN:$AN)+1,FALSE),"")</f>
        <v>15 GAL</v>
      </c>
      <c r="AC391" s="1" t="str" cm="1">
        <f t="array" ref="AC391">IFERROR(VLOOKUP($X391,$AN:AS,COLUMN(AS:AS)-COLUMN($AN:$AN)+1,FALSE),"")</f>
        <v>WHITE TINT BASE</v>
      </c>
      <c r="AD391" s="1" t="s">
        <v>19</v>
      </c>
      <c r="AF391" s="1">
        <f>Table1[[#This Row],[C:C]]*1.1</f>
        <v>0</v>
      </c>
      <c r="AI391" s="1">
        <f>IFERROR(VLOOKUP(X391,#REF!,8,FALSE),0)</f>
        <v>0</v>
      </c>
      <c r="AN391" s="1" t="str">
        <f>PROD_ID_TABLE[[#This Row],[PROD ID]]</f>
        <v>O FLAKE - CACK40L</v>
      </c>
      <c r="AO391" s="1" t="str">
        <f t="shared" ref="AO391:AO399" si="77">_xlfn.CONCAT(BD391:BF391)</f>
        <v>1-4IN DECO FLAKE - 40LB BAGCASTLEROCK40LB BAG</v>
      </c>
      <c r="AP391" s="3">
        <f t="shared" si="75"/>
        <v>110</v>
      </c>
      <c r="AQ391" s="1" t="str">
        <f t="shared" ref="AQ391:AQ399" si="78">BF391</f>
        <v>40LB BAG</v>
      </c>
      <c r="AS391" s="1" t="str">
        <f t="shared" ref="AS391:AS399" si="79">BE391</f>
        <v>CASTLEROCK</v>
      </c>
      <c r="AT391"/>
      <c r="AU391"/>
      <c r="AV391"/>
      <c r="AY391" t="str">
        <f t="shared" si="72"/>
        <v>O FLAKE - CACK40L</v>
      </c>
      <c r="AZ391" s="1" t="str">
        <f t="shared" si="73"/>
        <v xml:space="preserve">O FLAKE - </v>
      </c>
      <c r="BA391" t="str">
        <f t="shared" si="74"/>
        <v>CACK</v>
      </c>
      <c r="BB391" s="1" t="str">
        <f t="shared" si="71"/>
        <v>40L</v>
      </c>
      <c r="BC391" s="1">
        <f t="shared" si="67"/>
        <v>110</v>
      </c>
      <c r="BD391" s="1" t="s">
        <v>795</v>
      </c>
      <c r="BE391" s="1" t="s">
        <v>814</v>
      </c>
      <c r="BF391" s="1" t="s">
        <v>414</v>
      </c>
      <c r="BG391" s="1" t="s">
        <v>390</v>
      </c>
      <c r="BH391" s="1" t="str">
        <f t="shared" si="76"/>
        <v>CASTLEROCK</v>
      </c>
      <c r="BJ391"/>
      <c r="BK391"/>
      <c r="BM391"/>
    </row>
    <row r="392" spans="22:65" x14ac:dyDescent="0.35">
      <c r="V392" s="1" t="str">
        <v xml:space="preserve">AQUA 3461 N//A15 </v>
      </c>
      <c r="X392" s="1" t="str">
        <f t="shared" si="66"/>
        <v>AR AGGREGAN//A50L</v>
      </c>
      <c r="Y392" s="1" t="str" cm="1">
        <f t="array" ref="Y392">IFERROR(VLOOKUP($X392,$AN:AO,COLUMN(AO:AO)-COLUMN($AN:$AN)+1,FALSE),"")</f>
        <v>5115 MORTAR AGGREGATE BLENDN/A50LB BAG</v>
      </c>
      <c r="Z392" s="63" cm="1">
        <f t="array" ref="Z392">IFERROR(VLOOKUP($X392,$AN:AP,COLUMN(AP:AP)-COLUMN($AN:$AN)+1,FALSE),"")</f>
        <v>10.4</v>
      </c>
      <c r="AA392" s="1" t="str" cm="1">
        <f t="array" ref="AA392">IFERROR(VLOOKUP($X392,$AN:AQ,COLUMN(AQ:AQ)-COLUMN($AN:$AN)+1,FALSE),"")</f>
        <v>50LB BAG</v>
      </c>
      <c r="AC392" s="1" t="str" cm="1">
        <f t="array" ref="AC392">IFERROR(VLOOKUP($X392,$AN:AS,COLUMN(AS:AS)-COLUMN($AN:$AN)+1,FALSE),"")</f>
        <v>N/A</v>
      </c>
      <c r="AD392" s="1" t="s">
        <v>19</v>
      </c>
      <c r="AF392" s="1">
        <f>Table1[[#This Row],[C:C]]*1.1</f>
        <v>0</v>
      </c>
      <c r="AI392" s="1">
        <f>IFERROR(VLOOKUP(X392,#REF!,8,FALSE),0)</f>
        <v>0</v>
      </c>
      <c r="AN392" s="1" t="str">
        <f>PROD_ID_TABLE[[#This Row],[PROD ID]]</f>
        <v>O FLAKE - CHAL40L</v>
      </c>
      <c r="AO392" s="1" t="str">
        <f t="shared" si="77"/>
        <v>1-4IN DECO FLAKE - 40LB BAGCHERRY CORDIAL40LB BAG</v>
      </c>
      <c r="AP392" s="3">
        <f t="shared" si="75"/>
        <v>110</v>
      </c>
      <c r="AQ392" s="1" t="str">
        <f t="shared" si="78"/>
        <v>40LB BAG</v>
      </c>
      <c r="AS392" s="1" t="str">
        <f t="shared" si="79"/>
        <v>CHERRY CORDIAL</v>
      </c>
      <c r="AT392"/>
      <c r="AU392"/>
      <c r="AV392"/>
      <c r="AY392" t="str">
        <f t="shared" si="72"/>
        <v>O FLAKE - CHAL40L</v>
      </c>
      <c r="AZ392" s="1" t="str">
        <f t="shared" si="73"/>
        <v xml:space="preserve">O FLAKE - </v>
      </c>
      <c r="BA392" t="str">
        <f t="shared" si="74"/>
        <v>CHAL</v>
      </c>
      <c r="BB392" s="1" t="str">
        <f t="shared" si="71"/>
        <v>40L</v>
      </c>
      <c r="BC392" s="1">
        <f t="shared" si="67"/>
        <v>110</v>
      </c>
      <c r="BD392" s="1" t="s">
        <v>795</v>
      </c>
      <c r="BE392" s="1" t="s">
        <v>819</v>
      </c>
      <c r="BF392" s="1" t="s">
        <v>414</v>
      </c>
      <c r="BG392" s="1" t="s">
        <v>390</v>
      </c>
      <c r="BH392" s="1" t="str">
        <f t="shared" si="76"/>
        <v>CHERRY CORDIAL</v>
      </c>
      <c r="BJ392"/>
      <c r="BK392"/>
      <c r="BM392"/>
    </row>
    <row r="393" spans="22:65" x14ac:dyDescent="0.35">
      <c r="V393" s="1" t="str">
        <v>3760 MPE MN//A3 G</v>
      </c>
      <c r="X393" s="1" t="str">
        <f t="shared" si="66"/>
        <v>SILICA SAN204050L</v>
      </c>
      <c r="Y393" s="1" t="str" cm="1">
        <f t="array" ref="Y393">IFERROR(VLOOKUP($X393,$AN:AO,COLUMN(AO:AO)-COLUMN($AN:$AN)+1,FALSE),"")</f>
        <v>5310 DRY SILICA SAND - 20/4020/4050LB BAG</v>
      </c>
      <c r="Z393" s="63" cm="1">
        <f t="array" ref="Z393">IFERROR(VLOOKUP($X393,$AN:AP,COLUMN(AP:AP)-COLUMN($AN:$AN)+1,FALSE),"")</f>
        <v>12.79</v>
      </c>
      <c r="AA393" s="1" t="str" cm="1">
        <f t="array" ref="AA393">IFERROR(VLOOKUP($X393,$AN:AQ,COLUMN(AQ:AQ)-COLUMN($AN:$AN)+1,FALSE),"")</f>
        <v>50LB BAG</v>
      </c>
      <c r="AC393" s="1" t="str" cm="1">
        <f t="array" ref="AC393">IFERROR(VLOOKUP($X393,$AN:AS,COLUMN(AS:AS)-COLUMN($AN:$AN)+1,FALSE),"")</f>
        <v>20/40</v>
      </c>
      <c r="AD393" s="1" t="s">
        <v>19</v>
      </c>
      <c r="AF393" s="1">
        <f>Table1[[#This Row],[C:C]]*1.1</f>
        <v>0</v>
      </c>
      <c r="AI393" s="1">
        <f>IFERROR(VLOOKUP(X393,#REF!,8,FALSE),0)</f>
        <v>0</v>
      </c>
      <c r="AN393" s="1" t="str">
        <f>PROD_ID_TABLE[[#This Row],[PROD ID]]</f>
        <v>O FLAKE - CHLA40L</v>
      </c>
      <c r="AO393" s="1" t="str">
        <f t="shared" si="77"/>
        <v>1-4IN DECO FLAKE - 40LB BAGCHINCHILLA40LB BAG</v>
      </c>
      <c r="AP393" s="3">
        <f t="shared" si="75"/>
        <v>110</v>
      </c>
      <c r="AQ393" s="1" t="str">
        <f t="shared" si="78"/>
        <v>40LB BAG</v>
      </c>
      <c r="AS393" s="1" t="str">
        <f t="shared" si="79"/>
        <v>CHINCHILLA</v>
      </c>
      <c r="AT393"/>
      <c r="AU393"/>
      <c r="AV393"/>
      <c r="AY393" t="str">
        <f t="shared" si="72"/>
        <v>O FLAKE - CHLA40L</v>
      </c>
      <c r="AZ393" s="1" t="str">
        <f t="shared" si="73"/>
        <v xml:space="preserve">O FLAKE - </v>
      </c>
      <c r="BA393" t="str">
        <f t="shared" si="74"/>
        <v>CHLA</v>
      </c>
      <c r="BB393" s="1" t="str">
        <f t="shared" si="71"/>
        <v>40L</v>
      </c>
      <c r="BC393" s="1">
        <f t="shared" si="67"/>
        <v>110</v>
      </c>
      <c r="BD393" s="1" t="s">
        <v>795</v>
      </c>
      <c r="BE393" s="1" t="s">
        <v>809</v>
      </c>
      <c r="BF393" s="1" t="s">
        <v>414</v>
      </c>
      <c r="BG393" s="1" t="s">
        <v>390</v>
      </c>
      <c r="BH393" s="1" t="str">
        <f t="shared" si="76"/>
        <v>CHINCHILLA</v>
      </c>
      <c r="BJ393"/>
      <c r="BK393"/>
      <c r="BM393"/>
    </row>
    <row r="394" spans="22:65" x14ac:dyDescent="0.35">
      <c r="V394" s="1" t="str">
        <v xml:space="preserve">3760 MPE MN//A15 </v>
      </c>
      <c r="X394" s="1" t="str">
        <f t="shared" si="66"/>
        <v>SILICA SAN406050L</v>
      </c>
      <c r="Y394" s="1" t="str" cm="1">
        <f t="array" ref="Y394">IFERROR(VLOOKUP($X394,$AN:AO,COLUMN(AO:AO)-COLUMN($AN:$AN)+1,FALSE),"")</f>
        <v>5310 DRY SILICA SAND - 40/6040/6050LB BAG</v>
      </c>
      <c r="Z394" s="63" cm="1">
        <f t="array" ref="Z394">IFERROR(VLOOKUP($X394,$AN:AP,COLUMN(AP:AP)-COLUMN($AN:$AN)+1,FALSE),"")</f>
        <v>18.850000000000001</v>
      </c>
      <c r="AA394" s="1" t="str" cm="1">
        <f t="array" ref="AA394">IFERROR(VLOOKUP($X394,$AN:AQ,COLUMN(AQ:AQ)-COLUMN($AN:$AN)+1,FALSE),"")</f>
        <v>50LB BAG</v>
      </c>
      <c r="AC394" s="1" t="str" cm="1">
        <f t="array" ref="AC394">IFERROR(VLOOKUP($X394,$AN:AS,COLUMN(AS:AS)-COLUMN($AN:$AN)+1,FALSE),"")</f>
        <v>40/60</v>
      </c>
      <c r="AD394" s="1" t="s">
        <v>19</v>
      </c>
      <c r="AF394" s="1">
        <f>Table1[[#This Row],[C:C]]*1.1</f>
        <v>0</v>
      </c>
      <c r="AI394" s="1">
        <f>IFERROR(VLOOKUP(X394,#REF!,8,FALSE),0)</f>
        <v>0</v>
      </c>
      <c r="AN394" s="1" t="str">
        <f>PROD_ID_TABLE[[#This Row],[PROD ID]]</f>
        <v>O FLAKE - CUND40L</v>
      </c>
      <c r="AO394" s="1" t="str">
        <f t="shared" si="77"/>
        <v>1-4IN DECO FLAKE - 40LB BAGCUSTOM BLEND40LB BAG</v>
      </c>
      <c r="AP394" s="3">
        <f t="shared" si="75"/>
        <v>110</v>
      </c>
      <c r="AQ394" s="1" t="str">
        <f t="shared" si="78"/>
        <v>40LB BAG</v>
      </c>
      <c r="AS394" s="1" t="str">
        <f t="shared" si="79"/>
        <v>CUSTOM BLEND</v>
      </c>
      <c r="AT394"/>
      <c r="AU394"/>
      <c r="AV394"/>
      <c r="AY394" t="str">
        <f t="shared" si="72"/>
        <v>O FLAKE - CUND40L</v>
      </c>
      <c r="AZ394" s="1" t="str">
        <f t="shared" si="73"/>
        <v xml:space="preserve">O FLAKE - </v>
      </c>
      <c r="BA394" t="str">
        <f t="shared" si="74"/>
        <v>CUND</v>
      </c>
      <c r="BB394" s="1" t="str">
        <f t="shared" si="71"/>
        <v>40L</v>
      </c>
      <c r="BC394" s="1">
        <f t="shared" si="67"/>
        <v>110</v>
      </c>
      <c r="BD394" s="1" t="s">
        <v>795</v>
      </c>
      <c r="BE394" s="1" t="s">
        <v>798</v>
      </c>
      <c r="BF394" s="1" t="s">
        <v>414</v>
      </c>
      <c r="BG394" s="1" t="s">
        <v>390</v>
      </c>
      <c r="BH394" s="1" t="str">
        <f t="shared" si="76"/>
        <v>CUSTOM BLEND</v>
      </c>
      <c r="BJ394"/>
      <c r="BK394"/>
      <c r="BM394"/>
    </row>
    <row r="395" spans="22:65" x14ac:dyDescent="0.35">
      <c r="V395" s="1" t="str">
        <v>3746 HIGH CLAR3 G</v>
      </c>
      <c r="X395" s="1" t="str">
        <f t="shared" si="66"/>
        <v>SILICA SAN802050L</v>
      </c>
      <c r="Y395" s="1" t="str" cm="1">
        <f t="array" ref="Y395">IFERROR(VLOOKUP($X395,$AN:AO,COLUMN(AO:AO)-COLUMN($AN:$AN)+1,FALSE),"")</f>
        <v>5310 DRY SILICA SAND - 80/12080/12050LB BAG</v>
      </c>
      <c r="Z395" s="63" cm="1">
        <f t="array" ref="Z395">IFERROR(VLOOKUP($X395,$AN:AP,COLUMN(AP:AP)-COLUMN($AN:$AN)+1,FALSE),"")</f>
        <v>26</v>
      </c>
      <c r="AA395" s="1" t="str" cm="1">
        <f t="array" ref="AA395">IFERROR(VLOOKUP($X395,$AN:AQ,COLUMN(AQ:AQ)-COLUMN($AN:$AN)+1,FALSE),"")</f>
        <v>50LB BAG</v>
      </c>
      <c r="AC395" s="1" t="str" cm="1">
        <f t="array" ref="AC395">IFERROR(VLOOKUP($X395,$AN:AS,COLUMN(AS:AS)-COLUMN($AN:$AN)+1,FALSE),"")</f>
        <v>80/120</v>
      </c>
      <c r="AD395" s="1" t="s">
        <v>19</v>
      </c>
      <c r="AF395" s="1">
        <f>Table1[[#This Row],[C:C]]*1.1</f>
        <v>0</v>
      </c>
      <c r="AI395" s="1">
        <f>IFERROR(VLOOKUP(X395,#REF!,8,FALSE),0)</f>
        <v>0</v>
      </c>
      <c r="AN395" s="1" t="str">
        <f>PROD_ID_TABLE[[#This Row],[PROD ID]]</f>
        <v>O FLAKE - FLED40L</v>
      </c>
      <c r="AO395" s="1" t="str">
        <f t="shared" si="77"/>
        <v>1-4IN DECO FLAKE - 40LB BAGFLAXSEED40LB BAG</v>
      </c>
      <c r="AP395" s="3">
        <f t="shared" si="75"/>
        <v>110</v>
      </c>
      <c r="AQ395" s="1" t="str">
        <f t="shared" si="78"/>
        <v>40LB BAG</v>
      </c>
      <c r="AS395" s="1" t="str">
        <f t="shared" si="79"/>
        <v>FLAXSEED</v>
      </c>
      <c r="AT395"/>
      <c r="AU395"/>
      <c r="AV395"/>
      <c r="AY395" t="str">
        <f t="shared" si="72"/>
        <v>O FLAKE - FLED40L</v>
      </c>
      <c r="AZ395" s="1" t="str">
        <f t="shared" si="73"/>
        <v xml:space="preserve">O FLAKE - </v>
      </c>
      <c r="BA395" t="str">
        <f t="shared" si="74"/>
        <v>FLED</v>
      </c>
      <c r="BB395" s="1" t="str">
        <f t="shared" si="71"/>
        <v>40L</v>
      </c>
      <c r="BC395" s="1">
        <f t="shared" si="67"/>
        <v>110</v>
      </c>
      <c r="BD395" s="1" t="s">
        <v>795</v>
      </c>
      <c r="BE395" s="1" t="s">
        <v>803</v>
      </c>
      <c r="BF395" s="1" t="s">
        <v>414</v>
      </c>
      <c r="BG395" s="1" t="s">
        <v>390</v>
      </c>
      <c r="BH395" s="1" t="str">
        <f t="shared" si="76"/>
        <v>FLAXSEED</v>
      </c>
      <c r="BJ395"/>
      <c r="BK395"/>
      <c r="BM395"/>
    </row>
    <row r="396" spans="22:65" x14ac:dyDescent="0.35">
      <c r="V396" s="1" t="str">
        <v>3746 HIGH CUOM3 G</v>
      </c>
      <c r="X396" s="1" t="str">
        <f t="shared" si="66"/>
        <v>GRAVEL 3/1N//A50L</v>
      </c>
      <c r="Y396" s="1" t="str" cm="1">
        <f t="array" ref="Y396">IFERROR(VLOOKUP($X396,$AN:AO,COLUMN(AO:AO)-COLUMN($AN:$AN)+1,FALSE),"")</f>
        <v>7310 PEA GRAVEL 3/16 X 3/8N/A50LB BAG</v>
      </c>
      <c r="Z396" s="63" cm="1">
        <f t="array" ref="Z396">IFERROR(VLOOKUP($X396,$AN:AP,COLUMN(AP:AP)-COLUMN($AN:$AN)+1,FALSE),"")</f>
        <v>20.8</v>
      </c>
      <c r="AA396" s="1" t="str" cm="1">
        <f t="array" ref="AA396">IFERROR(VLOOKUP($X396,$AN:AQ,COLUMN(AQ:AQ)-COLUMN($AN:$AN)+1,FALSE),"")</f>
        <v>50LB BAG</v>
      </c>
      <c r="AC396" s="1" t="str" cm="1">
        <f t="array" ref="AC396">IFERROR(VLOOKUP($X396,$AN:AS,COLUMN(AS:AS)-COLUMN($AN:$AN)+1,FALSE),"")</f>
        <v>N/A</v>
      </c>
      <c r="AD396" s="1" t="s">
        <v>19</v>
      </c>
      <c r="AF396" s="1">
        <f>Table1[[#This Row],[C:C]]*1.1</f>
        <v>0</v>
      </c>
      <c r="AI396" s="1">
        <f>IFERROR(VLOOKUP(X396,#REF!,8,FALSE),0)</f>
        <v>0</v>
      </c>
      <c r="AN396" s="1" t="str">
        <f>PROD_ID_TABLE[[#This Row],[PROD ID]]</f>
        <v>O FLAKE - GNSS40L</v>
      </c>
      <c r="AO396" s="1" t="str">
        <f t="shared" si="77"/>
        <v>1-4IN DECO FLAKE - 40LB BAGGNEISS40LB BAG</v>
      </c>
      <c r="AP396" s="3">
        <f t="shared" si="75"/>
        <v>110</v>
      </c>
      <c r="AQ396" s="1" t="str">
        <f t="shared" si="78"/>
        <v>40LB BAG</v>
      </c>
      <c r="AS396" s="1" t="str">
        <f t="shared" si="79"/>
        <v>GNEISS</v>
      </c>
      <c r="AT396"/>
      <c r="AU396"/>
      <c r="AV396"/>
      <c r="AY396" t="str">
        <f t="shared" si="72"/>
        <v>O FLAKE - GNSS40L</v>
      </c>
      <c r="AZ396" s="1" t="str">
        <f t="shared" si="73"/>
        <v xml:space="preserve">O FLAKE - </v>
      </c>
      <c r="BA396" t="str">
        <f t="shared" si="74"/>
        <v>GNSS</v>
      </c>
      <c r="BB396" s="1" t="str">
        <f t="shared" si="71"/>
        <v>40L</v>
      </c>
      <c r="BC396" s="1">
        <f t="shared" si="67"/>
        <v>110</v>
      </c>
      <c r="BD396" s="1" t="s">
        <v>795</v>
      </c>
      <c r="BE396" s="1" t="s">
        <v>824</v>
      </c>
      <c r="BF396" s="1" t="s">
        <v>414</v>
      </c>
      <c r="BG396" s="1" t="s">
        <v>390</v>
      </c>
      <c r="BH396" s="1" t="str">
        <f t="shared" si="76"/>
        <v>GNEISS</v>
      </c>
      <c r="BJ396"/>
      <c r="BK396"/>
      <c r="BM396"/>
    </row>
    <row r="397" spans="22:65" x14ac:dyDescent="0.35">
      <c r="V397" s="1" t="str">
        <v>3746 HIGH WHTE3 G</v>
      </c>
      <c r="X397" s="1" t="str">
        <f t="shared" ref="X397:X460" si="80">V385</f>
        <v>N//A50L</v>
      </c>
      <c r="Y397" s="1" t="str" cm="1">
        <f t="array" ref="Y397">IFERROR(VLOOKUP($X397,$AN:AO,COLUMN(AO:AO)-COLUMN($AN:$AN)+1,FALSE),"")</f>
        <v>F-60N/A50LB BAG</v>
      </c>
      <c r="Z397" s="63" cm="1">
        <f t="array" ref="Z397">IFERROR(VLOOKUP($X397,$AN:AP,COLUMN(AP:AP)-COLUMN($AN:$AN)+1,FALSE),"")</f>
        <v>0</v>
      </c>
      <c r="AA397" s="1" t="str" cm="1">
        <f t="array" ref="AA397">IFERROR(VLOOKUP($X397,$AN:AQ,COLUMN(AQ:AQ)-COLUMN($AN:$AN)+1,FALSE),"")</f>
        <v>50LB BAG</v>
      </c>
      <c r="AC397" s="1" t="str" cm="1">
        <f t="array" ref="AC397">IFERROR(VLOOKUP($X397,$AN:AS,COLUMN(AS:AS)-COLUMN($AN:$AN)+1,FALSE),"")</f>
        <v>N/A</v>
      </c>
      <c r="AD397" s="1" t="s">
        <v>19</v>
      </c>
      <c r="AF397" s="1">
        <f>Table1[[#This Row],[C:C]]*1.1</f>
        <v>0</v>
      </c>
      <c r="AI397" s="1">
        <f>IFERROR(VLOOKUP(X397,#REF!,8,FALSE),0)</f>
        <v>0</v>
      </c>
      <c r="AN397" s="1" t="str">
        <f>PROD_ID_TABLE[[#This Row],[PROD ID]]</f>
        <v>O FLAKE - GROT40L</v>
      </c>
      <c r="AO397" s="1" t="str">
        <f t="shared" si="77"/>
        <v>1-4IN DECO FLAKE - 40LB BAGGRAY PARROT40LB BAG</v>
      </c>
      <c r="AP397" s="3">
        <f t="shared" si="75"/>
        <v>110</v>
      </c>
      <c r="AQ397" s="1" t="str">
        <f t="shared" si="78"/>
        <v>40LB BAG</v>
      </c>
      <c r="AS397" s="1" t="str">
        <f t="shared" si="79"/>
        <v>GRAY PARROT</v>
      </c>
      <c r="AT397"/>
      <c r="AU397"/>
      <c r="AV397"/>
      <c r="AY397" t="str">
        <f t="shared" si="72"/>
        <v>O FLAKE - GROT40L</v>
      </c>
      <c r="AZ397" s="1" t="str">
        <f t="shared" si="73"/>
        <v xml:space="preserve">O FLAKE - </v>
      </c>
      <c r="BA397" t="str">
        <f t="shared" si="74"/>
        <v>GROT</v>
      </c>
      <c r="BB397" s="1" t="str">
        <f t="shared" si="71"/>
        <v>40L</v>
      </c>
      <c r="BC397" s="1">
        <f t="shared" si="67"/>
        <v>110</v>
      </c>
      <c r="BD397" s="1" t="s">
        <v>795</v>
      </c>
      <c r="BE397" s="1" t="s">
        <v>812</v>
      </c>
      <c r="BF397" s="1" t="s">
        <v>414</v>
      </c>
      <c r="BG397" s="1" t="s">
        <v>390</v>
      </c>
      <c r="BH397" s="1" t="str">
        <f t="shared" si="76"/>
        <v>GRAY PARROT</v>
      </c>
      <c r="BJ397"/>
      <c r="BK397"/>
      <c r="BM397"/>
    </row>
    <row r="398" spans="22:65" x14ac:dyDescent="0.35">
      <c r="V398" s="1" t="str">
        <v>3746 HIGH GRAY3 G</v>
      </c>
      <c r="X398" s="1" t="str">
        <f t="shared" si="80"/>
        <v/>
      </c>
      <c r="Y398" s="1" t="str" cm="1">
        <f t="array" ref="Y398">IFERROR(VLOOKUP($X398,$AN:AO,COLUMN(AO:AO)-COLUMN($AN:$AN)+1,FALSE),"")</f>
        <v/>
      </c>
      <c r="Z398" s="63" cm="1">
        <f t="array" ref="Z398">IFERROR(VLOOKUP($X398,$AN:AP,COLUMN(AP:AP)-COLUMN($AN:$AN)+1,FALSE),"")</f>
        <v>0</v>
      </c>
      <c r="AA398" s="1" cm="1">
        <f t="array" ref="AA398">IFERROR(VLOOKUP($X398,$AN:AQ,COLUMN(AQ:AQ)-COLUMN($AN:$AN)+1,FALSE),"")</f>
        <v>0</v>
      </c>
      <c r="AC398" s="1" cm="1">
        <f t="array" ref="AC398">IFERROR(VLOOKUP($X398,$AN:AS,COLUMN(AS:AS)-COLUMN($AN:$AN)+1,FALSE),"")</f>
        <v>0</v>
      </c>
      <c r="AD398" s="1" t="s">
        <v>19</v>
      </c>
      <c r="AF398" s="1">
        <f>Table1[[#This Row],[C:C]]*1.1</f>
        <v>0</v>
      </c>
      <c r="AI398" s="1">
        <f>IFERROR(VLOOKUP(X398,#REF!,8,FALSE),0)</f>
        <v>0</v>
      </c>
      <c r="AN398" s="1" t="str">
        <f>PROD_ID_TABLE[[#This Row],[PROD ID]]</f>
        <v>O FLAKE - GREL40L</v>
      </c>
      <c r="AO398" s="1" t="str">
        <f t="shared" si="77"/>
        <v>1-4IN DECO FLAKE - 40LB BAGGRAY SQUIRREL40LB BAG</v>
      </c>
      <c r="AP398" s="3">
        <f t="shared" si="75"/>
        <v>110</v>
      </c>
      <c r="AQ398" s="1" t="str">
        <f t="shared" si="78"/>
        <v>40LB BAG</v>
      </c>
      <c r="AS398" s="1" t="str">
        <f t="shared" si="79"/>
        <v>GRAY SQUIRREL</v>
      </c>
      <c r="AT398"/>
      <c r="AU398"/>
      <c r="AV398"/>
      <c r="AY398" t="str">
        <f t="shared" si="72"/>
        <v>O FLAKE - GREL40L</v>
      </c>
      <c r="AZ398" s="1" t="str">
        <f t="shared" si="73"/>
        <v xml:space="preserve">O FLAKE - </v>
      </c>
      <c r="BA398" t="str">
        <f t="shared" si="74"/>
        <v>GREL</v>
      </c>
      <c r="BB398" s="1" t="str">
        <f t="shared" si="71"/>
        <v>40L</v>
      </c>
      <c r="BC398" s="1">
        <f t="shared" si="67"/>
        <v>110</v>
      </c>
      <c r="BD398" s="1" t="s">
        <v>795</v>
      </c>
      <c r="BE398" s="1" t="s">
        <v>815</v>
      </c>
      <c r="BF398" s="1" t="s">
        <v>414</v>
      </c>
      <c r="BG398" s="1" t="s">
        <v>390</v>
      </c>
      <c r="BH398" s="1" t="str">
        <f t="shared" si="76"/>
        <v>GRAY SQUIRREL</v>
      </c>
      <c r="BJ398"/>
      <c r="BK398"/>
      <c r="BM398"/>
    </row>
    <row r="399" spans="22:65" x14ac:dyDescent="0.35">
      <c r="V399" s="1" t="str">
        <v>3746 HIGH MEAY3 G</v>
      </c>
      <c r="X399" s="1" t="str">
        <f t="shared" si="80"/>
        <v>AQUA 3460 WHTE1.2</v>
      </c>
      <c r="Y399" s="1" t="str" cm="1">
        <f t="array" ref="Y399">IFERROR(VLOOKUP($X399,$AN:AO,COLUMN(AO:AO)-COLUMN($AN:$AN)+1,FALSE),"")</f>
        <v>RESUFLOR AQUA 3460 WB EPOXY PRIMER, BINDER, TOPCOATWHITE1.25 GAL</v>
      </c>
      <c r="Z399" s="63" cm="1">
        <f t="array" ref="Z399">IFERROR(VLOOKUP($X399,$AN:AP,COLUMN(AP:AP)-COLUMN($AN:$AN)+1,FALSE),"")</f>
        <v>131.82</v>
      </c>
      <c r="AA399" s="1" t="str" cm="1">
        <f t="array" ref="AA399">IFERROR(VLOOKUP($X399,$AN:AQ,COLUMN(AQ:AQ)-COLUMN($AN:$AN)+1,FALSE),"")</f>
        <v>1.25 GAL</v>
      </c>
      <c r="AC399" s="1" t="str" cm="1">
        <f t="array" ref="AC399">IFERROR(VLOOKUP($X399,$AN:AS,COLUMN(AS:AS)-COLUMN($AN:$AN)+1,FALSE),"")</f>
        <v>WHITE</v>
      </c>
      <c r="AD399" s="1" t="s">
        <v>19</v>
      </c>
      <c r="AF399" s="1">
        <f>Table1[[#This Row],[C:C]]*1.1</f>
        <v>0</v>
      </c>
      <c r="AI399" s="1">
        <f>IFERROR(VLOOKUP(X399,#REF!,8,FALSE),0)</f>
        <v>0</v>
      </c>
      <c r="AN399" s="1" t="str">
        <f>PROD_ID_TABLE[[#This Row],[PROD ID]]</f>
        <v>O FLAKE - GRND40L</v>
      </c>
      <c r="AO399" s="1" t="str">
        <f t="shared" si="77"/>
        <v>1-4IN DECO FLAKE - 40LB BAGGREYHOUND40LB BAG</v>
      </c>
      <c r="AP399" s="3">
        <f t="shared" si="75"/>
        <v>110</v>
      </c>
      <c r="AQ399" s="1" t="str">
        <f t="shared" si="78"/>
        <v>40LB BAG</v>
      </c>
      <c r="AS399" s="1" t="str">
        <f t="shared" si="79"/>
        <v>GREYHOUND</v>
      </c>
      <c r="AT399"/>
      <c r="AU399"/>
      <c r="AV399"/>
      <c r="AY399" t="str">
        <f t="shared" si="72"/>
        <v>O FLAKE - GRND40L</v>
      </c>
      <c r="AZ399" s="1" t="str">
        <f t="shared" si="73"/>
        <v xml:space="preserve">O FLAKE - </v>
      </c>
      <c r="BA399" t="str">
        <f t="shared" si="74"/>
        <v>GRND</v>
      </c>
      <c r="BB399" s="1" t="str">
        <f t="shared" si="71"/>
        <v>40L</v>
      </c>
      <c r="BC399" s="1">
        <f t="shared" si="67"/>
        <v>110</v>
      </c>
      <c r="BD399" s="1" t="s">
        <v>795</v>
      </c>
      <c r="BE399" s="1" t="s">
        <v>817</v>
      </c>
      <c r="BF399" s="1" t="s">
        <v>414</v>
      </c>
      <c r="BG399" s="1" t="s">
        <v>390</v>
      </c>
      <c r="BH399" s="1" t="str">
        <f t="shared" si="76"/>
        <v>GREYHOUND</v>
      </c>
      <c r="BJ399"/>
      <c r="BK399"/>
      <c r="BM399"/>
    </row>
    <row r="400" spans="22:65" x14ac:dyDescent="0.35">
      <c r="V400" s="1" t="str">
        <v>3746 HIGH CAAY3 G</v>
      </c>
      <c r="X400" s="1" t="str">
        <f t="shared" si="80"/>
        <v>AQUA 3460 GRAY1.2</v>
      </c>
      <c r="Y400" s="1" t="str" cm="1">
        <f t="array" ref="Y400">IFERROR(VLOOKUP($X400,$AN:AO,COLUMN(AO:AO)-COLUMN($AN:$AN)+1,FALSE),"")</f>
        <v>RESUFLOR AQUA 3460 WB EPOXY PRIMER, BINDER, TOPCOATGRAY1.25 GAL</v>
      </c>
      <c r="Z400" s="63" cm="1">
        <f t="array" ref="Z400">IFERROR(VLOOKUP($X400,$AN:AP,COLUMN(AP:AP)-COLUMN($AN:$AN)+1,FALSE),"")</f>
        <v>131.82</v>
      </c>
      <c r="AA400" s="1" t="str" cm="1">
        <f t="array" ref="AA400">IFERROR(VLOOKUP($X400,$AN:AQ,COLUMN(AQ:AQ)-COLUMN($AN:$AN)+1,FALSE),"")</f>
        <v>1.25 GAL</v>
      </c>
      <c r="AC400" s="1" t="str" cm="1">
        <f t="array" ref="AC400">IFERROR(VLOOKUP($X400,$AN:AS,COLUMN(AS:AS)-COLUMN($AN:$AN)+1,FALSE),"")</f>
        <v>GRAY</v>
      </c>
      <c r="AD400" s="1" t="s">
        <v>19</v>
      </c>
      <c r="AF400" s="1">
        <f>Table1[[#This Row],[C:C]]*1.1</f>
        <v>0</v>
      </c>
      <c r="AI400" s="1">
        <f>IFERROR(VLOOKUP(X400,#REF!,8,FALSE),0)</f>
        <v>0</v>
      </c>
      <c r="AN400" s="1" t="str">
        <f>PROD_ID_TABLE[[#This Row],[PROD ID]]</f>
        <v>O FLAKE - HUAY40</v>
      </c>
      <c r="AO400" s="1" t="str">
        <f t="shared" ref="AO400:AO431" si="81">_xlfn.CONCAT(BD400:BF400)</f>
        <v>1-4IN DECO FLAKE - 40LB BAGHUSKY GRAY40LB BAG</v>
      </c>
      <c r="AP400" s="3">
        <f t="shared" si="75"/>
        <v>110</v>
      </c>
      <c r="AQ400" s="1" t="str">
        <f t="shared" ref="AQ400:AQ431" si="82">BF400</f>
        <v>40LB BAG</v>
      </c>
      <c r="AS400" s="1" t="str">
        <f t="shared" ref="AS400:AS431" si="83">BE400</f>
        <v>HUSKY GRAY</v>
      </c>
      <c r="AT400"/>
      <c r="AU400"/>
      <c r="AV400"/>
      <c r="AY400" t="str">
        <f t="shared" ref="AY400:AY409" si="84">_xlfn.CONCAT(AZ400:BB400)</f>
        <v>O FLAKE - HUAY40</v>
      </c>
      <c r="AZ400" s="1" t="str">
        <f t="shared" ref="AZ400:AZ431" si="85">MID(BD400,10,10)</f>
        <v xml:space="preserve">O FLAKE - </v>
      </c>
      <c r="BA400" t="str">
        <f t="shared" ref="BA400:BA431" si="86">LEFT(BE400,2)&amp;RIGHT(BE400,2)</f>
        <v>HUAY</v>
      </c>
      <c r="BB400" s="1" t="str">
        <f t="shared" ref="BB400:BB431" si="87">LEFT(BF400,2)</f>
        <v>40</v>
      </c>
      <c r="BC400" s="1">
        <f t="shared" si="67"/>
        <v>110</v>
      </c>
      <c r="BD400" s="1" t="s">
        <v>795</v>
      </c>
      <c r="BE400" s="1" t="s">
        <v>811</v>
      </c>
      <c r="BF400" s="1" t="s">
        <v>414</v>
      </c>
      <c r="BG400" s="1" t="s">
        <v>390</v>
      </c>
      <c r="BH400" s="1" t="str">
        <f t="shared" si="76"/>
        <v>HUSKY GRAY</v>
      </c>
      <c r="BJ400"/>
      <c r="BK400"/>
      <c r="BM400"/>
    </row>
    <row r="401" spans="22:66" x14ac:dyDescent="0.35">
      <c r="V401" s="1" t="str">
        <v>3746 HIGH CHAL3 G</v>
      </c>
      <c r="X401" s="1" t="str">
        <f t="shared" si="80"/>
        <v xml:space="preserve">AQUA 3460 WHTE25 </v>
      </c>
      <c r="Y401" s="1" t="str" cm="1">
        <f t="array" ref="Y401">IFERROR(VLOOKUP($X401,$AN:AO,COLUMN(AO:AO)-COLUMN($AN:$AN)+1,FALSE),"")</f>
        <v>RESUFLOR AQUA 3460 WB EPOXY PRIMER, BINDER, TOPCOATWHITE25 GAL</v>
      </c>
      <c r="Z401" s="63" cm="1">
        <f t="array" ref="Z401">IFERROR(VLOOKUP($X401,$AN:AP,COLUMN(AP:AP)-COLUMN($AN:$AN)+1,FALSE),"")</f>
        <v>2139</v>
      </c>
      <c r="AA401" s="1" t="str" cm="1">
        <f t="array" ref="AA401">IFERROR(VLOOKUP($X401,$AN:AQ,COLUMN(AQ:AQ)-COLUMN($AN:$AN)+1,FALSE),"")</f>
        <v>25 GAL</v>
      </c>
      <c r="AC401" s="1" t="str" cm="1">
        <f t="array" ref="AC401">IFERROR(VLOOKUP($X401,$AN:AS,COLUMN(AS:AS)-COLUMN($AN:$AN)+1,FALSE),"")</f>
        <v>WHITE</v>
      </c>
      <c r="AD401" s="1" t="s">
        <v>19</v>
      </c>
      <c r="AF401" s="1">
        <f>Table1[[#This Row],[C:C]]*1.1</f>
        <v>0</v>
      </c>
      <c r="AI401" s="1">
        <f>IFERROR(VLOOKUP(X401,#REF!,8,FALSE),0)</f>
        <v>0</v>
      </c>
      <c r="AN401" s="1" t="str">
        <f>PROD_ID_TABLE[[#This Row],[PROD ID]]</f>
        <v>O FLAKE - KIKE40</v>
      </c>
      <c r="AO401" s="1" t="str">
        <f t="shared" si="81"/>
        <v>1-4IN DECO FLAKE - 40LB BAGKINGSNAKE40LB BAG</v>
      </c>
      <c r="AP401" s="3">
        <f t="shared" si="75"/>
        <v>110</v>
      </c>
      <c r="AQ401" s="1" t="str">
        <f t="shared" si="82"/>
        <v>40LB BAG</v>
      </c>
      <c r="AS401" s="1" t="str">
        <f t="shared" si="83"/>
        <v>KINGSNAKE</v>
      </c>
      <c r="AT401"/>
      <c r="AU401"/>
      <c r="AV401"/>
      <c r="AY401" t="str">
        <f t="shared" si="84"/>
        <v>O FLAKE - KIKE40</v>
      </c>
      <c r="AZ401" s="1" t="str">
        <f t="shared" si="85"/>
        <v xml:space="preserve">O FLAKE - </v>
      </c>
      <c r="BA401" t="str">
        <f t="shared" si="86"/>
        <v>KIKE</v>
      </c>
      <c r="BB401" s="1" t="str">
        <f t="shared" si="87"/>
        <v>40</v>
      </c>
      <c r="BC401" s="1">
        <f t="shared" si="67"/>
        <v>110</v>
      </c>
      <c r="BD401" s="1" t="s">
        <v>795</v>
      </c>
      <c r="BE401" s="1" t="s">
        <v>820</v>
      </c>
      <c r="BF401" s="1" t="s">
        <v>414</v>
      </c>
      <c r="BG401" s="1" t="s">
        <v>390</v>
      </c>
      <c r="BH401" s="1" t="str">
        <f t="shared" si="76"/>
        <v>KINGSNAKE</v>
      </c>
      <c r="BJ401"/>
      <c r="BK401"/>
      <c r="BM401"/>
    </row>
    <row r="402" spans="22:66" x14ac:dyDescent="0.35">
      <c r="V402" s="1" t="str">
        <v>3746 HIGH STAY3 G</v>
      </c>
      <c r="X402" s="1" t="str">
        <f t="shared" si="80"/>
        <v xml:space="preserve">AQUA 3460 GRAY25 </v>
      </c>
      <c r="Y402" s="1" t="str" cm="1">
        <f t="array" ref="Y402">IFERROR(VLOOKUP($X402,$AN:AO,COLUMN(AO:AO)-COLUMN($AN:$AN)+1,FALSE),"")</f>
        <v>RESUFLOR AQUA 3460 WB EPOXY PRIMER, BINDER, TOPCOATGRAY25 GAL</v>
      </c>
      <c r="Z402" s="63" cm="1">
        <f t="array" ref="Z402">IFERROR(VLOOKUP($X402,$AN:AP,COLUMN(AP:AP)-COLUMN($AN:$AN)+1,FALSE),"")</f>
        <v>2139</v>
      </c>
      <c r="AA402" s="1" t="str" cm="1">
        <f t="array" ref="AA402">IFERROR(VLOOKUP($X402,$AN:AQ,COLUMN(AQ:AQ)-COLUMN($AN:$AN)+1,FALSE),"")</f>
        <v>25 GAL</v>
      </c>
      <c r="AC402" s="1" t="str" cm="1">
        <f t="array" ref="AC402">IFERROR(VLOOKUP($X402,$AN:AS,COLUMN(AS:AS)-COLUMN($AN:$AN)+1,FALSE),"")</f>
        <v>GRAY</v>
      </c>
      <c r="AD402" s="1" t="s">
        <v>19</v>
      </c>
      <c r="AF402" s="1">
        <f>Table1[[#This Row],[C:C]]*1.1</f>
        <v>0</v>
      </c>
      <c r="AI402" s="1">
        <f>IFERROR(VLOOKUP(X402,#REF!,8,FALSE),0)</f>
        <v>0</v>
      </c>
      <c r="AN402" s="1" t="str">
        <f>PROD_ID_TABLE[[#This Row],[PROD ID]]</f>
        <v>O FLAKE - KIIN40</v>
      </c>
      <c r="AO402" s="1" t="str">
        <f t="shared" si="81"/>
        <v>1-4IN DECO FLAKE - 40LB BAGKIWI SKIN40LB BAG</v>
      </c>
      <c r="AP402" s="3">
        <f t="shared" si="75"/>
        <v>110</v>
      </c>
      <c r="AQ402" s="1" t="str">
        <f t="shared" si="82"/>
        <v>40LB BAG</v>
      </c>
      <c r="AS402" s="1" t="str">
        <f t="shared" si="83"/>
        <v>KIWI SKIN</v>
      </c>
      <c r="AT402"/>
      <c r="AU402"/>
      <c r="AV402"/>
      <c r="AY402" t="str">
        <f t="shared" si="84"/>
        <v>O FLAKE - KIIN40</v>
      </c>
      <c r="AZ402" s="1" t="str">
        <f t="shared" si="85"/>
        <v xml:space="preserve">O FLAKE - </v>
      </c>
      <c r="BA402" t="str">
        <f t="shared" si="86"/>
        <v>KIIN</v>
      </c>
      <c r="BB402" s="1" t="str">
        <f t="shared" si="87"/>
        <v>40</v>
      </c>
      <c r="BC402" s="1">
        <f t="shared" si="67"/>
        <v>110</v>
      </c>
      <c r="BD402" s="1" t="s">
        <v>795</v>
      </c>
      <c r="BE402" s="1" t="s">
        <v>806</v>
      </c>
      <c r="BF402" s="1" t="s">
        <v>414</v>
      </c>
      <c r="BG402" s="1" t="s">
        <v>390</v>
      </c>
      <c r="BH402" s="1" t="str">
        <f t="shared" si="76"/>
        <v>KIWI SKIN</v>
      </c>
      <c r="BJ402"/>
      <c r="BK402"/>
      <c r="BM402"/>
    </row>
    <row r="403" spans="22:66" x14ac:dyDescent="0.35">
      <c r="V403" s="1" t="str">
        <v>3746 HIGH BOTE3 G</v>
      </c>
      <c r="X403" s="1" t="str">
        <f t="shared" si="80"/>
        <v>AQUA 3461 N//A3 G</v>
      </c>
      <c r="Y403" s="1" t="str" cm="1">
        <f t="array" ref="Y403">IFERROR(VLOOKUP($X403,$AN:AO,COLUMN(AO:AO)-COLUMN($AN:$AN)+1,FALSE),"")</f>
        <v>RESUFLOR AQUA 3461 HIGH SOLIDS WB EPOXY GROUT/TOPCOATN/A3 GAL</v>
      </c>
      <c r="Z403" s="63" cm="1">
        <f t="array" ref="Z403">IFERROR(VLOOKUP($X403,$AN:AP,COLUMN(AP:AP)-COLUMN($AN:$AN)+1,FALSE),"")</f>
        <v>318</v>
      </c>
      <c r="AA403" s="1" t="str" cm="1">
        <f t="array" ref="AA403">IFERROR(VLOOKUP($X403,$AN:AQ,COLUMN(AQ:AQ)-COLUMN($AN:$AN)+1,FALSE),"")</f>
        <v>3 GAL</v>
      </c>
      <c r="AC403" s="1" t="str" cm="1">
        <f t="array" ref="AC403">IFERROR(VLOOKUP($X403,$AN:AS,COLUMN(AS:AS)-COLUMN($AN:$AN)+1,FALSE),"")</f>
        <v>N/A</v>
      </c>
      <c r="AD403" s="1" t="s">
        <v>19</v>
      </c>
      <c r="AF403" s="1">
        <f>Table1[[#This Row],[C:C]]*1.1</f>
        <v>0</v>
      </c>
      <c r="AI403" s="1">
        <f>IFERROR(VLOOKUP(X403,#REF!,8,FALSE),0)</f>
        <v>0</v>
      </c>
      <c r="AN403" s="1" t="str">
        <f>PROD_ID_TABLE[[#This Row],[PROD ID]]</f>
        <v>O FLAKE - KOAT40</v>
      </c>
      <c r="AO403" s="1" t="str">
        <f t="shared" si="81"/>
        <v>1-4IN DECO FLAKE - 40LB BAGKORAT40LB BAG</v>
      </c>
      <c r="AP403" s="3">
        <f t="shared" si="75"/>
        <v>110</v>
      </c>
      <c r="AQ403" s="1" t="str">
        <f t="shared" si="82"/>
        <v>40LB BAG</v>
      </c>
      <c r="AS403" s="1" t="str">
        <f t="shared" si="83"/>
        <v>KORAT</v>
      </c>
      <c r="AT403"/>
      <c r="AU403"/>
      <c r="AV403"/>
      <c r="AY403" t="str">
        <f t="shared" si="84"/>
        <v>O FLAKE - KOAT40</v>
      </c>
      <c r="AZ403" s="1" t="str">
        <f t="shared" si="85"/>
        <v xml:space="preserve">O FLAKE - </v>
      </c>
      <c r="BA403" t="str">
        <f t="shared" si="86"/>
        <v>KOAT</v>
      </c>
      <c r="BB403" s="1" t="str">
        <f t="shared" si="87"/>
        <v>40</v>
      </c>
      <c r="BC403" s="1">
        <f t="shared" si="67"/>
        <v>110</v>
      </c>
      <c r="BD403" s="1" t="s">
        <v>795</v>
      </c>
      <c r="BE403" s="1" t="s">
        <v>829</v>
      </c>
      <c r="BF403" s="1" t="s">
        <v>414</v>
      </c>
      <c r="BG403" s="1" t="s">
        <v>390</v>
      </c>
      <c r="BH403" s="1" t="str">
        <f t="shared" si="76"/>
        <v>KORAT</v>
      </c>
      <c r="BJ403"/>
      <c r="BK403"/>
      <c r="BM403"/>
    </row>
    <row r="404" spans="22:66" x14ac:dyDescent="0.35">
      <c r="V404" s="1" t="str">
        <v>3746 HIGH SIAY3 G</v>
      </c>
      <c r="X404" s="1" t="str">
        <f t="shared" si="80"/>
        <v xml:space="preserve">AQUA 3461 N//A15 </v>
      </c>
      <c r="Y404" s="1" t="str" cm="1">
        <f t="array" ref="Y404">IFERROR(VLOOKUP($X404,$AN:AO,COLUMN(AO:AO)-COLUMN($AN:$AN)+1,FALSE),"")</f>
        <v>RESUFLOR AQUA 3461 HIGH SOLIDS WB EPOXY GROUT/TOPCOATN/A15 GAL</v>
      </c>
      <c r="Z404" s="63" cm="1">
        <f t="array" ref="Z404">IFERROR(VLOOKUP($X404,$AN:AP,COLUMN(AP:AP)-COLUMN($AN:$AN)+1,FALSE),"")</f>
        <v>1617</v>
      </c>
      <c r="AA404" s="1" t="str" cm="1">
        <f t="array" ref="AA404">IFERROR(VLOOKUP($X404,$AN:AQ,COLUMN(AQ:AQ)-COLUMN($AN:$AN)+1,FALSE),"")</f>
        <v>15 GAL</v>
      </c>
      <c r="AC404" s="1" t="str" cm="1">
        <f t="array" ref="AC404">IFERROR(VLOOKUP($X404,$AN:AS,COLUMN(AS:AS)-COLUMN($AN:$AN)+1,FALSE),"")</f>
        <v>N/A</v>
      </c>
      <c r="AD404" s="1" t="s">
        <v>19</v>
      </c>
      <c r="AF404" s="1">
        <f>Table1[[#This Row],[C:C]]*1.1</f>
        <v>0</v>
      </c>
      <c r="AI404" s="1">
        <f>IFERROR(VLOOKUP(X404,#REF!,8,FALSE),0)</f>
        <v>0</v>
      </c>
      <c r="AN404" s="1" t="str">
        <f>PROD_ID_TABLE[[#This Row],[PROD ID]]</f>
        <v>O FLAKE - LINE40</v>
      </c>
      <c r="AO404" s="1" t="str">
        <f t="shared" si="81"/>
        <v>1-4IN DECO FLAKE - 40LB BAGLIMESTONE40LB BAG</v>
      </c>
      <c r="AP404" s="3">
        <f t="shared" si="75"/>
        <v>110</v>
      </c>
      <c r="AQ404" s="1" t="str">
        <f t="shared" si="82"/>
        <v>40LB BAG</v>
      </c>
      <c r="AS404" s="1" t="str">
        <f t="shared" si="83"/>
        <v>LIMESTONE</v>
      </c>
      <c r="AT404"/>
      <c r="AU404"/>
      <c r="AV404"/>
      <c r="AY404" t="str">
        <f t="shared" si="84"/>
        <v>O FLAKE - LINE40</v>
      </c>
      <c r="AZ404" s="1" t="str">
        <f t="shared" si="85"/>
        <v xml:space="preserve">O FLAKE - </v>
      </c>
      <c r="BA404" t="str">
        <f t="shared" si="86"/>
        <v>LINE</v>
      </c>
      <c r="BB404" s="1" t="str">
        <f t="shared" si="87"/>
        <v>40</v>
      </c>
      <c r="BC404" s="1">
        <f t="shared" si="67"/>
        <v>110</v>
      </c>
      <c r="BD404" s="1" t="s">
        <v>795</v>
      </c>
      <c r="BE404" s="1" t="s">
        <v>808</v>
      </c>
      <c r="BF404" s="1" t="s">
        <v>414</v>
      </c>
      <c r="BG404" s="1" t="s">
        <v>390</v>
      </c>
      <c r="BH404" s="1" t="str">
        <f t="shared" si="76"/>
        <v>LIMESTONE</v>
      </c>
      <c r="BJ404"/>
      <c r="BK404"/>
      <c r="BM404"/>
    </row>
    <row r="405" spans="22:66" x14ac:dyDescent="0.35">
      <c r="V405" s="1" t="str">
        <v>3746 HIGH BLCK3 G</v>
      </c>
      <c r="X405" s="1" t="str">
        <f t="shared" si="80"/>
        <v>3760 MPE MN//A3 G</v>
      </c>
      <c r="Y405" s="1" t="str" cm="1">
        <f t="array" ref="Y405">IFERROR(VLOOKUP($X405,$AN:AO,COLUMN(AO:AO)-COLUMN($AN:$AN)+1,FALSE),"")</f>
        <v>RESUFLOR 3760 MPE MULTI-PURPOSE EPOXYN/A3 GAL</v>
      </c>
      <c r="Z405" s="63" cm="1">
        <f t="array" ref="Z405">IFERROR(VLOOKUP($X405,$AN:AP,COLUMN(AP:AP)-COLUMN($AN:$AN)+1,FALSE),"")</f>
        <v>177.73</v>
      </c>
      <c r="AA405" s="1" t="str" cm="1">
        <f t="array" ref="AA405">IFERROR(VLOOKUP($X405,$AN:AQ,COLUMN(AQ:AQ)-COLUMN($AN:$AN)+1,FALSE),"")</f>
        <v>3 GAL</v>
      </c>
      <c r="AC405" s="1" t="str" cm="1">
        <f t="array" ref="AC405">IFERROR(VLOOKUP($X405,$AN:AS,COLUMN(AS:AS)-COLUMN($AN:$AN)+1,FALSE),"")</f>
        <v>N/A</v>
      </c>
      <c r="AD405" s="1" t="s">
        <v>19</v>
      </c>
      <c r="AF405" s="1">
        <f>Table1[[#This Row],[C:C]]*1.1</f>
        <v>0</v>
      </c>
      <c r="AI405" s="1">
        <f>IFERROR(VLOOKUP(X405,#REF!,8,FALSE),0)</f>
        <v>0</v>
      </c>
      <c r="AN405" s="1" t="str">
        <f>PROD_ID_TABLE[[#This Row],[PROD ID]]</f>
        <v>O FLAKE - MAEL40</v>
      </c>
      <c r="AO405" s="1" t="str">
        <f t="shared" si="81"/>
        <v>1-4IN DECO FLAKE - 40LB BAGMACKEREL40LB BAG</v>
      </c>
      <c r="AP405" s="3">
        <f t="shared" si="75"/>
        <v>110</v>
      </c>
      <c r="AQ405" s="1" t="str">
        <f t="shared" si="82"/>
        <v>40LB BAG</v>
      </c>
      <c r="AS405" s="1" t="str">
        <f t="shared" si="83"/>
        <v>MACKEREL</v>
      </c>
      <c r="AT405"/>
      <c r="AU405"/>
      <c r="AV405"/>
      <c r="AY405" t="str">
        <f t="shared" si="84"/>
        <v>O FLAKE - MAEL40</v>
      </c>
      <c r="AZ405" s="1" t="str">
        <f t="shared" si="85"/>
        <v xml:space="preserve">O FLAKE - </v>
      </c>
      <c r="BA405" t="str">
        <f t="shared" si="86"/>
        <v>MAEL</v>
      </c>
      <c r="BB405" s="1" t="str">
        <f t="shared" si="87"/>
        <v>40</v>
      </c>
      <c r="BC405" s="1">
        <f t="shared" si="67"/>
        <v>110</v>
      </c>
      <c r="BD405" s="1" t="s">
        <v>795</v>
      </c>
      <c r="BE405" s="1" t="s">
        <v>816</v>
      </c>
      <c r="BF405" s="1" t="s">
        <v>414</v>
      </c>
      <c r="BG405" s="1" t="s">
        <v>390</v>
      </c>
      <c r="BH405" s="1" t="str">
        <f t="shared" si="76"/>
        <v>MACKEREL</v>
      </c>
      <c r="BJ405"/>
      <c r="BK405"/>
      <c r="BM405"/>
    </row>
    <row r="406" spans="22:66" x14ac:dyDescent="0.35">
      <c r="V406" s="1" t="str">
        <v>3746 HIGH PANT3 G</v>
      </c>
      <c r="X406" s="1" t="str">
        <f t="shared" si="80"/>
        <v xml:space="preserve">3760 MPE MN//A15 </v>
      </c>
      <c r="Y406" s="1" t="str" cm="1">
        <f t="array" ref="Y406">IFERROR(VLOOKUP($X406,$AN:AO,COLUMN(AO:AO)-COLUMN($AN:$AN)+1,FALSE),"")</f>
        <v>RESUFLOR 3760 MPE MULTI-PURPOSE EPOXYN/A15 GAL</v>
      </c>
      <c r="Z406" s="63" cm="1">
        <f t="array" ref="Z406">IFERROR(VLOOKUP($X406,$AN:AP,COLUMN(AP:AP)-COLUMN($AN:$AN)+1,FALSE),"")</f>
        <v>847.44</v>
      </c>
      <c r="AA406" s="1" t="str" cm="1">
        <f t="array" ref="AA406">IFERROR(VLOOKUP($X406,$AN:AQ,COLUMN(AQ:AQ)-COLUMN($AN:$AN)+1,FALSE),"")</f>
        <v>15 GAL</v>
      </c>
      <c r="AC406" s="1" t="str" cm="1">
        <f t="array" ref="AC406">IFERROR(VLOOKUP($X406,$AN:AS,COLUMN(AS:AS)-COLUMN($AN:$AN)+1,FALSE),"")</f>
        <v>N/A</v>
      </c>
      <c r="AD406" s="1" t="s">
        <v>19</v>
      </c>
      <c r="AF406" s="1">
        <f>Table1[[#This Row],[C:C]]*1.1</f>
        <v>0</v>
      </c>
      <c r="AI406" s="1">
        <f>IFERROR(VLOOKUP(X406,#REF!,8,FALSE),0)</f>
        <v>0</v>
      </c>
      <c r="AN406" s="1" t="str">
        <f>PROD_ID_TABLE[[#This Row],[PROD ID]]</f>
        <v>O FLAKE - METE40</v>
      </c>
      <c r="AO406" s="1" t="str">
        <f t="shared" si="81"/>
        <v>1-4IN DECO FLAKE - 40LB BAGMETEORITE40LB BAG</v>
      </c>
      <c r="AP406" s="3">
        <f t="shared" si="75"/>
        <v>110</v>
      </c>
      <c r="AQ406" s="1" t="str">
        <f t="shared" si="82"/>
        <v>40LB BAG</v>
      </c>
      <c r="AS406" s="1" t="str">
        <f t="shared" si="83"/>
        <v>METEORITE</v>
      </c>
      <c r="AT406"/>
      <c r="AU406"/>
      <c r="AV406"/>
      <c r="AY406" t="str">
        <f t="shared" si="84"/>
        <v>O FLAKE - METE40</v>
      </c>
      <c r="AZ406" s="1" t="str">
        <f t="shared" si="85"/>
        <v xml:space="preserve">O FLAKE - </v>
      </c>
      <c r="BA406" t="str">
        <f t="shared" si="86"/>
        <v>METE</v>
      </c>
      <c r="BB406" s="1" t="str">
        <f t="shared" si="87"/>
        <v>40</v>
      </c>
      <c r="BC406" s="1">
        <f t="shared" ref="BC406:BC469" si="88">IFERROR(VLOOKUP(BD406&amp;BF406,AV:AW,2,FALSE),0)</f>
        <v>110</v>
      </c>
      <c r="BD406" s="1" t="s">
        <v>795</v>
      </c>
      <c r="BE406" s="1" t="s">
        <v>825</v>
      </c>
      <c r="BF406" s="1" t="s">
        <v>414</v>
      </c>
      <c r="BG406" s="1" t="s">
        <v>390</v>
      </c>
      <c r="BH406" s="1" t="str">
        <f t="shared" si="76"/>
        <v>METEORITE</v>
      </c>
      <c r="BJ406"/>
      <c r="BK406"/>
      <c r="BM406"/>
    </row>
    <row r="407" spans="22:66" x14ac:dyDescent="0.35">
      <c r="V407" s="1" t="str">
        <v>3746 HIGH SAED3 G</v>
      </c>
      <c r="X407" s="1" t="str">
        <f t="shared" si="80"/>
        <v>3746 HIGH CLAR3 G</v>
      </c>
      <c r="Y407" s="1" t="str" cm="1">
        <f t="array" ref="Y407">IFERROR(VLOOKUP($X407,$AN:AO,COLUMN(AO:AO)-COLUMN($AN:$AN)+1,FALSE),"")</f>
        <v>RESUFLOR 3746 HIGH PERFORMANCE EPOXYCLEAR3 GAL</v>
      </c>
      <c r="Z407" s="63" cm="1">
        <f t="array" ref="Z407">IFERROR(VLOOKUP($X407,$AN:AP,COLUMN(AP:AP)-COLUMN($AN:$AN)+1,FALSE),"")</f>
        <v>205.98</v>
      </c>
      <c r="AA407" s="1" t="str" cm="1">
        <f t="array" ref="AA407">IFERROR(VLOOKUP($X407,$AN:AQ,COLUMN(AQ:AQ)-COLUMN($AN:$AN)+1,FALSE),"")</f>
        <v>3 GAL</v>
      </c>
      <c r="AC407" s="1" t="str" cm="1">
        <f t="array" ref="AC407">IFERROR(VLOOKUP($X407,$AN:AS,COLUMN(AS:AS)-COLUMN($AN:$AN)+1,FALSE),"")</f>
        <v>CLEAR</v>
      </c>
      <c r="AD407" s="1" t="s">
        <v>19</v>
      </c>
      <c r="AF407" s="1">
        <f>Table1[[#This Row],[C:C]]*1.1</f>
        <v>0</v>
      </c>
      <c r="AI407" s="1">
        <f>IFERROR(VLOOKUP(X407,#REF!,8,FALSE),0)</f>
        <v>0</v>
      </c>
      <c r="AN407" s="1" t="str">
        <f>PROD_ID_TABLE[[#This Row],[PROD ID]]</f>
        <v>O FLAKE - MOON40</v>
      </c>
      <c r="AO407" s="1" t="str">
        <f t="shared" si="81"/>
        <v>1-4IN DECO FLAKE - 40LB BAGMOON40LB BAG</v>
      </c>
      <c r="AP407" s="3">
        <f t="shared" si="75"/>
        <v>110</v>
      </c>
      <c r="AQ407" s="1" t="str">
        <f t="shared" si="82"/>
        <v>40LB BAG</v>
      </c>
      <c r="AR407" s="1" t="str">
        <f t="shared" ref="AR407:AR450" si="89">_xlfn.CONCAT(BD407:BF407)</f>
        <v>1-4IN DECO FLAKE - 40LB BAGMOON40LB BAG</v>
      </c>
      <c r="AS407" s="1" t="str">
        <f t="shared" si="83"/>
        <v>MOON</v>
      </c>
      <c r="AT407"/>
      <c r="AU407"/>
      <c r="AV407"/>
      <c r="AY407" t="str">
        <f t="shared" si="84"/>
        <v>O FLAKE - MOON40</v>
      </c>
      <c r="AZ407" s="1" t="str">
        <f t="shared" si="85"/>
        <v xml:space="preserve">O FLAKE - </v>
      </c>
      <c r="BA407" t="str">
        <f t="shared" si="86"/>
        <v>MOON</v>
      </c>
      <c r="BB407" s="1" t="str">
        <f t="shared" si="87"/>
        <v>40</v>
      </c>
      <c r="BC407" s="1">
        <f t="shared" si="88"/>
        <v>110</v>
      </c>
      <c r="BD407" s="1" t="s">
        <v>795</v>
      </c>
      <c r="BE407" s="1" t="s">
        <v>807</v>
      </c>
      <c r="BF407" s="1" t="s">
        <v>414</v>
      </c>
      <c r="BG407" s="1" t="s">
        <v>390</v>
      </c>
      <c r="BH407" s="1" t="str">
        <f t="shared" si="76"/>
        <v>MOON</v>
      </c>
      <c r="BJ407"/>
      <c r="BK407"/>
      <c r="BM407"/>
    </row>
    <row r="408" spans="22:66" x14ac:dyDescent="0.35">
      <c r="V408" s="1" t="str">
        <v>3746 HIGH SAOW3 G</v>
      </c>
      <c r="X408" s="1" t="str">
        <f t="shared" si="80"/>
        <v>3746 HIGH CUOM3 G</v>
      </c>
      <c r="Y408" s="1" t="str" cm="1">
        <f t="array" ref="Y408">IFERROR(VLOOKUP($X408,$AN:AO,COLUMN(AO:AO)-COLUMN($AN:$AN)+1,FALSE),"")</f>
        <v>RESUFLOR 3746 HIGH PERFORMANCE EPOXYCUSTOM3 GAL</v>
      </c>
      <c r="Z408" s="63" cm="1">
        <f t="array" ref="Z408">IFERROR(VLOOKUP($X408,$AN:AP,COLUMN(AP:AP)-COLUMN($AN:$AN)+1,FALSE),"")</f>
        <v>205.98</v>
      </c>
      <c r="AA408" s="1" t="str" cm="1">
        <f t="array" ref="AA408">IFERROR(VLOOKUP($X408,$AN:AQ,COLUMN(AQ:AQ)-COLUMN($AN:$AN)+1,FALSE),"")</f>
        <v>3 GAL</v>
      </c>
      <c r="AC408" s="1" t="str" cm="1">
        <f t="array" ref="AC408">IFERROR(VLOOKUP($X408,$AN:AS,COLUMN(AS:AS)-COLUMN($AN:$AN)+1,FALSE),"")</f>
        <v>CUSTOM</v>
      </c>
      <c r="AD408" s="1" t="s">
        <v>19</v>
      </c>
      <c r="AF408" s="1">
        <f>Table1[[#This Row],[C:C]]*1.1</f>
        <v>0</v>
      </c>
      <c r="AI408" s="1">
        <f>IFERROR(VLOOKUP(X408,#REF!,8,FALSE),0)</f>
        <v>0</v>
      </c>
      <c r="AN408" s="1" t="str">
        <f>PROD_ID_TABLE[[#This Row],[PROD ID]]</f>
        <v>O FLAKE - MOSE40</v>
      </c>
      <c r="AO408" s="1" t="str">
        <f t="shared" si="81"/>
        <v>1-4IN DECO FLAKE - 40LB BAGMOOSE40LB BAG</v>
      </c>
      <c r="AP408" s="3">
        <f t="shared" si="75"/>
        <v>110</v>
      </c>
      <c r="AQ408" s="1" t="str">
        <f t="shared" si="82"/>
        <v>40LB BAG</v>
      </c>
      <c r="AR408" s="1" t="str">
        <f t="shared" si="89"/>
        <v>1-4IN DECO FLAKE - 40LB BAGMOOSE40LB BAG</v>
      </c>
      <c r="AS408" s="1" t="str">
        <f t="shared" si="83"/>
        <v>MOOSE</v>
      </c>
      <c r="AT408"/>
      <c r="AU408"/>
      <c r="AV408"/>
      <c r="AY408" t="str">
        <f t="shared" si="84"/>
        <v>O FLAKE - MOSE40</v>
      </c>
      <c r="AZ408" s="1" t="str">
        <f t="shared" si="85"/>
        <v xml:space="preserve">O FLAKE - </v>
      </c>
      <c r="BA408" t="str">
        <f t="shared" si="86"/>
        <v>MOSE</v>
      </c>
      <c r="BB408" s="1" t="str">
        <f t="shared" si="87"/>
        <v>40</v>
      </c>
      <c r="BC408" s="1">
        <f t="shared" si="88"/>
        <v>110</v>
      </c>
      <c r="BD408" s="1" t="s">
        <v>795</v>
      </c>
      <c r="BE408" s="1" t="s">
        <v>804</v>
      </c>
      <c r="BF408" s="1" t="s">
        <v>414</v>
      </c>
      <c r="BG408" s="1" t="s">
        <v>390</v>
      </c>
      <c r="BH408" s="1" t="str">
        <f t="shared" si="76"/>
        <v>MOOSE</v>
      </c>
      <c r="BJ408"/>
      <c r="BK408"/>
      <c r="BM408"/>
    </row>
    <row r="409" spans="22:66" x14ac:dyDescent="0.35">
      <c r="V409" s="1" t="str">
        <v>3746 HIGH ROUE3 G</v>
      </c>
      <c r="X409" s="1" t="str">
        <f t="shared" si="80"/>
        <v>3746 HIGH WHTE3 G</v>
      </c>
      <c r="Y409" s="1" t="str" cm="1">
        <f t="array" ref="Y409">IFERROR(VLOOKUP($X409,$AN:AO,COLUMN(AO:AO)-COLUMN($AN:$AN)+1,FALSE),"")</f>
        <v>RESUFLOR 3746 HIGH PERFORMANCE EPOXYWHITE3 GAL</v>
      </c>
      <c r="Z409" s="63" cm="1">
        <f t="array" ref="Z409">IFERROR(VLOOKUP($X409,$AN:AP,COLUMN(AP:AP)-COLUMN($AN:$AN)+1,FALSE),"")</f>
        <v>205.98</v>
      </c>
      <c r="AA409" s="1" t="str" cm="1">
        <f t="array" ref="AA409">IFERROR(VLOOKUP($X409,$AN:AQ,COLUMN(AQ:AQ)-COLUMN($AN:$AN)+1,FALSE),"")</f>
        <v>3 GAL</v>
      </c>
      <c r="AC409" s="1" t="str" cm="1">
        <f t="array" ref="AC409">IFERROR(VLOOKUP($X409,$AN:AS,COLUMN(AS:AS)-COLUMN($AN:$AN)+1,FALSE),"")</f>
        <v>WHITE</v>
      </c>
      <c r="AD409" s="1" t="s">
        <v>19</v>
      </c>
      <c r="AF409" s="1">
        <f>Table1[[#This Row],[C:C]]*1.1</f>
        <v>0</v>
      </c>
      <c r="AI409" s="1">
        <f>IFERROR(VLOOKUP(X409,#REF!,8,FALSE),0)</f>
        <v>0</v>
      </c>
      <c r="AN409" s="1" t="str">
        <f>PROD_ID_TABLE[[#This Row],[PROD ID]]</f>
        <v>O FLAKE - MOOG40</v>
      </c>
      <c r="AO409" s="1" t="str">
        <f t="shared" si="81"/>
        <v>1-4IN DECO FLAKE - 40LB BAGMOUNTAIN FOG40LB BAG</v>
      </c>
      <c r="AP409" s="3">
        <f t="shared" si="75"/>
        <v>110</v>
      </c>
      <c r="AQ409" s="1" t="str">
        <f t="shared" si="82"/>
        <v>40LB BAG</v>
      </c>
      <c r="AR409" s="1" t="str">
        <f t="shared" si="89"/>
        <v>1-4IN DECO FLAKE - 40LB BAGMOUNTAIN FOG40LB BAG</v>
      </c>
      <c r="AS409" s="1" t="str">
        <f t="shared" si="83"/>
        <v>MOUNTAIN FOG</v>
      </c>
      <c r="AT409"/>
      <c r="AU409"/>
      <c r="AV409"/>
      <c r="AY409" t="str">
        <f t="shared" si="84"/>
        <v>O FLAKE - MOOG40</v>
      </c>
      <c r="AZ409" s="1" t="str">
        <f t="shared" si="85"/>
        <v xml:space="preserve">O FLAKE - </v>
      </c>
      <c r="BA409" t="str">
        <f t="shared" si="86"/>
        <v>MOOG</v>
      </c>
      <c r="BB409" s="1" t="str">
        <f t="shared" si="87"/>
        <v>40</v>
      </c>
      <c r="BC409" s="1">
        <f t="shared" si="88"/>
        <v>110</v>
      </c>
      <c r="BD409" s="1" t="s">
        <v>795</v>
      </c>
      <c r="BE409" s="1" t="s">
        <v>810</v>
      </c>
      <c r="BF409" s="1" t="s">
        <v>414</v>
      </c>
      <c r="BG409" s="1" t="s">
        <v>390</v>
      </c>
      <c r="BH409" s="1" t="str">
        <f t="shared" si="76"/>
        <v>MOUNTAIN FOG</v>
      </c>
      <c r="BJ409"/>
      <c r="BK409"/>
      <c r="BM409"/>
    </row>
    <row r="410" spans="22:66" x14ac:dyDescent="0.35">
      <c r="V410" s="1" t="str">
        <v>3746 HIGH PEER3 G</v>
      </c>
      <c r="X410" s="1" t="str">
        <f t="shared" si="80"/>
        <v>3746 HIGH GRAY3 G</v>
      </c>
      <c r="Y410" s="1" t="str" cm="1">
        <f t="array" ref="Y410">IFERROR(VLOOKUP($X410,$AN:AO,COLUMN(AO:AO)-COLUMN($AN:$AN)+1,FALSE),"")</f>
        <v>RESUFLOR 3746 HIGH PERFORMANCE EPOXYGRAY3 GAL</v>
      </c>
      <c r="Z410" s="63" cm="1">
        <f t="array" ref="Z410">IFERROR(VLOOKUP($X410,$AN:AP,COLUMN(AP:AP)-COLUMN($AN:$AN)+1,FALSE),"")</f>
        <v>205.98</v>
      </c>
      <c r="AA410" s="1" t="str" cm="1">
        <f t="array" ref="AA410">IFERROR(VLOOKUP($X410,$AN:AQ,COLUMN(AQ:AQ)-COLUMN($AN:$AN)+1,FALSE),"")</f>
        <v>3 GAL</v>
      </c>
      <c r="AC410" s="1" t="str" cm="1">
        <f t="array" ref="AC410">IFERROR(VLOOKUP($X410,$AN:AS,COLUMN(AS:AS)-COLUMN($AN:$AN)+1,FALSE),"")</f>
        <v>GRAY</v>
      </c>
      <c r="AD410" s="1" t="s">
        <v>19</v>
      </c>
      <c r="AF410" s="1">
        <f>Table1[[#This Row],[C:C]]*1.1</f>
        <v>0</v>
      </c>
      <c r="AI410" s="1">
        <f>IFERROR(VLOOKUP(X410,#REF!,8,FALSE),0)</f>
        <v>0</v>
      </c>
      <c r="AN410" s="1" t="str">
        <f>PROD_ID_TABLE[[#This Row],[PROD ID]]</f>
        <v>N/A</v>
      </c>
      <c r="AO410" s="1" t="str">
        <f t="shared" si="81"/>
        <v>1-4IN DECO FLAKE - 40LB BAGOCELOT40LB BAG</v>
      </c>
      <c r="AP410" s="3">
        <f t="shared" si="75"/>
        <v>110</v>
      </c>
      <c r="AQ410" s="1" t="str">
        <f t="shared" si="82"/>
        <v>40LB BAG</v>
      </c>
      <c r="AR410" s="1" t="str">
        <f t="shared" si="89"/>
        <v>1-4IN DECO FLAKE - 40LB BAGOCELOT40LB BAG</v>
      </c>
      <c r="AS410" s="1" t="str">
        <f t="shared" si="83"/>
        <v>OCELOT</v>
      </c>
      <c r="AT410"/>
      <c r="AU410"/>
      <c r="AV410"/>
      <c r="AY410" t="str" cm="1">
        <f t="array" ref="AY410">_xlfn.SWITCH(M52,P!$BL$43,P!$BH$197,P!$BL$44,P!$BH$198,P!$BL$45,P!$BH$199,P!$BL$39,P!$BH$200:$BH$203,P!$BL$40,P!$BH$200:$BH$203,P!$BH$196)</f>
        <v>N/A</v>
      </c>
      <c r="AZ410" s="1" t="str">
        <f t="shared" si="85"/>
        <v xml:space="preserve">O FLAKE - </v>
      </c>
      <c r="BA410" t="str">
        <f t="shared" si="86"/>
        <v>OCOT</v>
      </c>
      <c r="BB410" s="1" t="str">
        <f t="shared" si="87"/>
        <v>40</v>
      </c>
      <c r="BC410" s="1">
        <f t="shared" si="88"/>
        <v>110</v>
      </c>
      <c r="BD410" s="1" t="s">
        <v>795</v>
      </c>
      <c r="BE410" s="1" t="s">
        <v>801</v>
      </c>
      <c r="BF410" s="1" t="s">
        <v>414</v>
      </c>
      <c r="BG410" s="1" t="s">
        <v>390</v>
      </c>
      <c r="BH410" s="1" t="str">
        <f t="shared" si="76"/>
        <v>OCELOT</v>
      </c>
      <c r="BJ410"/>
      <c r="BK410"/>
      <c r="BM410"/>
    </row>
    <row r="411" spans="22:66" x14ac:dyDescent="0.35">
      <c r="V411" s="1" t="str">
        <v>3746 HIGH CLLE3 G</v>
      </c>
      <c r="X411" s="1" t="str">
        <f t="shared" si="80"/>
        <v>3746 HIGH MEAY3 G</v>
      </c>
      <c r="Y411" s="1" t="str" cm="1">
        <f t="array" ref="Y411">IFERROR(VLOOKUP($X411,$AN:AO,COLUMN(AO:AO)-COLUMN($AN:$AN)+1,FALSE),"")</f>
        <v>RESUFLOR 3746 HIGH PERFORMANCE EPOXYMEDIUM GRAY3 GAL</v>
      </c>
      <c r="Z411" s="63" cm="1">
        <f t="array" ref="Z411">IFERROR(VLOOKUP($X411,$AN:AP,COLUMN(AP:AP)-COLUMN($AN:$AN)+1,FALSE),"")</f>
        <v>205.98</v>
      </c>
      <c r="AA411" s="1" t="str" cm="1">
        <f t="array" ref="AA411">IFERROR(VLOOKUP($X411,$AN:AQ,COLUMN(AQ:AQ)-COLUMN($AN:$AN)+1,FALSE),"")</f>
        <v>3 GAL</v>
      </c>
      <c r="AC411" s="1" t="str" cm="1">
        <f t="array" ref="AC411">IFERROR(VLOOKUP($X411,$AN:AS,COLUMN(AS:AS)-COLUMN($AN:$AN)+1,FALSE),"")</f>
        <v>MEDIUM GRAY</v>
      </c>
      <c r="AD411" s="1" t="s">
        <v>19</v>
      </c>
      <c r="AF411" s="1">
        <f>Table1[[#This Row],[C:C]]*1.1</f>
        <v>0</v>
      </c>
      <c r="AI411" s="1">
        <f>IFERROR(VLOOKUP(X411,#REF!,8,FALSE),0)</f>
        <v>0</v>
      </c>
      <c r="AN411" s="1" t="str">
        <f>PROD_ID_TABLE[[#This Row],[PROD ID]]</f>
        <v>O FLAKE - PLER40</v>
      </c>
      <c r="AO411" s="1" t="str">
        <f t="shared" si="81"/>
        <v>1-4IN DECO FLAKE - 40LB BAGPLOVER40LB BAG</v>
      </c>
      <c r="AP411" s="3">
        <f t="shared" si="75"/>
        <v>110</v>
      </c>
      <c r="AQ411" s="1" t="str">
        <f t="shared" si="82"/>
        <v>40LB BAG</v>
      </c>
      <c r="AR411" s="1" t="str">
        <f t="shared" si="89"/>
        <v>1-4IN DECO FLAKE - 40LB BAGPLOVER40LB BAG</v>
      </c>
      <c r="AS411" s="1" t="str">
        <f t="shared" si="83"/>
        <v>PLOVER</v>
      </c>
      <c r="AT411"/>
      <c r="AU411"/>
      <c r="AV411"/>
      <c r="AY411" t="str">
        <f t="shared" ref="AY411:AY442" si="90">_xlfn.CONCAT(AZ411:BB411)</f>
        <v>O FLAKE - PLER40</v>
      </c>
      <c r="AZ411" s="1" t="str">
        <f t="shared" si="85"/>
        <v xml:space="preserve">O FLAKE - </v>
      </c>
      <c r="BA411" t="str">
        <f t="shared" si="86"/>
        <v>PLER</v>
      </c>
      <c r="BB411" s="1" t="str">
        <f t="shared" si="87"/>
        <v>40</v>
      </c>
      <c r="BC411" s="1">
        <f t="shared" si="88"/>
        <v>110</v>
      </c>
      <c r="BD411" s="1" t="s">
        <v>795</v>
      </c>
      <c r="BE411" s="1" t="s">
        <v>800</v>
      </c>
      <c r="BF411" s="1" t="s">
        <v>414</v>
      </c>
      <c r="BG411" s="1" t="s">
        <v>390</v>
      </c>
      <c r="BH411" s="1" t="str">
        <f t="shared" si="76"/>
        <v>PLOVER</v>
      </c>
      <c r="BJ411"/>
      <c r="BK411" t="str">
        <f t="shared" ref="BK411:BK418" si="91">_xlfn.CONCAT(BL411:BN411)</f>
        <v>1-AGMO</v>
      </c>
      <c r="BL411" s="1" t="str">
        <f t="shared" ref="BL411:BL418" si="92">MID(AQ407,10,10)</f>
        <v/>
      </c>
      <c r="BM411" t="str">
        <f t="shared" ref="BM411:BM418" si="93">LEFT(AR407,2)&amp;RIGHT(AR407,2)</f>
        <v>1-AG</v>
      </c>
      <c r="BN411" s="1" t="str">
        <f t="shared" ref="BN411:BN418" si="94">LEFT(AS407,2)</f>
        <v>MO</v>
      </c>
    </row>
    <row r="412" spans="22:66" x14ac:dyDescent="0.35">
      <c r="V412" s="1" t="str">
        <v>3746 HIGH CAEL3 G</v>
      </c>
      <c r="X412" s="1" t="str">
        <f t="shared" si="80"/>
        <v>3746 HIGH CAAY3 G</v>
      </c>
      <c r="Y412" s="1" t="str" cm="1">
        <f t="array" ref="Y412">IFERROR(VLOOKUP($X412,$AN:AO,COLUMN(AO:AO)-COLUMN($AN:$AN)+1,FALSE),"")</f>
        <v>RESUFLOR 3746 HIGH PERFORMANCE EPOXYCANADA GRAY3 GAL</v>
      </c>
      <c r="Z412" s="63" cm="1">
        <f t="array" ref="Z412">IFERROR(VLOOKUP($X412,$AN:AP,COLUMN(AP:AP)-COLUMN($AN:$AN)+1,FALSE),"")</f>
        <v>205.98</v>
      </c>
      <c r="AA412" s="1" t="str" cm="1">
        <f t="array" ref="AA412">IFERROR(VLOOKUP($X412,$AN:AQ,COLUMN(AQ:AQ)-COLUMN($AN:$AN)+1,FALSE),"")</f>
        <v>3 GAL</v>
      </c>
      <c r="AC412" s="1" t="str" cm="1">
        <f t="array" ref="AC412">IFERROR(VLOOKUP($X412,$AN:AS,COLUMN(AS:AS)-COLUMN($AN:$AN)+1,FALSE),"")</f>
        <v>CANADA GRAY</v>
      </c>
      <c r="AD412" s="1" t="s">
        <v>19</v>
      </c>
      <c r="AF412" s="1">
        <f>Table1[[#This Row],[C:C]]*1.1</f>
        <v>0</v>
      </c>
      <c r="AI412" s="1">
        <f>IFERROR(VLOOKUP(X412,#REF!,8,FALSE),0)</f>
        <v>0</v>
      </c>
      <c r="AN412" s="1" t="str">
        <f>PROD_ID_TABLE[[#This Row],[PROD ID]]</f>
        <v>O FLAKE - PREL40</v>
      </c>
      <c r="AO412" s="1" t="str">
        <f t="shared" si="81"/>
        <v>1-4IN DECO FLAKE - 40LB BAGPRETZEL40LB BAG</v>
      </c>
      <c r="AP412" s="3">
        <f t="shared" si="75"/>
        <v>110</v>
      </c>
      <c r="AQ412" s="1" t="str">
        <f t="shared" si="82"/>
        <v>40LB BAG</v>
      </c>
      <c r="AR412" s="1" t="str">
        <f t="shared" si="89"/>
        <v>1-4IN DECO FLAKE - 40LB BAGPRETZEL40LB BAG</v>
      </c>
      <c r="AS412" s="1" t="str">
        <f t="shared" si="83"/>
        <v>PRETZEL</v>
      </c>
      <c r="AT412"/>
      <c r="AU412"/>
      <c r="AV412"/>
      <c r="AY412" t="str">
        <f t="shared" si="90"/>
        <v>O FLAKE - PREL40</v>
      </c>
      <c r="AZ412" s="1" t="str">
        <f t="shared" si="85"/>
        <v xml:space="preserve">O FLAKE - </v>
      </c>
      <c r="BA412" t="str">
        <f t="shared" si="86"/>
        <v>PREL</v>
      </c>
      <c r="BB412" s="1" t="str">
        <f t="shared" si="87"/>
        <v>40</v>
      </c>
      <c r="BC412" s="1">
        <f t="shared" si="88"/>
        <v>110</v>
      </c>
      <c r="BD412" s="1" t="s">
        <v>795</v>
      </c>
      <c r="BE412" s="1" t="s">
        <v>805</v>
      </c>
      <c r="BF412" s="1" t="s">
        <v>414</v>
      </c>
      <c r="BG412" s="1" t="s">
        <v>390</v>
      </c>
      <c r="BH412" s="1" t="str">
        <f t="shared" si="76"/>
        <v>PRETZEL</v>
      </c>
      <c r="BJ412"/>
      <c r="BK412" t="str">
        <f t="shared" si="91"/>
        <v>1-AGMO</v>
      </c>
      <c r="BL412" s="1" t="str">
        <f t="shared" si="92"/>
        <v/>
      </c>
      <c r="BM412" t="str">
        <f t="shared" si="93"/>
        <v>1-AG</v>
      </c>
      <c r="BN412" s="1" t="str">
        <f t="shared" si="94"/>
        <v>MO</v>
      </c>
    </row>
    <row r="413" spans="22:66" x14ac:dyDescent="0.35">
      <c r="V413" s="1" t="str">
        <v>3746 HIGH ULSE3 G</v>
      </c>
      <c r="X413" s="1" t="str">
        <f t="shared" si="80"/>
        <v>3746 HIGH CHAL3 G</v>
      </c>
      <c r="Y413" s="1" t="str" cm="1">
        <f t="array" ref="Y413">IFERROR(VLOOKUP($X413,$AN:AO,COLUMN(AO:AO)-COLUMN($AN:$AN)+1,FALSE),"")</f>
        <v>RESUFLOR 3746 HIGH PERFORMANCE EPOXYCHARCOAL3 GAL</v>
      </c>
      <c r="Z413" s="63" cm="1">
        <f t="array" ref="Z413">IFERROR(VLOOKUP($X413,$AN:AP,COLUMN(AP:AP)-COLUMN($AN:$AN)+1,FALSE),"")</f>
        <v>205.98</v>
      </c>
      <c r="AA413" s="1" t="str" cm="1">
        <f t="array" ref="AA413">IFERROR(VLOOKUP($X413,$AN:AQ,COLUMN(AQ:AQ)-COLUMN($AN:$AN)+1,FALSE),"")</f>
        <v>3 GAL</v>
      </c>
      <c r="AC413" s="1" t="str" cm="1">
        <f t="array" ref="AC413">IFERROR(VLOOKUP($X413,$AN:AS,COLUMN(AS:AS)-COLUMN($AN:$AN)+1,FALSE),"")</f>
        <v>CHARCOAL</v>
      </c>
      <c r="AD413" s="1" t="s">
        <v>19</v>
      </c>
      <c r="AF413" s="1">
        <f>Table1[[#This Row],[C:C]]*1.1</f>
        <v>0</v>
      </c>
      <c r="AI413" s="1">
        <f>IFERROR(VLOOKUP(X413,#REF!,8,FALSE),0)</f>
        <v>0</v>
      </c>
      <c r="AN413" s="1" t="str">
        <f>PROD_ID_TABLE[[#This Row],[PROD ID]]</f>
        <v>O FLAKE - RHNO40</v>
      </c>
      <c r="AO413" s="1" t="str">
        <f t="shared" si="81"/>
        <v>1-4IN DECO FLAKE - 40LB BAGRHINO40LB BAG</v>
      </c>
      <c r="AP413" s="3">
        <f t="shared" si="75"/>
        <v>110</v>
      </c>
      <c r="AQ413" s="1" t="str">
        <f t="shared" si="82"/>
        <v>40LB BAG</v>
      </c>
      <c r="AR413" s="1" t="str">
        <f t="shared" si="89"/>
        <v>1-4IN DECO FLAKE - 40LB BAGRHINO40LB BAG</v>
      </c>
      <c r="AS413" s="1" t="str">
        <f t="shared" si="83"/>
        <v>RHINO</v>
      </c>
      <c r="AT413"/>
      <c r="AU413"/>
      <c r="AV413"/>
      <c r="AY413" t="str">
        <f t="shared" si="90"/>
        <v>O FLAKE - RHNO40</v>
      </c>
      <c r="AZ413" s="1" t="str">
        <f t="shared" si="85"/>
        <v xml:space="preserve">O FLAKE - </v>
      </c>
      <c r="BA413" t="str">
        <f t="shared" si="86"/>
        <v>RHNO</v>
      </c>
      <c r="BB413" s="1" t="str">
        <f t="shared" si="87"/>
        <v>40</v>
      </c>
      <c r="BC413" s="1">
        <f t="shared" si="88"/>
        <v>110</v>
      </c>
      <c r="BD413" s="1" t="s">
        <v>795</v>
      </c>
      <c r="BE413" s="1" t="s">
        <v>830</v>
      </c>
      <c r="BF413" s="1" t="s">
        <v>414</v>
      </c>
      <c r="BG413" s="1" t="s">
        <v>390</v>
      </c>
      <c r="BH413" s="1" t="str">
        <f t="shared" si="76"/>
        <v>RHINO</v>
      </c>
      <c r="BJ413"/>
      <c r="BK413" t="str">
        <f t="shared" si="91"/>
        <v>1-AGMO</v>
      </c>
      <c r="BL413" s="1" t="str">
        <f t="shared" si="92"/>
        <v/>
      </c>
      <c r="BM413" t="str">
        <f t="shared" si="93"/>
        <v>1-AG</v>
      </c>
      <c r="BN413" s="1" t="str">
        <f t="shared" si="94"/>
        <v>MO</v>
      </c>
    </row>
    <row r="414" spans="22:66" x14ac:dyDescent="0.35">
      <c r="V414" s="1" t="str">
        <v>3746 HIGH WHSE3 G</v>
      </c>
      <c r="X414" s="1" t="str">
        <f t="shared" si="80"/>
        <v>3746 HIGH STAY3 G</v>
      </c>
      <c r="Y414" s="1" t="str" cm="1">
        <f t="array" ref="Y414">IFERROR(VLOOKUP($X414,$AN:AO,COLUMN(AO:AO)-COLUMN($AN:$AN)+1,FALSE),"")</f>
        <v>RESUFLOR 3746 HIGH PERFORMANCE EPOXYSTEEL GRAY3 GAL</v>
      </c>
      <c r="Z414" s="63" cm="1">
        <f t="array" ref="Z414">IFERROR(VLOOKUP($X414,$AN:AP,COLUMN(AP:AP)-COLUMN($AN:$AN)+1,FALSE),"")</f>
        <v>205.98</v>
      </c>
      <c r="AA414" s="1" t="str" cm="1">
        <f t="array" ref="AA414">IFERROR(VLOOKUP($X414,$AN:AQ,COLUMN(AQ:AQ)-COLUMN($AN:$AN)+1,FALSE),"")</f>
        <v>3 GAL</v>
      </c>
      <c r="AC414" s="1" t="str" cm="1">
        <f t="array" ref="AC414">IFERROR(VLOOKUP($X414,$AN:AS,COLUMN(AS:AS)-COLUMN($AN:$AN)+1,FALSE),"")</f>
        <v>STEEL GRAY</v>
      </c>
      <c r="AD414" s="1" t="s">
        <v>19</v>
      </c>
      <c r="AF414" s="1">
        <f>Table1[[#This Row],[C:C]]*1.1</f>
        <v>0</v>
      </c>
      <c r="AI414" s="1">
        <f>IFERROR(VLOOKUP(X414,#REF!,8,FALSE),0)</f>
        <v>0</v>
      </c>
      <c r="AN414" s="1" t="str">
        <f>PROD_ID_TABLE[[#This Row],[PROD ID]]</f>
        <v>O FLAKE - SINE40</v>
      </c>
      <c r="AO414" s="1" t="str">
        <f t="shared" si="81"/>
        <v>1-4IN DECO FLAKE - 40LB BAGSILTSTONE40LB BAG</v>
      </c>
      <c r="AP414" s="3">
        <f t="shared" si="75"/>
        <v>110</v>
      </c>
      <c r="AQ414" s="1" t="str">
        <f t="shared" si="82"/>
        <v>40LB BAG</v>
      </c>
      <c r="AR414" s="1" t="str">
        <f t="shared" si="89"/>
        <v>1-4IN DECO FLAKE - 40LB BAGSILTSTONE40LB BAG</v>
      </c>
      <c r="AS414" s="1" t="str">
        <f t="shared" si="83"/>
        <v>SILTSTONE</v>
      </c>
      <c r="AT414"/>
      <c r="AU414"/>
      <c r="AV414"/>
      <c r="AY414" t="str">
        <f t="shared" si="90"/>
        <v>O FLAKE - SINE40</v>
      </c>
      <c r="AZ414" s="1" t="str">
        <f t="shared" si="85"/>
        <v xml:space="preserve">O FLAKE - </v>
      </c>
      <c r="BA414" t="str">
        <f t="shared" si="86"/>
        <v>SINE</v>
      </c>
      <c r="BB414" s="1" t="str">
        <f t="shared" si="87"/>
        <v>40</v>
      </c>
      <c r="BC414" s="1">
        <f t="shared" si="88"/>
        <v>110</v>
      </c>
      <c r="BD414" s="1" t="s">
        <v>795</v>
      </c>
      <c r="BE414" s="1" t="s">
        <v>828</v>
      </c>
      <c r="BF414" s="1" t="s">
        <v>414</v>
      </c>
      <c r="BG414" s="1" t="s">
        <v>390</v>
      </c>
      <c r="BH414" s="1" t="str">
        <f t="shared" si="76"/>
        <v>SILTSTONE</v>
      </c>
      <c r="BJ414"/>
      <c r="BK414" t="str">
        <f t="shared" si="91"/>
        <v>1-AGOC</v>
      </c>
      <c r="BL414" s="1" t="str">
        <f t="shared" si="92"/>
        <v/>
      </c>
      <c r="BM414" t="str">
        <f t="shared" si="93"/>
        <v>1-AG</v>
      </c>
      <c r="BN414" s="1" t="str">
        <f t="shared" si="94"/>
        <v>OC</v>
      </c>
    </row>
    <row r="415" spans="22:66" x14ac:dyDescent="0.35">
      <c r="V415" s="1" t="str">
        <v xml:space="preserve">3746 HIGH CLAR15 </v>
      </c>
      <c r="X415" s="1" t="str">
        <f t="shared" si="80"/>
        <v>3746 HIGH BOTE3 G</v>
      </c>
      <c r="Y415" s="1" t="str" cm="1">
        <f t="array" ref="Y415">IFERROR(VLOOKUP($X415,$AN:AO,COLUMN(AO:AO)-COLUMN($AN:$AN)+1,FALSE),"")</f>
        <v>RESUFLOR 3746 HIGH PERFORMANCE EPOXYBONE WHITE3 GAL</v>
      </c>
      <c r="Z415" s="63" cm="1">
        <f t="array" ref="Z415">IFERROR(VLOOKUP($X415,$AN:AP,COLUMN(AP:AP)-COLUMN($AN:$AN)+1,FALSE),"")</f>
        <v>205.98</v>
      </c>
      <c r="AA415" s="1" t="str" cm="1">
        <f t="array" ref="AA415">IFERROR(VLOOKUP($X415,$AN:AQ,COLUMN(AQ:AQ)-COLUMN($AN:$AN)+1,FALSE),"")</f>
        <v>3 GAL</v>
      </c>
      <c r="AC415" s="1" t="str" cm="1">
        <f t="array" ref="AC415">IFERROR(VLOOKUP($X415,$AN:AS,COLUMN(AS:AS)-COLUMN($AN:$AN)+1,FALSE),"")</f>
        <v>BONE WHITE</v>
      </c>
      <c r="AD415" s="1" t="s">
        <v>19</v>
      </c>
      <c r="AF415" s="1">
        <f>Table1[[#This Row],[C:C]]*1.1</f>
        <v>0</v>
      </c>
      <c r="AI415" s="1">
        <f>IFERROR(VLOOKUP(X415,#REF!,8,FALSE),0)</f>
        <v>0</v>
      </c>
      <c r="AN415" s="1" t="str">
        <f>PROD_ID_TABLE[[#This Row],[PROD ID]]</f>
        <v>O FLAKE - SPSH40</v>
      </c>
      <c r="AO415" s="1" t="str">
        <f t="shared" si="81"/>
        <v>1-4IN DECO FLAKE - 40LB BAGSPECKLED ASH40LB BAG</v>
      </c>
      <c r="AP415" s="3">
        <f t="shared" si="75"/>
        <v>110</v>
      </c>
      <c r="AQ415" s="1" t="str">
        <f t="shared" si="82"/>
        <v>40LB BAG</v>
      </c>
      <c r="AR415" s="1" t="str">
        <f t="shared" si="89"/>
        <v>1-4IN DECO FLAKE - 40LB BAGSPECKLED ASH40LB BAG</v>
      </c>
      <c r="AS415" s="1" t="str">
        <f t="shared" si="83"/>
        <v>SPECKLED ASH</v>
      </c>
      <c r="AT415"/>
      <c r="AU415"/>
      <c r="AV415"/>
      <c r="AY415" t="str">
        <f t="shared" si="90"/>
        <v>O FLAKE - SPSH40</v>
      </c>
      <c r="AZ415" s="1" t="str">
        <f t="shared" si="85"/>
        <v xml:space="preserve">O FLAKE - </v>
      </c>
      <c r="BA415" t="str">
        <f t="shared" si="86"/>
        <v>SPSH</v>
      </c>
      <c r="BB415" s="1" t="str">
        <f t="shared" si="87"/>
        <v>40</v>
      </c>
      <c r="BC415" s="1">
        <f t="shared" si="88"/>
        <v>110</v>
      </c>
      <c r="BD415" s="1" t="s">
        <v>795</v>
      </c>
      <c r="BE415" s="1" t="s">
        <v>821</v>
      </c>
      <c r="BF415" s="1" t="s">
        <v>414</v>
      </c>
      <c r="BG415" s="1" t="s">
        <v>390</v>
      </c>
      <c r="BH415" s="1" t="str">
        <f t="shared" si="76"/>
        <v>SPECKLED ASH</v>
      </c>
      <c r="BJ415"/>
      <c r="BK415" t="str">
        <f t="shared" si="91"/>
        <v>1-AGPL</v>
      </c>
      <c r="BL415" s="1" t="str">
        <f t="shared" si="92"/>
        <v/>
      </c>
      <c r="BM415" t="str">
        <f t="shared" si="93"/>
        <v>1-AG</v>
      </c>
      <c r="BN415" s="1" t="str">
        <f t="shared" si="94"/>
        <v>PL</v>
      </c>
    </row>
    <row r="416" spans="22:66" x14ac:dyDescent="0.35">
      <c r="V416" s="1" t="str">
        <v xml:space="preserve">3746 HIGH CUOM15 </v>
      </c>
      <c r="X416" s="1" t="str">
        <f t="shared" si="80"/>
        <v>3746 HIGH SIAY3 G</v>
      </c>
      <c r="Y416" s="1" t="str" cm="1">
        <f t="array" ref="Y416">IFERROR(VLOOKUP($X416,$AN:AO,COLUMN(AO:AO)-COLUMN($AN:$AN)+1,FALSE),"")</f>
        <v>RESUFLOR 3746 HIGH PERFORMANCE EPOXYSILVER GRAY3 GAL</v>
      </c>
      <c r="Z416" s="63" cm="1">
        <f t="array" ref="Z416">IFERROR(VLOOKUP($X416,$AN:AP,COLUMN(AP:AP)-COLUMN($AN:$AN)+1,FALSE),"")</f>
        <v>205.98</v>
      </c>
      <c r="AA416" s="1" t="str" cm="1">
        <f t="array" ref="AA416">IFERROR(VLOOKUP($X416,$AN:AQ,COLUMN(AQ:AQ)-COLUMN($AN:$AN)+1,FALSE),"")</f>
        <v>3 GAL</v>
      </c>
      <c r="AC416" s="1" t="str" cm="1">
        <f t="array" ref="AC416">IFERROR(VLOOKUP($X416,$AN:AS,COLUMN(AS:AS)-COLUMN($AN:$AN)+1,FALSE),"")</f>
        <v>SILVER GRAY</v>
      </c>
      <c r="AD416" s="1" t="s">
        <v>19</v>
      </c>
      <c r="AF416" s="1">
        <f>Table1[[#This Row],[C:C]]*1.1</f>
        <v>0</v>
      </c>
      <c r="AI416" s="1">
        <f>IFERROR(VLOOKUP(X416,#REF!,8,FALSE),0)</f>
        <v>0</v>
      </c>
      <c r="AN416" s="1" t="str">
        <f>PROD_ID_TABLE[[#This Row],[PROD ID]]</f>
        <v>O FLAKE - TUEN40</v>
      </c>
      <c r="AO416" s="1" t="str">
        <f t="shared" si="81"/>
        <v>1-4IN DECO FLAKE - 40LB BAGTUNGSTEN40LB BAG</v>
      </c>
      <c r="AP416" s="3">
        <f t="shared" si="75"/>
        <v>110</v>
      </c>
      <c r="AQ416" s="1" t="str">
        <f t="shared" si="82"/>
        <v>40LB BAG</v>
      </c>
      <c r="AR416" s="1" t="str">
        <f t="shared" si="89"/>
        <v>1-4IN DECO FLAKE - 40LB BAGTUNGSTEN40LB BAG</v>
      </c>
      <c r="AS416" s="1" t="str">
        <f t="shared" si="83"/>
        <v>TUNGSTEN</v>
      </c>
      <c r="AT416"/>
      <c r="AU416"/>
      <c r="AV416"/>
      <c r="AY416" t="str">
        <f t="shared" si="90"/>
        <v>O FLAKE - TUEN40</v>
      </c>
      <c r="AZ416" s="1" t="str">
        <f t="shared" si="85"/>
        <v xml:space="preserve">O FLAKE - </v>
      </c>
      <c r="BA416" t="str">
        <f t="shared" si="86"/>
        <v>TUEN</v>
      </c>
      <c r="BB416" s="1" t="str">
        <f t="shared" si="87"/>
        <v>40</v>
      </c>
      <c r="BC416" s="1">
        <f t="shared" si="88"/>
        <v>110</v>
      </c>
      <c r="BD416" s="1" t="s">
        <v>795</v>
      </c>
      <c r="BE416" s="1" t="s">
        <v>826</v>
      </c>
      <c r="BF416" s="1" t="s">
        <v>414</v>
      </c>
      <c r="BG416" s="1" t="s">
        <v>390</v>
      </c>
      <c r="BH416" s="1" t="str">
        <f t="shared" si="76"/>
        <v>TUNGSTEN</v>
      </c>
      <c r="BJ416"/>
      <c r="BK416" t="str">
        <f t="shared" si="91"/>
        <v>1-AGPR</v>
      </c>
      <c r="BL416" s="1" t="str">
        <f t="shared" si="92"/>
        <v/>
      </c>
      <c r="BM416" t="str">
        <f t="shared" si="93"/>
        <v>1-AG</v>
      </c>
      <c r="BN416" s="1" t="str">
        <f t="shared" si="94"/>
        <v>PR</v>
      </c>
    </row>
    <row r="417" spans="22:66" x14ac:dyDescent="0.35">
      <c r="V417" s="1" t="str">
        <v xml:space="preserve">3746 HIGH WHTE15 </v>
      </c>
      <c r="X417" s="1" t="str">
        <f t="shared" si="80"/>
        <v>3746 HIGH BLCK3 G</v>
      </c>
      <c r="Y417" s="1" t="str" cm="1">
        <f t="array" ref="Y417">IFERROR(VLOOKUP($X417,$AN:AO,COLUMN(AO:AO)-COLUMN($AN:$AN)+1,FALSE),"")</f>
        <v>RESUFLOR 3746 HIGH PERFORMANCE EPOXYBLACK3 GAL</v>
      </c>
      <c r="Z417" s="63" cm="1">
        <f t="array" ref="Z417">IFERROR(VLOOKUP($X417,$AN:AP,COLUMN(AP:AP)-COLUMN($AN:$AN)+1,FALSE),"")</f>
        <v>205.98</v>
      </c>
      <c r="AA417" s="1" t="str" cm="1">
        <f t="array" ref="AA417">IFERROR(VLOOKUP($X417,$AN:AQ,COLUMN(AQ:AQ)-COLUMN($AN:$AN)+1,FALSE),"")</f>
        <v>3 GAL</v>
      </c>
      <c r="AC417" s="1" t="str" cm="1">
        <f t="array" ref="AC417">IFERROR(VLOOKUP($X417,$AN:AS,COLUMN(AS:AS)-COLUMN($AN:$AN)+1,FALSE),"")</f>
        <v>BLACK</v>
      </c>
      <c r="AD417" s="1" t="s">
        <v>19</v>
      </c>
      <c r="AF417" s="1">
        <f>Table1[[#This Row],[C:C]]*1.1</f>
        <v>0</v>
      </c>
      <c r="AI417" s="1">
        <f>IFERROR(VLOOKUP(X417,#REF!,8,FALSE),0)</f>
        <v>0</v>
      </c>
      <c r="AN417" s="1" t="str">
        <f>PROD_ID_TABLE[[#This Row],[PROD ID]]</f>
        <v>O FLAKE  -AGVE40</v>
      </c>
      <c r="AO417" s="1" t="str">
        <f t="shared" si="81"/>
        <v>1-8IN DECO FLAKE  - 40LB BAGAGAVE40LB BAG</v>
      </c>
      <c r="AP417" s="3">
        <f t="shared" si="75"/>
        <v>110</v>
      </c>
      <c r="AQ417" s="1" t="str">
        <f t="shared" si="82"/>
        <v>40LB BAG</v>
      </c>
      <c r="AR417" s="1" t="str">
        <f t="shared" si="89"/>
        <v>1-8IN DECO FLAKE  - 40LB BAGAGAVE40LB BAG</v>
      </c>
      <c r="AS417" s="1" t="str">
        <f t="shared" si="83"/>
        <v>AGAVE</v>
      </c>
      <c r="AT417"/>
      <c r="AU417"/>
      <c r="AV417"/>
      <c r="AY417" t="str">
        <f t="shared" si="90"/>
        <v>O FLAKE  -AGVE40</v>
      </c>
      <c r="AZ417" s="1" t="str">
        <f t="shared" si="85"/>
        <v>O FLAKE  -</v>
      </c>
      <c r="BA417" t="str">
        <f t="shared" si="86"/>
        <v>AGVE</v>
      </c>
      <c r="BB417" s="1" t="str">
        <f t="shared" si="87"/>
        <v>40</v>
      </c>
      <c r="BC417" s="1">
        <f t="shared" si="88"/>
        <v>110</v>
      </c>
      <c r="BD417" s="1" t="s">
        <v>741</v>
      </c>
      <c r="BE417" s="1" t="s">
        <v>827</v>
      </c>
      <c r="BF417" s="1" t="s">
        <v>414</v>
      </c>
      <c r="BG417" s="1" t="s">
        <v>390</v>
      </c>
      <c r="BH417" s="1" t="str">
        <f t="shared" si="76"/>
        <v>AGAVE</v>
      </c>
      <c r="BJ417"/>
      <c r="BK417" t="str">
        <f t="shared" si="91"/>
        <v>1-AGRH</v>
      </c>
      <c r="BL417" s="1" t="str">
        <f t="shared" si="92"/>
        <v/>
      </c>
      <c r="BM417" t="str">
        <f t="shared" si="93"/>
        <v>1-AG</v>
      </c>
      <c r="BN417" s="1" t="str">
        <f t="shared" si="94"/>
        <v>RH</v>
      </c>
    </row>
    <row r="418" spans="22:66" x14ac:dyDescent="0.35">
      <c r="V418" s="1" t="str">
        <v xml:space="preserve">3746 HIGH GRAY15 </v>
      </c>
      <c r="X418" s="1" t="str">
        <f t="shared" si="80"/>
        <v>3746 HIGH PANT3 G</v>
      </c>
      <c r="Y418" s="1" t="str" cm="1">
        <f t="array" ref="Y418">IFERROR(VLOOKUP($X418,$AN:AO,COLUMN(AO:AO)-COLUMN($AN:$AN)+1,FALSE),"")</f>
        <v>RESUFLOR 3746 HIGH PERFORMANCE EPOXYPARCHMENT3 GAL</v>
      </c>
      <c r="Z418" s="63" cm="1">
        <f t="array" ref="Z418">IFERROR(VLOOKUP($X418,$AN:AP,COLUMN(AP:AP)-COLUMN($AN:$AN)+1,FALSE),"")</f>
        <v>205.98</v>
      </c>
      <c r="AA418" s="1" t="str" cm="1">
        <f t="array" ref="AA418">IFERROR(VLOOKUP($X418,$AN:AQ,COLUMN(AQ:AQ)-COLUMN($AN:$AN)+1,FALSE),"")</f>
        <v>3 GAL</v>
      </c>
      <c r="AC418" s="1" t="str" cm="1">
        <f t="array" ref="AC418">IFERROR(VLOOKUP($X418,$AN:AS,COLUMN(AS:AS)-COLUMN($AN:$AN)+1,FALSE),"")</f>
        <v>PARCHMENT</v>
      </c>
      <c r="AD418" s="1" t="s">
        <v>19</v>
      </c>
      <c r="AF418" s="1">
        <f>Table1[[#This Row],[C:C]]*1.1</f>
        <v>0</v>
      </c>
      <c r="AI418" s="1">
        <f>IFERROR(VLOOKUP(X418,#REF!,8,FALSE),0)</f>
        <v>0</v>
      </c>
      <c r="AN418" s="1" t="str">
        <f>PROD_ID_TABLE[[#This Row],[PROD ID]]</f>
        <v>O FLAKE  -ALLK40</v>
      </c>
      <c r="AO418" s="1" t="str">
        <f t="shared" si="81"/>
        <v>1-8IN DECO FLAKE  - 40LB BAGALMOND MILK40LB BAG</v>
      </c>
      <c r="AP418" s="3">
        <f t="shared" si="75"/>
        <v>110</v>
      </c>
      <c r="AQ418" s="1" t="str">
        <f t="shared" si="82"/>
        <v>40LB BAG</v>
      </c>
      <c r="AR418" s="1" t="str">
        <f t="shared" si="89"/>
        <v>1-8IN DECO FLAKE  - 40LB BAGALMOND MILK40LB BAG</v>
      </c>
      <c r="AS418" s="1" t="str">
        <f t="shared" si="83"/>
        <v>ALMOND MILK</v>
      </c>
      <c r="AT418"/>
      <c r="AU418"/>
      <c r="AV418"/>
      <c r="AY418" t="str">
        <f t="shared" si="90"/>
        <v>O FLAKE  -ALLK40</v>
      </c>
      <c r="AZ418" s="1" t="str">
        <f t="shared" si="85"/>
        <v>O FLAKE  -</v>
      </c>
      <c r="BA418" t="str">
        <f t="shared" si="86"/>
        <v>ALLK</v>
      </c>
      <c r="BB418" s="1" t="str">
        <f t="shared" si="87"/>
        <v>40</v>
      </c>
      <c r="BC418" s="1">
        <f t="shared" si="88"/>
        <v>110</v>
      </c>
      <c r="BD418" s="1" t="s">
        <v>741</v>
      </c>
      <c r="BE418" s="1" t="s">
        <v>799</v>
      </c>
      <c r="BF418" s="1" t="s">
        <v>414</v>
      </c>
      <c r="BG418" s="1" t="s">
        <v>390</v>
      </c>
      <c r="BH418" s="1" t="str">
        <f t="shared" si="76"/>
        <v>ALMOND MILK</v>
      </c>
      <c r="BJ418"/>
      <c r="BK418" t="str">
        <f t="shared" si="91"/>
        <v>1-AGSI</v>
      </c>
      <c r="BL418" s="1" t="str">
        <f t="shared" si="92"/>
        <v/>
      </c>
      <c r="BM418" t="str">
        <f t="shared" si="93"/>
        <v>1-AG</v>
      </c>
      <c r="BN418" s="1" t="str">
        <f t="shared" si="94"/>
        <v>SI</v>
      </c>
    </row>
    <row r="419" spans="22:66" x14ac:dyDescent="0.35">
      <c r="V419" s="1" t="str">
        <v xml:space="preserve">3746 HIGH MEAY15 </v>
      </c>
      <c r="X419" s="1" t="str">
        <f t="shared" si="80"/>
        <v>3746 HIGH SAED3 G</v>
      </c>
      <c r="Y419" s="1" t="str" cm="1">
        <f t="array" ref="Y419">IFERROR(VLOOKUP($X419,$AN:AO,COLUMN(AO:AO)-COLUMN($AN:$AN)+1,FALSE),"")</f>
        <v>RESUFLOR 3746 HIGH PERFORMANCE EPOXYSAFETY RED3 GAL</v>
      </c>
      <c r="Z419" s="63" cm="1">
        <f t="array" ref="Z419">IFERROR(VLOOKUP($X419,$AN:AP,COLUMN(AP:AP)-COLUMN($AN:$AN)+1,FALSE),"")</f>
        <v>205.98</v>
      </c>
      <c r="AA419" s="1" t="str" cm="1">
        <f t="array" ref="AA419">IFERROR(VLOOKUP($X419,$AN:AQ,COLUMN(AQ:AQ)-COLUMN($AN:$AN)+1,FALSE),"")</f>
        <v>3 GAL</v>
      </c>
      <c r="AC419" s="1" t="str" cm="1">
        <f t="array" ref="AC419">IFERROR(VLOOKUP($X419,$AN:AS,COLUMN(AS:AS)-COLUMN($AN:$AN)+1,FALSE),"")</f>
        <v>SAFETY RED</v>
      </c>
      <c r="AD419" s="1" t="s">
        <v>19</v>
      </c>
      <c r="AF419" s="1">
        <f>Table1[[#This Row],[C:C]]*1.1</f>
        <v>0</v>
      </c>
      <c r="AI419" s="1">
        <f>IFERROR(VLOOKUP(X419,#REF!,8,FALSE),0)</f>
        <v>0</v>
      </c>
      <c r="AN419" s="1" t="str">
        <f>PROD_ID_TABLE[[#This Row],[PROD ID]]</f>
        <v>O FLAKE  -ASSH40</v>
      </c>
      <c r="AO419" s="1" t="str">
        <f t="shared" si="81"/>
        <v>1-8IN DECO FLAKE  - 40LB BAGASH40LB BAG</v>
      </c>
      <c r="AP419" s="3">
        <f t="shared" si="75"/>
        <v>110</v>
      </c>
      <c r="AQ419" s="1" t="str">
        <f t="shared" si="82"/>
        <v>40LB BAG</v>
      </c>
      <c r="AR419" s="1" t="str">
        <f t="shared" si="89"/>
        <v>1-8IN DECO FLAKE  - 40LB BAGASH40LB BAG</v>
      </c>
      <c r="AS419" s="1" t="str">
        <f t="shared" si="83"/>
        <v>ASH</v>
      </c>
      <c r="AT419"/>
      <c r="AU419"/>
      <c r="AV419"/>
      <c r="AY419" t="str">
        <f t="shared" si="90"/>
        <v>O FLAKE  -ASSH40</v>
      </c>
      <c r="AZ419" s="1" t="str">
        <f t="shared" si="85"/>
        <v>O FLAKE  -</v>
      </c>
      <c r="BA419" t="str">
        <f t="shared" si="86"/>
        <v>ASSH</v>
      </c>
      <c r="BB419" s="1" t="str">
        <f t="shared" si="87"/>
        <v>40</v>
      </c>
      <c r="BC419" s="1">
        <f t="shared" si="88"/>
        <v>110</v>
      </c>
      <c r="BD419" s="1" t="s">
        <v>741</v>
      </c>
      <c r="BE419" s="1" t="s">
        <v>417</v>
      </c>
      <c r="BF419" s="1" t="s">
        <v>414</v>
      </c>
      <c r="BG419" s="1" t="s">
        <v>390</v>
      </c>
      <c r="BH419" s="1" t="str">
        <f t="shared" si="76"/>
        <v>ASH</v>
      </c>
      <c r="BJ419"/>
    </row>
    <row r="420" spans="22:66" x14ac:dyDescent="0.35">
      <c r="V420" s="1" t="str">
        <v xml:space="preserve">3746 HIGH CAAY15 </v>
      </c>
      <c r="X420" s="1" t="str">
        <f t="shared" si="80"/>
        <v>3746 HIGH SAOW3 G</v>
      </c>
      <c r="Y420" s="1" t="str" cm="1">
        <f t="array" ref="Y420">IFERROR(VLOOKUP($X420,$AN:AO,COLUMN(AO:AO)-COLUMN($AN:$AN)+1,FALSE),"")</f>
        <v>RESUFLOR 3746 HIGH PERFORMANCE EPOXYSAFETY YELLOW3 GAL</v>
      </c>
      <c r="Z420" s="63" cm="1">
        <f t="array" ref="Z420">IFERROR(VLOOKUP($X420,$AN:AP,COLUMN(AP:AP)-COLUMN($AN:$AN)+1,FALSE),"")</f>
        <v>205.98</v>
      </c>
      <c r="AA420" s="1" t="str" cm="1">
        <f t="array" ref="AA420">IFERROR(VLOOKUP($X420,$AN:AQ,COLUMN(AQ:AQ)-COLUMN($AN:$AN)+1,FALSE),"")</f>
        <v>3 GAL</v>
      </c>
      <c r="AC420" s="1" t="str" cm="1">
        <f t="array" ref="AC420">IFERROR(VLOOKUP($X420,$AN:AS,COLUMN(AS:AS)-COLUMN($AN:$AN)+1,FALSE),"")</f>
        <v>SAFETY YELLOW</v>
      </c>
      <c r="AD420" s="1" t="s">
        <v>19</v>
      </c>
      <c r="AF420" s="1">
        <f>Table1[[#This Row],[C:C]]*1.1</f>
        <v>0</v>
      </c>
      <c r="AI420" s="1">
        <f>IFERROR(VLOOKUP(X420,#REF!,8,FALSE),0)</f>
        <v>0</v>
      </c>
      <c r="AN420" s="1" t="str">
        <f>PROD_ID_TABLE[[#This Row],[PROD ID]]</f>
        <v>O FLAKE  -BLAN40</v>
      </c>
      <c r="AO420" s="1" t="str">
        <f t="shared" si="81"/>
        <v>1-8IN DECO FLAKE  - 40LB BAGBLACK BEAN40LB BAG</v>
      </c>
      <c r="AP420" s="3">
        <f t="shared" si="75"/>
        <v>110</v>
      </c>
      <c r="AQ420" s="1" t="str">
        <f t="shared" si="82"/>
        <v>40LB BAG</v>
      </c>
      <c r="AR420" s="1" t="str">
        <f t="shared" si="89"/>
        <v>1-8IN DECO FLAKE  - 40LB BAGBLACK BEAN40LB BAG</v>
      </c>
      <c r="AS420" s="1" t="str">
        <f t="shared" si="83"/>
        <v>BLACK BEAN</v>
      </c>
      <c r="AT420"/>
      <c r="AU420"/>
      <c r="AV420"/>
      <c r="AY420" t="str">
        <f t="shared" si="90"/>
        <v>O FLAKE  -BLAN40</v>
      </c>
      <c r="AZ420" s="1" t="str">
        <f t="shared" si="85"/>
        <v>O FLAKE  -</v>
      </c>
      <c r="BA420" t="str">
        <f t="shared" si="86"/>
        <v>BLAN</v>
      </c>
      <c r="BB420" s="1" t="str">
        <f t="shared" si="87"/>
        <v>40</v>
      </c>
      <c r="BC420" s="1">
        <f t="shared" si="88"/>
        <v>110</v>
      </c>
      <c r="BD420" s="1" t="s">
        <v>741</v>
      </c>
      <c r="BE420" s="1" t="s">
        <v>818</v>
      </c>
      <c r="BF420" s="1" t="s">
        <v>414</v>
      </c>
      <c r="BG420" s="1" t="s">
        <v>390</v>
      </c>
      <c r="BH420" s="1" t="str">
        <f t="shared" si="76"/>
        <v>BLACK BEAN</v>
      </c>
      <c r="BJ420"/>
    </row>
    <row r="421" spans="22:66" x14ac:dyDescent="0.35">
      <c r="V421" s="1" t="str">
        <v xml:space="preserve">3746 HIGH CHAL15 </v>
      </c>
      <c r="X421" s="1" t="str">
        <f t="shared" si="80"/>
        <v>3746 HIGH ROUE3 G</v>
      </c>
      <c r="Y421" s="1" t="str" cm="1">
        <f t="array" ref="Y421">IFERROR(VLOOKUP($X421,$AN:AO,COLUMN(AO:AO)-COLUMN($AN:$AN)+1,FALSE),"")</f>
        <v>RESUFLOR 3746 HIGH PERFORMANCE EPOXYROYAL BLUE3 GAL</v>
      </c>
      <c r="Z421" s="63" cm="1">
        <f t="array" ref="Z421">IFERROR(VLOOKUP($X421,$AN:AP,COLUMN(AP:AP)-COLUMN($AN:$AN)+1,FALSE),"")</f>
        <v>205.98</v>
      </c>
      <c r="AA421" s="1" t="str" cm="1">
        <f t="array" ref="AA421">IFERROR(VLOOKUP($X421,$AN:AQ,COLUMN(AQ:AQ)-COLUMN($AN:$AN)+1,FALSE),"")</f>
        <v>3 GAL</v>
      </c>
      <c r="AC421" s="1" t="str" cm="1">
        <f t="array" ref="AC421">IFERROR(VLOOKUP($X421,$AN:AS,COLUMN(AS:AS)-COLUMN($AN:$AN)+1,FALSE),"")</f>
        <v>ROYAL BLUE</v>
      </c>
      <c r="AD421" s="1" t="s">
        <v>19</v>
      </c>
      <c r="AF421" s="1">
        <f>Table1[[#This Row],[C:C]]*1.1</f>
        <v>0</v>
      </c>
      <c r="AI421" s="1">
        <f>IFERROR(VLOOKUP(X421,#REF!,8,FALSE),0)</f>
        <v>0</v>
      </c>
      <c r="AN421" s="1" t="str">
        <f>PROD_ID_TABLE[[#This Row],[PROD ID]]</f>
        <v>O FLAKE  -BLND40</v>
      </c>
      <c r="AO421" s="1" t="str">
        <f t="shared" si="81"/>
        <v>1-8IN DECO FLAKE  - 40LB BAGBLACK DIAMOND40LB BAG</v>
      </c>
      <c r="AP421" s="3">
        <f t="shared" si="75"/>
        <v>110</v>
      </c>
      <c r="AQ421" s="1" t="str">
        <f t="shared" si="82"/>
        <v>40LB BAG</v>
      </c>
      <c r="AR421" s="1" t="str">
        <f t="shared" si="89"/>
        <v>1-8IN DECO FLAKE  - 40LB BAGBLACK DIAMOND40LB BAG</v>
      </c>
      <c r="AS421" s="1" t="str">
        <f t="shared" si="83"/>
        <v>BLACK DIAMOND</v>
      </c>
      <c r="AT421"/>
      <c r="AU421"/>
      <c r="AV421"/>
      <c r="AY421" t="str">
        <f t="shared" si="90"/>
        <v>O FLAKE  -BLND40</v>
      </c>
      <c r="AZ421" s="1" t="str">
        <f t="shared" si="85"/>
        <v>O FLAKE  -</v>
      </c>
      <c r="BA421" t="str">
        <f t="shared" si="86"/>
        <v>BLND</v>
      </c>
      <c r="BB421" s="1" t="str">
        <f t="shared" si="87"/>
        <v>40</v>
      </c>
      <c r="BC421" s="1">
        <f t="shared" si="88"/>
        <v>110</v>
      </c>
      <c r="BD421" s="1" t="s">
        <v>741</v>
      </c>
      <c r="BE421" s="1" t="s">
        <v>813</v>
      </c>
      <c r="BF421" s="1" t="s">
        <v>414</v>
      </c>
      <c r="BG421" s="1" t="s">
        <v>390</v>
      </c>
      <c r="BH421" s="1" t="str">
        <f t="shared" si="76"/>
        <v>BLACK DIAMOND</v>
      </c>
      <c r="BJ421"/>
    </row>
    <row r="422" spans="22:66" x14ac:dyDescent="0.35">
      <c r="V422" s="1" t="str">
        <v xml:space="preserve">3746 HIGH STAY15 </v>
      </c>
      <c r="X422" s="1" t="str">
        <f t="shared" si="80"/>
        <v>3746 HIGH PEER3 G</v>
      </c>
      <c r="Y422" s="1" t="str" cm="1">
        <f t="array" ref="Y422">IFERROR(VLOOKUP($X422,$AN:AO,COLUMN(AO:AO)-COLUMN($AN:$AN)+1,FALSE),"")</f>
        <v>RESUFLOR 3746 HIGH PERFORMANCE EPOXYPEWTER3 GAL</v>
      </c>
      <c r="Z422" s="63" cm="1">
        <f t="array" ref="Z422">IFERROR(VLOOKUP($X422,$AN:AP,COLUMN(AP:AP)-COLUMN($AN:$AN)+1,FALSE),"")</f>
        <v>205.98</v>
      </c>
      <c r="AA422" s="1" t="str" cm="1">
        <f t="array" ref="AA422">IFERROR(VLOOKUP($X422,$AN:AQ,COLUMN(AQ:AQ)-COLUMN($AN:$AN)+1,FALSE),"")</f>
        <v>3 GAL</v>
      </c>
      <c r="AC422" s="1" t="str" cm="1">
        <f t="array" ref="AC422">IFERROR(VLOOKUP($X422,$AN:AS,COLUMN(AS:AS)-COLUMN($AN:$AN)+1,FALSE),"")</f>
        <v>PEWTER</v>
      </c>
      <c r="AD422" s="1" t="s">
        <v>19</v>
      </c>
      <c r="AF422" s="1">
        <f>Table1[[#This Row],[C:C]]*1.1</f>
        <v>0</v>
      </c>
      <c r="AI422" s="1">
        <f>IFERROR(VLOOKUP(X422,#REF!,8,FALSE),0)</f>
        <v>0</v>
      </c>
      <c r="AN422" s="1" t="str">
        <f>PROD_ID_TABLE[[#This Row],[PROD ID]]</f>
        <v>O FLAKE  -BLOA40</v>
      </c>
      <c r="AO422" s="1" t="str">
        <f t="shared" si="81"/>
        <v>1-8IN DECO FLAKE  - 40LB BAGBLACK QUINOA40LB BAG</v>
      </c>
      <c r="AP422" s="3">
        <f t="shared" si="75"/>
        <v>110</v>
      </c>
      <c r="AQ422" s="1" t="str">
        <f t="shared" si="82"/>
        <v>40LB BAG</v>
      </c>
      <c r="AR422" s="1" t="str">
        <f t="shared" si="89"/>
        <v>1-8IN DECO FLAKE  - 40LB BAGBLACK QUINOA40LB BAG</v>
      </c>
      <c r="AS422" s="1" t="str">
        <f t="shared" si="83"/>
        <v>BLACK QUINOA</v>
      </c>
      <c r="AT422"/>
      <c r="AU422"/>
      <c r="AV422"/>
      <c r="AY422" t="str">
        <f t="shared" si="90"/>
        <v>O FLAKE  -BLOA40</v>
      </c>
      <c r="AZ422" s="1" t="str">
        <f t="shared" si="85"/>
        <v>O FLAKE  -</v>
      </c>
      <c r="BA422" t="str">
        <f t="shared" si="86"/>
        <v>BLOA</v>
      </c>
      <c r="BB422" s="1" t="str">
        <f t="shared" si="87"/>
        <v>40</v>
      </c>
      <c r="BC422" s="1">
        <f t="shared" si="88"/>
        <v>110</v>
      </c>
      <c r="BD422" s="1" t="s">
        <v>741</v>
      </c>
      <c r="BE422" s="1" t="s">
        <v>822</v>
      </c>
      <c r="BF422" s="1" t="s">
        <v>414</v>
      </c>
      <c r="BG422" s="1" t="s">
        <v>390</v>
      </c>
      <c r="BH422" s="1" t="str">
        <f t="shared" si="76"/>
        <v>BLACK QUINOA</v>
      </c>
      <c r="BJ422"/>
    </row>
    <row r="423" spans="22:66" x14ac:dyDescent="0.35">
      <c r="V423" s="1" t="str">
        <v xml:space="preserve">3746 HIGH BOTE15 </v>
      </c>
      <c r="X423" s="1" t="str">
        <f t="shared" si="80"/>
        <v>3746 HIGH CLLE3 G</v>
      </c>
      <c r="Y423" s="1" t="str" cm="1">
        <f t="array" ref="Y423">IFERROR(VLOOKUP($X423,$AN:AO,COLUMN(AO:AO)-COLUMN($AN:$AN)+1,FALSE),"")</f>
        <v>RESUFLOR 3746 HIGH PERFORMANCE EPOXYCLASIC RED TILE3 GAL</v>
      </c>
      <c r="Z423" s="63" cm="1">
        <f t="array" ref="Z423">IFERROR(VLOOKUP($X423,$AN:AP,COLUMN(AP:AP)-COLUMN($AN:$AN)+1,FALSE),"")</f>
        <v>205.98</v>
      </c>
      <c r="AA423" s="1" t="str" cm="1">
        <f t="array" ref="AA423">IFERROR(VLOOKUP($X423,$AN:AQ,COLUMN(AQ:AQ)-COLUMN($AN:$AN)+1,FALSE),"")</f>
        <v>3 GAL</v>
      </c>
      <c r="AC423" s="1" t="str" cm="1">
        <f t="array" ref="AC423">IFERROR(VLOOKUP($X423,$AN:AS,COLUMN(AS:AS)-COLUMN($AN:$AN)+1,FALSE),"")</f>
        <v>CLASIC RED TILE</v>
      </c>
      <c r="AD423" s="1" t="s">
        <v>19</v>
      </c>
      <c r="AF423" s="1">
        <f>Table1[[#This Row],[C:C]]*1.1</f>
        <v>0</v>
      </c>
      <c r="AI423" s="1">
        <f>IFERROR(VLOOKUP(X423,#REF!,8,FALSE),0)</f>
        <v>0</v>
      </c>
      <c r="AN423" s="1" t="str">
        <f>PROD_ID_TABLE[[#This Row],[PROD ID]]</f>
        <v>O FLAKE  -BOSE40</v>
      </c>
      <c r="AO423" s="1" t="str">
        <f t="shared" si="81"/>
        <v>1-8IN DECO FLAKE  - 40LB BAGBOTTLENOSE40LB BAG</v>
      </c>
      <c r="AP423" s="3">
        <f t="shared" si="75"/>
        <v>110</v>
      </c>
      <c r="AQ423" s="1" t="str">
        <f t="shared" si="82"/>
        <v>40LB BAG</v>
      </c>
      <c r="AR423" s="1" t="str">
        <f t="shared" si="89"/>
        <v>1-8IN DECO FLAKE  - 40LB BAGBOTTLENOSE40LB BAG</v>
      </c>
      <c r="AS423" s="1" t="str">
        <f t="shared" si="83"/>
        <v>BOTTLENOSE</v>
      </c>
      <c r="AT423"/>
      <c r="AU423"/>
      <c r="AV423"/>
      <c r="AY423" t="str">
        <f t="shared" si="90"/>
        <v>O FLAKE  -BOSE40</v>
      </c>
      <c r="AZ423" s="1" t="str">
        <f t="shared" si="85"/>
        <v>O FLAKE  -</v>
      </c>
      <c r="BA423" t="str">
        <f t="shared" si="86"/>
        <v>BOSE</v>
      </c>
      <c r="BB423" s="1" t="str">
        <f t="shared" si="87"/>
        <v>40</v>
      </c>
      <c r="BC423" s="1">
        <f t="shared" si="88"/>
        <v>110</v>
      </c>
      <c r="BD423" s="1" t="s">
        <v>741</v>
      </c>
      <c r="BE423" s="1" t="s">
        <v>823</v>
      </c>
      <c r="BF423" s="1" t="s">
        <v>414</v>
      </c>
      <c r="BG423" s="1" t="s">
        <v>390</v>
      </c>
      <c r="BH423" s="1" t="str">
        <f t="shared" si="76"/>
        <v>BOTTLENOSE</v>
      </c>
      <c r="BJ423"/>
    </row>
    <row r="424" spans="22:66" x14ac:dyDescent="0.35">
      <c r="V424" s="1" t="str">
        <v xml:space="preserve">3746 HIGH SIAY15 </v>
      </c>
      <c r="X424" s="1" t="str">
        <f t="shared" si="80"/>
        <v>3746 HIGH CAEL3 G</v>
      </c>
      <c r="Y424" s="1" t="str" cm="1">
        <f t="array" ref="Y424">IFERROR(VLOOKUP($X424,$AN:AO,COLUMN(AO:AO)-COLUMN($AN:$AN)+1,FALSE),"")</f>
        <v>RESUFLOR 3746 HIGH PERFORMANCE EPOXYCARAMEL3 GAL</v>
      </c>
      <c r="Z424" s="63" cm="1">
        <f t="array" ref="Z424">IFERROR(VLOOKUP($X424,$AN:AP,COLUMN(AP:AP)-COLUMN($AN:$AN)+1,FALSE),"")</f>
        <v>205.98</v>
      </c>
      <c r="AA424" s="1" t="str" cm="1">
        <f t="array" ref="AA424">IFERROR(VLOOKUP($X424,$AN:AQ,COLUMN(AQ:AQ)-COLUMN($AN:$AN)+1,FALSE),"")</f>
        <v>3 GAL</v>
      </c>
      <c r="AC424" s="1" t="str" cm="1">
        <f t="array" ref="AC424">IFERROR(VLOOKUP($X424,$AN:AS,COLUMN(AS:AS)-COLUMN($AN:$AN)+1,FALSE),"")</f>
        <v>CARAMEL</v>
      </c>
      <c r="AD424" s="1" t="s">
        <v>19</v>
      </c>
      <c r="AF424" s="1">
        <f>Table1[[#This Row],[C:C]]*1.1</f>
        <v>0</v>
      </c>
      <c r="AI424" s="1">
        <f>IFERROR(VLOOKUP(X424,#REF!,8,FALSE),0)</f>
        <v>0</v>
      </c>
      <c r="AN424" s="1" t="str">
        <f>PROD_ID_TABLE[[#This Row],[PROD ID]]</f>
        <v>O FLAKE  -BUOD40</v>
      </c>
      <c r="AO424" s="1" t="str">
        <f t="shared" si="81"/>
        <v>1-8IN DECO FLAKE  - 40LB BAGBURNT WOOD40LB BAG</v>
      </c>
      <c r="AP424" s="3">
        <f t="shared" si="75"/>
        <v>110</v>
      </c>
      <c r="AQ424" s="1" t="str">
        <f t="shared" si="82"/>
        <v>40LB BAG</v>
      </c>
      <c r="AR424" s="1" t="str">
        <f t="shared" si="89"/>
        <v>1-8IN DECO FLAKE  - 40LB BAGBURNT WOOD40LB BAG</v>
      </c>
      <c r="AS424" s="1" t="str">
        <f t="shared" si="83"/>
        <v>BURNT WOOD</v>
      </c>
      <c r="AT424"/>
      <c r="AU424"/>
      <c r="AV424"/>
      <c r="AY424" t="str">
        <f t="shared" si="90"/>
        <v>O FLAKE  -BUOD40</v>
      </c>
      <c r="AZ424" s="1" t="str">
        <f t="shared" si="85"/>
        <v>O FLAKE  -</v>
      </c>
      <c r="BA424" t="str">
        <f t="shared" si="86"/>
        <v>BUOD</v>
      </c>
      <c r="BB424" s="1" t="str">
        <f t="shared" si="87"/>
        <v>40</v>
      </c>
      <c r="BC424" s="1">
        <f t="shared" si="88"/>
        <v>110</v>
      </c>
      <c r="BD424" s="1" t="s">
        <v>741</v>
      </c>
      <c r="BE424" s="1" t="s">
        <v>802</v>
      </c>
      <c r="BF424" s="1" t="s">
        <v>414</v>
      </c>
      <c r="BG424" s="1" t="s">
        <v>390</v>
      </c>
      <c r="BH424" s="1" t="str">
        <f t="shared" si="76"/>
        <v>BURNT WOOD</v>
      </c>
      <c r="BJ424"/>
    </row>
    <row r="425" spans="22:66" x14ac:dyDescent="0.35">
      <c r="V425" s="1" t="str">
        <v xml:space="preserve">3746 HIGH BLCK15 </v>
      </c>
      <c r="X425" s="1" t="str">
        <f t="shared" si="80"/>
        <v>3746 HIGH ULSE3 G</v>
      </c>
      <c r="Y425" s="1" t="str" cm="1">
        <f t="array" ref="Y425">IFERROR(VLOOKUP($X425,$AN:AO,COLUMN(AO:AO)-COLUMN($AN:$AN)+1,FALSE),"")</f>
        <v>RESUFLOR 3746 HIGH PERFORMANCE EPOXYULTRA DEEP BASE3 GAL</v>
      </c>
      <c r="Z425" s="63" cm="1">
        <f t="array" ref="Z425">IFERROR(VLOOKUP($X425,$AN:AP,COLUMN(AP:AP)-COLUMN($AN:$AN)+1,FALSE),"")</f>
        <v>205.98</v>
      </c>
      <c r="AA425" s="1" t="str" cm="1">
        <f t="array" ref="AA425">IFERROR(VLOOKUP($X425,$AN:AQ,COLUMN(AQ:AQ)-COLUMN($AN:$AN)+1,FALSE),"")</f>
        <v>3 GAL</v>
      </c>
      <c r="AC425" s="1" t="str" cm="1">
        <f t="array" ref="AC425">IFERROR(VLOOKUP($X425,$AN:AS,COLUMN(AS:AS)-COLUMN($AN:$AN)+1,FALSE),"")</f>
        <v>ULTRA DEEP BASE</v>
      </c>
      <c r="AD425" s="1" t="s">
        <v>19</v>
      </c>
      <c r="AF425" s="1">
        <f>Table1[[#This Row],[C:C]]*1.1</f>
        <v>0</v>
      </c>
      <c r="AI425" s="1">
        <f>IFERROR(VLOOKUP(X425,#REF!,8,FALSE),0)</f>
        <v>0</v>
      </c>
      <c r="AN425" s="1" t="str">
        <f>PROD_ID_TABLE[[#This Row],[PROD ID]]</f>
        <v>O FLAKE  -CACK40</v>
      </c>
      <c r="AO425" s="1" t="str">
        <f t="shared" si="81"/>
        <v>1-8IN DECO FLAKE  - 40LB BAGCASTLEROCK40LB BAG</v>
      </c>
      <c r="AP425" s="3">
        <f t="shared" si="75"/>
        <v>110</v>
      </c>
      <c r="AQ425" s="1" t="str">
        <f t="shared" si="82"/>
        <v>40LB BAG</v>
      </c>
      <c r="AR425" s="1" t="str">
        <f t="shared" si="89"/>
        <v>1-8IN DECO FLAKE  - 40LB BAGCASTLEROCK40LB BAG</v>
      </c>
      <c r="AS425" s="1" t="str">
        <f t="shared" si="83"/>
        <v>CASTLEROCK</v>
      </c>
      <c r="AT425"/>
      <c r="AU425"/>
      <c r="AV425"/>
      <c r="AY425" t="str">
        <f t="shared" si="90"/>
        <v>O FLAKE  -CACK40</v>
      </c>
      <c r="AZ425" s="1" t="str">
        <f t="shared" si="85"/>
        <v>O FLAKE  -</v>
      </c>
      <c r="BA425" t="str">
        <f t="shared" si="86"/>
        <v>CACK</v>
      </c>
      <c r="BB425" s="1" t="str">
        <f t="shared" si="87"/>
        <v>40</v>
      </c>
      <c r="BC425" s="1">
        <f t="shared" si="88"/>
        <v>110</v>
      </c>
      <c r="BD425" s="1" t="s">
        <v>741</v>
      </c>
      <c r="BE425" s="1" t="s">
        <v>814</v>
      </c>
      <c r="BF425" s="1" t="s">
        <v>414</v>
      </c>
      <c r="BG425" s="1" t="s">
        <v>390</v>
      </c>
      <c r="BH425" s="1" t="str">
        <f t="shared" si="76"/>
        <v>CASTLEROCK</v>
      </c>
      <c r="BJ425"/>
    </row>
    <row r="426" spans="22:66" x14ac:dyDescent="0.35">
      <c r="V426" s="1" t="str">
        <v xml:space="preserve">3746 HIGH PANT15 </v>
      </c>
      <c r="X426" s="1" t="str">
        <f t="shared" si="80"/>
        <v>3746 HIGH WHSE3 G</v>
      </c>
      <c r="Y426" s="1" t="str" cm="1">
        <f t="array" ref="Y426">IFERROR(VLOOKUP($X426,$AN:AO,COLUMN(AO:AO)-COLUMN($AN:$AN)+1,FALSE),"")</f>
        <v>RESUFLOR 3746 HIGH PERFORMANCE EPOXYWHITE TINT BASE3 GAL</v>
      </c>
      <c r="Z426" s="63" cm="1">
        <f t="array" ref="Z426">IFERROR(VLOOKUP($X426,$AN:AP,COLUMN(AP:AP)-COLUMN($AN:$AN)+1,FALSE),"")</f>
        <v>205.98</v>
      </c>
      <c r="AA426" s="1" t="str" cm="1">
        <f t="array" ref="AA426">IFERROR(VLOOKUP($X426,$AN:AQ,COLUMN(AQ:AQ)-COLUMN($AN:$AN)+1,FALSE),"")</f>
        <v>3 GAL</v>
      </c>
      <c r="AC426" s="1" t="str" cm="1">
        <f t="array" ref="AC426">IFERROR(VLOOKUP($X426,$AN:AS,COLUMN(AS:AS)-COLUMN($AN:$AN)+1,FALSE),"")</f>
        <v>WHITE TINT BASE</v>
      </c>
      <c r="AD426" s="1" t="s">
        <v>19</v>
      </c>
      <c r="AF426" s="1">
        <f>Table1[[#This Row],[C:C]]*1.1</f>
        <v>0</v>
      </c>
      <c r="AI426" s="1">
        <f>IFERROR(VLOOKUP(X426,#REF!,8,FALSE),0)</f>
        <v>0</v>
      </c>
      <c r="AN426" s="1" t="str">
        <f>PROD_ID_TABLE[[#This Row],[PROD ID]]</f>
        <v>O FLAKE  -CHAL40</v>
      </c>
      <c r="AO426" s="1" t="str">
        <f t="shared" si="81"/>
        <v>1-8IN DECO FLAKE  - 40LB BAGCHERRY CORDIAL40LB BAG</v>
      </c>
      <c r="AP426" s="3">
        <f t="shared" si="75"/>
        <v>110</v>
      </c>
      <c r="AQ426" s="1" t="str">
        <f t="shared" si="82"/>
        <v>40LB BAG</v>
      </c>
      <c r="AR426" s="1" t="str">
        <f t="shared" si="89"/>
        <v>1-8IN DECO FLAKE  - 40LB BAGCHERRY CORDIAL40LB BAG</v>
      </c>
      <c r="AS426" s="1" t="str">
        <f t="shared" si="83"/>
        <v>CHERRY CORDIAL</v>
      </c>
      <c r="AT426"/>
      <c r="AU426"/>
      <c r="AV426"/>
      <c r="AY426" t="str">
        <f t="shared" si="90"/>
        <v>O FLAKE  -CHAL40</v>
      </c>
      <c r="AZ426" s="1" t="str">
        <f t="shared" si="85"/>
        <v>O FLAKE  -</v>
      </c>
      <c r="BA426" t="str">
        <f t="shared" si="86"/>
        <v>CHAL</v>
      </c>
      <c r="BB426" s="1" t="str">
        <f t="shared" si="87"/>
        <v>40</v>
      </c>
      <c r="BC426" s="1">
        <f t="shared" si="88"/>
        <v>110</v>
      </c>
      <c r="BD426" s="1" t="s">
        <v>741</v>
      </c>
      <c r="BE426" s="1" t="s">
        <v>819</v>
      </c>
      <c r="BF426" s="1" t="s">
        <v>414</v>
      </c>
      <c r="BG426" s="1" t="s">
        <v>390</v>
      </c>
      <c r="BH426" s="1" t="str">
        <f t="shared" si="76"/>
        <v>CHERRY CORDIAL</v>
      </c>
      <c r="BJ426"/>
    </row>
    <row r="427" spans="22:66" x14ac:dyDescent="0.35">
      <c r="V427" s="1" t="str">
        <v xml:space="preserve">3746 HIGH SAED15 </v>
      </c>
      <c r="X427" s="1" t="str">
        <f t="shared" si="80"/>
        <v xml:space="preserve">3746 HIGH CLAR15 </v>
      </c>
      <c r="Y427" s="1" t="str" cm="1">
        <f t="array" ref="Y427">IFERROR(VLOOKUP($X427,$AN:AO,COLUMN(AO:AO)-COLUMN($AN:$AN)+1,FALSE),"")</f>
        <v>RESUFLOR 3746 HIGH PERFORMANCE EPOXYCLEAR15 GAL</v>
      </c>
      <c r="Z427" s="63" cm="1">
        <f t="array" ref="Z427">IFERROR(VLOOKUP($X427,$AN:AP,COLUMN(AP:AP)-COLUMN($AN:$AN)+1,FALSE),"")</f>
        <v>982.21</v>
      </c>
      <c r="AA427" s="1" t="str" cm="1">
        <f t="array" ref="AA427">IFERROR(VLOOKUP($X427,$AN:AQ,COLUMN(AQ:AQ)-COLUMN($AN:$AN)+1,FALSE),"")</f>
        <v>15 GAL</v>
      </c>
      <c r="AC427" s="1" t="str" cm="1">
        <f t="array" ref="AC427">IFERROR(VLOOKUP($X427,$AN:AS,COLUMN(AS:AS)-COLUMN($AN:$AN)+1,FALSE),"")</f>
        <v>CLEAR</v>
      </c>
      <c r="AD427" s="1" t="s">
        <v>19</v>
      </c>
      <c r="AF427" s="1">
        <f>Table1[[#This Row],[C:C]]*1.1</f>
        <v>0</v>
      </c>
      <c r="AI427" s="1">
        <f>IFERROR(VLOOKUP(X427,#REF!,8,FALSE),0)</f>
        <v>0</v>
      </c>
      <c r="AN427" s="1" t="str">
        <f>PROD_ID_TABLE[[#This Row],[PROD ID]]</f>
        <v>O FLAKE  -CHLA40</v>
      </c>
      <c r="AO427" s="1" t="str">
        <f t="shared" si="81"/>
        <v>1-8IN DECO FLAKE  - 40LB BAGCHINCHILLA40LB BAG</v>
      </c>
      <c r="AP427" s="3">
        <f t="shared" si="75"/>
        <v>110</v>
      </c>
      <c r="AQ427" s="1" t="str">
        <f t="shared" si="82"/>
        <v>40LB BAG</v>
      </c>
      <c r="AR427" s="1" t="str">
        <f t="shared" si="89"/>
        <v>1-8IN DECO FLAKE  - 40LB BAGCHINCHILLA40LB BAG</v>
      </c>
      <c r="AS427" s="1" t="str">
        <f t="shared" si="83"/>
        <v>CHINCHILLA</v>
      </c>
      <c r="AT427"/>
      <c r="AU427"/>
      <c r="AV427"/>
      <c r="AY427" t="str">
        <f t="shared" si="90"/>
        <v>O FLAKE  -CHLA40</v>
      </c>
      <c r="AZ427" s="1" t="str">
        <f t="shared" si="85"/>
        <v>O FLAKE  -</v>
      </c>
      <c r="BA427" t="str">
        <f t="shared" si="86"/>
        <v>CHLA</v>
      </c>
      <c r="BB427" s="1" t="str">
        <f t="shared" si="87"/>
        <v>40</v>
      </c>
      <c r="BC427" s="1">
        <f t="shared" si="88"/>
        <v>110</v>
      </c>
      <c r="BD427" s="1" t="s">
        <v>741</v>
      </c>
      <c r="BE427" s="1" t="s">
        <v>809</v>
      </c>
      <c r="BF427" s="1" t="s">
        <v>414</v>
      </c>
      <c r="BG427" s="1" t="s">
        <v>390</v>
      </c>
      <c r="BH427" s="1" t="str">
        <f t="shared" si="76"/>
        <v>CHINCHILLA</v>
      </c>
      <c r="BJ427"/>
    </row>
    <row r="428" spans="22:66" x14ac:dyDescent="0.35">
      <c r="V428" s="1" t="str">
        <v xml:space="preserve">3746 HIGH SAOW15 </v>
      </c>
      <c r="X428" s="1" t="str">
        <f t="shared" si="80"/>
        <v xml:space="preserve">3746 HIGH CUOM15 </v>
      </c>
      <c r="Y428" s="1" t="str" cm="1">
        <f t="array" ref="Y428">IFERROR(VLOOKUP($X428,$AN:AO,COLUMN(AO:AO)-COLUMN($AN:$AN)+1,FALSE),"")</f>
        <v>RESUFLOR 3746 HIGH PERFORMANCE EPOXYCUSTOM15 GAL</v>
      </c>
      <c r="Z428" s="63" cm="1">
        <f t="array" ref="Z428">IFERROR(VLOOKUP($X428,$AN:AP,COLUMN(AP:AP)-COLUMN($AN:$AN)+1,FALSE),"")</f>
        <v>982.21</v>
      </c>
      <c r="AA428" s="1" t="str" cm="1">
        <f t="array" ref="AA428">IFERROR(VLOOKUP($X428,$AN:AQ,COLUMN(AQ:AQ)-COLUMN($AN:$AN)+1,FALSE),"")</f>
        <v>15 GAL</v>
      </c>
      <c r="AC428" s="1" t="str" cm="1">
        <f t="array" ref="AC428">IFERROR(VLOOKUP($X428,$AN:AS,COLUMN(AS:AS)-COLUMN($AN:$AN)+1,FALSE),"")</f>
        <v>CUSTOM</v>
      </c>
      <c r="AD428" s="1" t="s">
        <v>19</v>
      </c>
      <c r="AF428" s="1">
        <f>Table1[[#This Row],[C:C]]*1.1</f>
        <v>0</v>
      </c>
      <c r="AI428" s="1">
        <f>IFERROR(VLOOKUP(X428,#REF!,8,FALSE),0)</f>
        <v>0</v>
      </c>
      <c r="AN428" s="1" t="str">
        <f>PROD_ID_TABLE[[#This Row],[PROD ID]]</f>
        <v>O FLAKE  -CUOM40</v>
      </c>
      <c r="AO428" s="1" t="str">
        <f t="shared" si="81"/>
        <v>1-8IN DECO FLAKE  - 40LB BAGCUSTOM40LB BAG</v>
      </c>
      <c r="AP428" s="3">
        <f t="shared" si="75"/>
        <v>110</v>
      </c>
      <c r="AQ428" s="1" t="str">
        <f t="shared" si="82"/>
        <v>40LB BAG</v>
      </c>
      <c r="AR428" s="1" t="str">
        <f t="shared" si="89"/>
        <v>1-8IN DECO FLAKE  - 40LB BAGCUSTOM40LB BAG</v>
      </c>
      <c r="AS428" s="1" t="str">
        <f t="shared" si="83"/>
        <v>CUSTOM</v>
      </c>
      <c r="AT428"/>
      <c r="AU428"/>
      <c r="AV428"/>
      <c r="AY428" t="str">
        <f t="shared" si="90"/>
        <v>O FLAKE  -CUOM40</v>
      </c>
      <c r="AZ428" s="1" t="str">
        <f t="shared" si="85"/>
        <v>O FLAKE  -</v>
      </c>
      <c r="BA428" t="str">
        <f t="shared" si="86"/>
        <v>CUOM</v>
      </c>
      <c r="BB428" s="1" t="str">
        <f t="shared" si="87"/>
        <v>40</v>
      </c>
      <c r="BC428" s="1">
        <f t="shared" si="88"/>
        <v>110</v>
      </c>
      <c r="BD428" s="1" t="s">
        <v>741</v>
      </c>
      <c r="BE428" s="1" t="s">
        <v>316</v>
      </c>
      <c r="BF428" s="1" t="s">
        <v>414</v>
      </c>
      <c r="BG428" s="1" t="s">
        <v>390</v>
      </c>
      <c r="BH428" s="1" t="str">
        <f t="shared" si="76"/>
        <v>CUSTOM</v>
      </c>
      <c r="BJ428"/>
    </row>
    <row r="429" spans="22:66" x14ac:dyDescent="0.35">
      <c r="V429" s="1" t="str">
        <v xml:space="preserve">3746 HIGH ROUE15 </v>
      </c>
      <c r="X429" s="1" t="str">
        <f t="shared" si="80"/>
        <v xml:space="preserve">3746 HIGH WHTE15 </v>
      </c>
      <c r="Y429" s="1" t="str" cm="1">
        <f t="array" ref="Y429">IFERROR(VLOOKUP($X429,$AN:AO,COLUMN(AO:AO)-COLUMN($AN:$AN)+1,FALSE),"")</f>
        <v>RESUFLOR 3746 HIGH PERFORMANCE EPOXYWHITE15 GAL</v>
      </c>
      <c r="Z429" s="63" cm="1">
        <f t="array" ref="Z429">IFERROR(VLOOKUP($X429,$AN:AP,COLUMN(AP:AP)-COLUMN($AN:$AN)+1,FALSE),"")</f>
        <v>982.21</v>
      </c>
      <c r="AA429" s="1" t="str" cm="1">
        <f t="array" ref="AA429">IFERROR(VLOOKUP($X429,$AN:AQ,COLUMN(AQ:AQ)-COLUMN($AN:$AN)+1,FALSE),"")</f>
        <v>15 GAL</v>
      </c>
      <c r="AC429" s="1" t="str" cm="1">
        <f t="array" ref="AC429">IFERROR(VLOOKUP($X429,$AN:AS,COLUMN(AS:AS)-COLUMN($AN:$AN)+1,FALSE),"")</f>
        <v>WHITE</v>
      </c>
      <c r="AD429" s="1" t="s">
        <v>19</v>
      </c>
      <c r="AF429" s="1">
        <f>Table1[[#This Row],[C:C]]*1.1</f>
        <v>0</v>
      </c>
      <c r="AI429" s="1">
        <f>IFERROR(VLOOKUP(X429,#REF!,8,FALSE),0)</f>
        <v>0</v>
      </c>
      <c r="AN429" s="1" t="str">
        <f>PROD_ID_TABLE[[#This Row],[PROD ID]]</f>
        <v>O FLAKE  -FLED40</v>
      </c>
      <c r="AO429" s="1" t="str">
        <f t="shared" si="81"/>
        <v>1-8IN DECO FLAKE  - 40LB BAGFLAXSEED40LB BAG</v>
      </c>
      <c r="AP429" s="3">
        <f t="shared" si="75"/>
        <v>110</v>
      </c>
      <c r="AQ429" s="1" t="str">
        <f t="shared" si="82"/>
        <v>40LB BAG</v>
      </c>
      <c r="AR429" s="1" t="str">
        <f t="shared" si="89"/>
        <v>1-8IN DECO FLAKE  - 40LB BAGFLAXSEED40LB BAG</v>
      </c>
      <c r="AS429" s="1" t="str">
        <f t="shared" si="83"/>
        <v>FLAXSEED</v>
      </c>
      <c r="AT429"/>
      <c r="AU429"/>
      <c r="AV429"/>
      <c r="AY429" t="str">
        <f t="shared" si="90"/>
        <v>O FLAKE  -FLED40</v>
      </c>
      <c r="AZ429" s="1" t="str">
        <f t="shared" si="85"/>
        <v>O FLAKE  -</v>
      </c>
      <c r="BA429" t="str">
        <f t="shared" si="86"/>
        <v>FLED</v>
      </c>
      <c r="BB429" s="1" t="str">
        <f t="shared" si="87"/>
        <v>40</v>
      </c>
      <c r="BC429" s="1">
        <f t="shared" si="88"/>
        <v>110</v>
      </c>
      <c r="BD429" s="1" t="s">
        <v>741</v>
      </c>
      <c r="BE429" s="1" t="s">
        <v>803</v>
      </c>
      <c r="BF429" s="1" t="s">
        <v>414</v>
      </c>
      <c r="BG429" s="1" t="s">
        <v>390</v>
      </c>
      <c r="BH429" s="1" t="str">
        <f t="shared" si="76"/>
        <v>FLAXSEED</v>
      </c>
      <c r="BJ429"/>
    </row>
    <row r="430" spans="22:66" x14ac:dyDescent="0.35">
      <c r="V430" s="1" t="str">
        <v xml:space="preserve">3746 HIGH PEER15 </v>
      </c>
      <c r="X430" s="1" t="str">
        <f t="shared" si="80"/>
        <v xml:space="preserve">3746 HIGH GRAY15 </v>
      </c>
      <c r="Y430" s="1" t="str" cm="1">
        <f t="array" ref="Y430">IFERROR(VLOOKUP($X430,$AN:AO,COLUMN(AO:AO)-COLUMN($AN:$AN)+1,FALSE),"")</f>
        <v>RESUFLOR 3746 HIGH PERFORMANCE EPOXYGRAY15 GAL</v>
      </c>
      <c r="Z430" s="63" cm="1">
        <f t="array" ref="Z430">IFERROR(VLOOKUP($X430,$AN:AP,COLUMN(AP:AP)-COLUMN($AN:$AN)+1,FALSE),"")</f>
        <v>982.21</v>
      </c>
      <c r="AA430" s="1" t="str" cm="1">
        <f t="array" ref="AA430">IFERROR(VLOOKUP($X430,$AN:AQ,COLUMN(AQ:AQ)-COLUMN($AN:$AN)+1,FALSE),"")</f>
        <v>15 GAL</v>
      </c>
      <c r="AC430" s="1" t="str" cm="1">
        <f t="array" ref="AC430">IFERROR(VLOOKUP($X430,$AN:AS,COLUMN(AS:AS)-COLUMN($AN:$AN)+1,FALSE),"")</f>
        <v>GRAY</v>
      </c>
      <c r="AD430" s="1" t="s">
        <v>19</v>
      </c>
      <c r="AF430" s="1">
        <f>Table1[[#This Row],[C:C]]*1.1</f>
        <v>0</v>
      </c>
      <c r="AI430" s="1">
        <f>IFERROR(VLOOKUP(X430,#REF!,8,FALSE),0)</f>
        <v>0</v>
      </c>
      <c r="AN430" s="1" t="str">
        <f>PROD_ID_TABLE[[#This Row],[PROD ID]]</f>
        <v>O FLAKE  -FONG40</v>
      </c>
      <c r="AO430" s="1" t="str">
        <f t="shared" si="81"/>
        <v>1-8IN DECO FLAKE  - 40LB BAGFOGGY MORNING40LB BAG</v>
      </c>
      <c r="AP430" s="3">
        <f t="shared" si="75"/>
        <v>110</v>
      </c>
      <c r="AQ430" s="1" t="str">
        <f t="shared" si="82"/>
        <v>40LB BAG</v>
      </c>
      <c r="AR430" s="1" t="str">
        <f t="shared" si="89"/>
        <v>1-8IN DECO FLAKE  - 40LB BAGFOGGY MORNING40LB BAG</v>
      </c>
      <c r="AS430" s="1" t="str">
        <f t="shared" si="83"/>
        <v>FOGGY MORNING</v>
      </c>
      <c r="AT430"/>
      <c r="AU430"/>
      <c r="AV430"/>
      <c r="AY430" t="str">
        <f t="shared" si="90"/>
        <v>O FLAKE  -FONG40</v>
      </c>
      <c r="AZ430" s="1" t="str">
        <f t="shared" si="85"/>
        <v>O FLAKE  -</v>
      </c>
      <c r="BA430" t="str">
        <f t="shared" si="86"/>
        <v>FONG</v>
      </c>
      <c r="BB430" s="1" t="str">
        <f t="shared" si="87"/>
        <v>40</v>
      </c>
      <c r="BC430" s="1">
        <f t="shared" si="88"/>
        <v>110</v>
      </c>
      <c r="BD430" s="1" t="s">
        <v>741</v>
      </c>
      <c r="BE430" s="1" t="s">
        <v>418</v>
      </c>
      <c r="BF430" s="1" t="s">
        <v>414</v>
      </c>
      <c r="BG430" s="1" t="s">
        <v>390</v>
      </c>
      <c r="BH430" s="1" t="str">
        <f t="shared" si="76"/>
        <v>FOGGY MORNING</v>
      </c>
      <c r="BJ430"/>
    </row>
    <row r="431" spans="22:66" x14ac:dyDescent="0.35">
      <c r="V431" s="1" t="str">
        <v xml:space="preserve">3746 HIGH CLLE15 </v>
      </c>
      <c r="X431" s="1" t="str">
        <f t="shared" si="80"/>
        <v xml:space="preserve">3746 HIGH MEAY15 </v>
      </c>
      <c r="Y431" s="1" t="str" cm="1">
        <f t="array" ref="Y431">IFERROR(VLOOKUP($X431,$AN:AO,COLUMN(AO:AO)-COLUMN($AN:$AN)+1,FALSE),"")</f>
        <v>RESUFLOR 3746 HIGH PERFORMANCE EPOXYMEDIUM GRAY15 GAL</v>
      </c>
      <c r="Z431" s="63" cm="1">
        <f t="array" ref="Z431">IFERROR(VLOOKUP($X431,$AN:AP,COLUMN(AP:AP)-COLUMN($AN:$AN)+1,FALSE),"")</f>
        <v>982.21</v>
      </c>
      <c r="AA431" s="1" t="str" cm="1">
        <f t="array" ref="AA431">IFERROR(VLOOKUP($X431,$AN:AQ,COLUMN(AQ:AQ)-COLUMN($AN:$AN)+1,FALSE),"")</f>
        <v>15 GAL</v>
      </c>
      <c r="AC431" s="1" t="str" cm="1">
        <f t="array" ref="AC431">IFERROR(VLOOKUP($X431,$AN:AS,COLUMN(AS:AS)-COLUMN($AN:$AN)+1,FALSE),"")</f>
        <v>MEDIUM GRAY</v>
      </c>
      <c r="AD431" s="1" t="s">
        <v>19</v>
      </c>
      <c r="AF431" s="1">
        <f>Table1[[#This Row],[C:C]]*1.1</f>
        <v>0</v>
      </c>
      <c r="AI431" s="1">
        <f>IFERROR(VLOOKUP(X431,#REF!,8,FALSE),0)</f>
        <v>0</v>
      </c>
      <c r="AN431" s="1" t="str">
        <f>PROD_ID_TABLE[[#This Row],[PROD ID]]</f>
        <v>O FLAKE  -GNSS40</v>
      </c>
      <c r="AO431" s="1" t="str">
        <f t="shared" si="81"/>
        <v>1-8IN DECO FLAKE  - 40LB BAGGNEISS40LB BAG</v>
      </c>
      <c r="AP431" s="3">
        <f t="shared" si="75"/>
        <v>110</v>
      </c>
      <c r="AQ431" s="1" t="str">
        <f t="shared" si="82"/>
        <v>40LB BAG</v>
      </c>
      <c r="AR431" s="1" t="str">
        <f t="shared" si="89"/>
        <v>1-8IN DECO FLAKE  - 40LB BAGGNEISS40LB BAG</v>
      </c>
      <c r="AS431" s="1" t="str">
        <f t="shared" si="83"/>
        <v>GNEISS</v>
      </c>
      <c r="AT431"/>
      <c r="AU431"/>
      <c r="AV431"/>
      <c r="AY431" t="str">
        <f t="shared" si="90"/>
        <v>O FLAKE  -GNSS40</v>
      </c>
      <c r="AZ431" s="1" t="str">
        <f t="shared" si="85"/>
        <v>O FLAKE  -</v>
      </c>
      <c r="BA431" t="str">
        <f t="shared" si="86"/>
        <v>GNSS</v>
      </c>
      <c r="BB431" s="1" t="str">
        <f t="shared" si="87"/>
        <v>40</v>
      </c>
      <c r="BC431" s="1">
        <f t="shared" si="88"/>
        <v>110</v>
      </c>
      <c r="BD431" s="1" t="s">
        <v>741</v>
      </c>
      <c r="BE431" s="1" t="s">
        <v>824</v>
      </c>
      <c r="BF431" s="1" t="s">
        <v>414</v>
      </c>
      <c r="BG431" s="1" t="s">
        <v>390</v>
      </c>
      <c r="BH431" s="1" t="str">
        <f t="shared" si="76"/>
        <v>GNEISS</v>
      </c>
      <c r="BJ431"/>
    </row>
    <row r="432" spans="22:66" x14ac:dyDescent="0.35">
      <c r="V432" s="1" t="str">
        <v xml:space="preserve">3746 HIGH CAEL15 </v>
      </c>
      <c r="X432" s="1" t="str">
        <f t="shared" si="80"/>
        <v xml:space="preserve">3746 HIGH CAAY15 </v>
      </c>
      <c r="Y432" s="1" t="str" cm="1">
        <f t="array" ref="Y432">IFERROR(VLOOKUP($X432,$AN:AO,COLUMN(AO:AO)-COLUMN($AN:$AN)+1,FALSE),"")</f>
        <v>RESUFLOR 3746 HIGH PERFORMANCE EPOXYCANADA GRAY15 GAL</v>
      </c>
      <c r="Z432" s="63" cm="1">
        <f t="array" ref="Z432">IFERROR(VLOOKUP($X432,$AN:AP,COLUMN(AP:AP)-COLUMN($AN:$AN)+1,FALSE),"")</f>
        <v>982.21</v>
      </c>
      <c r="AA432" s="1" t="str" cm="1">
        <f t="array" ref="AA432">IFERROR(VLOOKUP($X432,$AN:AQ,COLUMN(AQ:AQ)-COLUMN($AN:$AN)+1,FALSE),"")</f>
        <v>15 GAL</v>
      </c>
      <c r="AC432" s="1" t="str" cm="1">
        <f t="array" ref="AC432">IFERROR(VLOOKUP($X432,$AN:AS,COLUMN(AS:AS)-COLUMN($AN:$AN)+1,FALSE),"")</f>
        <v>CANADA GRAY</v>
      </c>
      <c r="AD432" s="1" t="s">
        <v>19</v>
      </c>
      <c r="AF432" s="1">
        <f>Table1[[#This Row],[C:C]]*1.1</f>
        <v>0</v>
      </c>
      <c r="AI432" s="1">
        <f>IFERROR(VLOOKUP(X432,#REF!,8,FALSE),0)</f>
        <v>0</v>
      </c>
      <c r="AN432" s="1" t="str">
        <f>PROD_ID_TABLE[[#This Row],[PROD ID]]</f>
        <v>O FLAKE  -GROT40</v>
      </c>
      <c r="AO432" s="1" t="str">
        <f t="shared" ref="AO432:AO463" si="95">_xlfn.CONCAT(BD432:BF432)</f>
        <v>1-8IN DECO FLAKE  - 40LB BAGGRAY PARROT40LB BAG</v>
      </c>
      <c r="AP432" s="3">
        <f t="shared" si="75"/>
        <v>110</v>
      </c>
      <c r="AQ432" s="1" t="str">
        <f t="shared" ref="AQ432:AQ463" si="96">BF432</f>
        <v>40LB BAG</v>
      </c>
      <c r="AR432" s="1" t="str">
        <f t="shared" si="89"/>
        <v>1-8IN DECO FLAKE  - 40LB BAGGRAY PARROT40LB BAG</v>
      </c>
      <c r="AS432" s="1" t="str">
        <f t="shared" ref="AS432:AS463" si="97">BE432</f>
        <v>GRAY PARROT</v>
      </c>
      <c r="AT432"/>
      <c r="AU432"/>
      <c r="AV432"/>
      <c r="AY432" t="str">
        <f t="shared" si="90"/>
        <v>O FLAKE  -GROT40</v>
      </c>
      <c r="AZ432" s="1" t="str">
        <f t="shared" ref="AZ432:AZ463" si="98">MID(BD432,10,10)</f>
        <v>O FLAKE  -</v>
      </c>
      <c r="BA432" t="str">
        <f t="shared" ref="BA432:BA463" si="99">LEFT(BE432,2)&amp;RIGHT(BE432,2)</f>
        <v>GROT</v>
      </c>
      <c r="BB432" s="1" t="str">
        <f t="shared" ref="BB432:BB463" si="100">LEFT(BF432,2)</f>
        <v>40</v>
      </c>
      <c r="BC432" s="1">
        <f t="shared" si="88"/>
        <v>110</v>
      </c>
      <c r="BD432" s="1" t="s">
        <v>741</v>
      </c>
      <c r="BE432" s="1" t="s">
        <v>812</v>
      </c>
      <c r="BF432" s="1" t="s">
        <v>414</v>
      </c>
      <c r="BG432" s="1" t="s">
        <v>390</v>
      </c>
      <c r="BH432" s="1" t="str">
        <f t="shared" si="76"/>
        <v>GRAY PARROT</v>
      </c>
    </row>
    <row r="433" spans="21:60" x14ac:dyDescent="0.35">
      <c r="V433" s="1" t="str">
        <v xml:space="preserve">3746 HIGH ULSE15 </v>
      </c>
      <c r="X433" s="1" t="str">
        <f t="shared" si="80"/>
        <v xml:space="preserve">3746 HIGH CHAL15 </v>
      </c>
      <c r="Y433" s="1" t="str" cm="1">
        <f t="array" ref="Y433">IFERROR(VLOOKUP($X433,$AN:AO,COLUMN(AO:AO)-COLUMN($AN:$AN)+1,FALSE),"")</f>
        <v>RESUFLOR 3746 HIGH PERFORMANCE EPOXYCHARCOAL15 GAL</v>
      </c>
      <c r="Z433" s="63" cm="1">
        <f t="array" ref="Z433">IFERROR(VLOOKUP($X433,$AN:AP,COLUMN(AP:AP)-COLUMN($AN:$AN)+1,FALSE),"")</f>
        <v>982.21</v>
      </c>
      <c r="AA433" s="1" t="str" cm="1">
        <f t="array" ref="AA433">IFERROR(VLOOKUP($X433,$AN:AQ,COLUMN(AQ:AQ)-COLUMN($AN:$AN)+1,FALSE),"")</f>
        <v>15 GAL</v>
      </c>
      <c r="AC433" s="1" t="str" cm="1">
        <f t="array" ref="AC433">IFERROR(VLOOKUP($X433,$AN:AS,COLUMN(AS:AS)-COLUMN($AN:$AN)+1,FALSE),"")</f>
        <v>CHARCOAL</v>
      </c>
      <c r="AD433" s="1" t="s">
        <v>19</v>
      </c>
      <c r="AF433" s="1">
        <f>Table1[[#This Row],[C:C]]*1.1</f>
        <v>0</v>
      </c>
      <c r="AI433" s="1">
        <f>IFERROR(VLOOKUP(X433,#REF!,8,FALSE),0)</f>
        <v>0</v>
      </c>
      <c r="AN433" s="1" t="str">
        <f>PROD_ID_TABLE[[#This Row],[PROD ID]]</f>
        <v>O FLAKE  -GREL40</v>
      </c>
      <c r="AO433" s="1" t="str">
        <f t="shared" si="95"/>
        <v>1-8IN DECO FLAKE  - 40LB BAGGRAY SQUIRREL40LB BAG</v>
      </c>
      <c r="AP433" s="3">
        <f t="shared" si="75"/>
        <v>110</v>
      </c>
      <c r="AQ433" s="1" t="str">
        <f t="shared" si="96"/>
        <v>40LB BAG</v>
      </c>
      <c r="AR433" s="1" t="str">
        <f t="shared" si="89"/>
        <v>1-8IN DECO FLAKE  - 40LB BAGGRAY SQUIRREL40LB BAG</v>
      </c>
      <c r="AS433" s="1" t="str">
        <f t="shared" si="97"/>
        <v>GRAY SQUIRREL</v>
      </c>
      <c r="AT433"/>
      <c r="AU433"/>
      <c r="AV433"/>
      <c r="AY433" t="str">
        <f t="shared" si="90"/>
        <v>O FLAKE  -GREL40</v>
      </c>
      <c r="AZ433" s="1" t="str">
        <f t="shared" si="98"/>
        <v>O FLAKE  -</v>
      </c>
      <c r="BA433" t="str">
        <f t="shared" si="99"/>
        <v>GREL</v>
      </c>
      <c r="BB433" s="1" t="str">
        <f t="shared" si="100"/>
        <v>40</v>
      </c>
      <c r="BC433" s="1">
        <f t="shared" si="88"/>
        <v>110</v>
      </c>
      <c r="BD433" s="1" t="s">
        <v>741</v>
      </c>
      <c r="BE433" s="1" t="s">
        <v>815</v>
      </c>
      <c r="BF433" s="1" t="s">
        <v>414</v>
      </c>
      <c r="BG433" s="1" t="s">
        <v>390</v>
      </c>
      <c r="BH433" s="1" t="str">
        <f t="shared" si="76"/>
        <v>GRAY SQUIRREL</v>
      </c>
    </row>
    <row r="434" spans="21:60" x14ac:dyDescent="0.35">
      <c r="V434" s="1" t="str">
        <v xml:space="preserve">3746 HIGH WHSE15 </v>
      </c>
      <c r="X434" s="1" t="str">
        <f t="shared" si="80"/>
        <v xml:space="preserve">3746 HIGH STAY15 </v>
      </c>
      <c r="Y434" s="1" t="str" cm="1">
        <f t="array" ref="Y434">IFERROR(VLOOKUP($X434,$AN:AO,COLUMN(AO:AO)-COLUMN($AN:$AN)+1,FALSE),"")</f>
        <v>RESUFLOR 3746 HIGH PERFORMANCE EPOXYSTEEL GRAY15 GAL</v>
      </c>
      <c r="Z434" s="63" cm="1">
        <f t="array" ref="Z434">IFERROR(VLOOKUP($X434,$AN:AP,COLUMN(AP:AP)-COLUMN($AN:$AN)+1,FALSE),"")</f>
        <v>982.21</v>
      </c>
      <c r="AA434" s="1" t="str" cm="1">
        <f t="array" ref="AA434">IFERROR(VLOOKUP($X434,$AN:AQ,COLUMN(AQ:AQ)-COLUMN($AN:$AN)+1,FALSE),"")</f>
        <v>15 GAL</v>
      </c>
      <c r="AC434" s="1" t="str" cm="1">
        <f t="array" ref="AC434">IFERROR(VLOOKUP($X434,$AN:AS,COLUMN(AS:AS)-COLUMN($AN:$AN)+1,FALSE),"")</f>
        <v>STEEL GRAY</v>
      </c>
      <c r="AD434" s="1" t="s">
        <v>19</v>
      </c>
      <c r="AF434" s="1">
        <f>Table1[[#This Row],[C:C]]*1.1</f>
        <v>0</v>
      </c>
      <c r="AI434" s="1">
        <f>IFERROR(VLOOKUP(X434,#REF!,8,FALSE),0)</f>
        <v>0</v>
      </c>
      <c r="AN434" s="1" t="str">
        <f>PROD_ID_TABLE[[#This Row],[PROD ID]]</f>
        <v>O FLAKE  -GRND40</v>
      </c>
      <c r="AO434" s="1" t="str">
        <f t="shared" si="95"/>
        <v>1-8IN DECO FLAKE  - 40LB BAGGREYHOUND40LB BAG</v>
      </c>
      <c r="AP434" s="3">
        <f t="shared" si="75"/>
        <v>110</v>
      </c>
      <c r="AQ434" s="1" t="str">
        <f t="shared" si="96"/>
        <v>40LB BAG</v>
      </c>
      <c r="AR434" s="1" t="str">
        <f t="shared" si="89"/>
        <v>1-8IN DECO FLAKE  - 40LB BAGGREYHOUND40LB BAG</v>
      </c>
      <c r="AS434" s="1" t="str">
        <f t="shared" si="97"/>
        <v>GREYHOUND</v>
      </c>
      <c r="AT434"/>
      <c r="AU434"/>
      <c r="AV434"/>
      <c r="AY434" s="63" t="str">
        <f t="shared" si="90"/>
        <v>O FLAKE  -GRND40</v>
      </c>
      <c r="AZ434" s="63" t="str">
        <f t="shared" si="98"/>
        <v>O FLAKE  -</v>
      </c>
      <c r="BA434" s="63" t="str">
        <f t="shared" si="99"/>
        <v>GRND</v>
      </c>
      <c r="BB434" s="63" t="str">
        <f t="shared" si="100"/>
        <v>40</v>
      </c>
      <c r="BC434" s="135">
        <f t="shared" si="88"/>
        <v>110</v>
      </c>
      <c r="BD434" s="1" t="s">
        <v>741</v>
      </c>
      <c r="BE434" s="1" t="s">
        <v>817</v>
      </c>
      <c r="BF434" s="1" t="s">
        <v>414</v>
      </c>
      <c r="BG434" s="1" t="s">
        <v>390</v>
      </c>
      <c r="BH434" s="1" t="str">
        <f t="shared" si="76"/>
        <v>GREYHOUND</v>
      </c>
    </row>
    <row r="435" spans="21:60" x14ac:dyDescent="0.35">
      <c r="V435" s="1" t="str">
        <v>3741 CHEMISTAY3 G</v>
      </c>
      <c r="X435" s="1" t="str">
        <f t="shared" si="80"/>
        <v xml:space="preserve">3746 HIGH BOTE15 </v>
      </c>
      <c r="Y435" s="1" t="str" cm="1">
        <f t="array" ref="Y435">IFERROR(VLOOKUP($X435,$AN:AO,COLUMN(AO:AO)-COLUMN($AN:$AN)+1,FALSE),"")</f>
        <v>RESUFLOR 3746 HIGH PERFORMANCE EPOXYBONE WHITE15 GAL</v>
      </c>
      <c r="Z435" s="63" cm="1">
        <f t="array" ref="Z435">IFERROR(VLOOKUP($X435,$AN:AP,COLUMN(AP:AP)-COLUMN($AN:$AN)+1,FALSE),"")</f>
        <v>982.21</v>
      </c>
      <c r="AA435" s="1" t="str" cm="1">
        <f t="array" ref="AA435">IFERROR(VLOOKUP($X435,$AN:AQ,COLUMN(AQ:AQ)-COLUMN($AN:$AN)+1,FALSE),"")</f>
        <v>15 GAL</v>
      </c>
      <c r="AC435" s="1" t="str" cm="1">
        <f t="array" ref="AC435">IFERROR(VLOOKUP($X435,$AN:AS,COLUMN(AS:AS)-COLUMN($AN:$AN)+1,FALSE),"")</f>
        <v>BONE WHITE</v>
      </c>
      <c r="AD435" s="1" t="s">
        <v>19</v>
      </c>
      <c r="AF435" s="1">
        <f>Table1[[#This Row],[C:C]]*1.1</f>
        <v>0</v>
      </c>
      <c r="AI435" s="1">
        <f>IFERROR(VLOOKUP(X435,#REF!,8,FALSE),0)</f>
        <v>0</v>
      </c>
      <c r="AN435" s="1" t="str">
        <f>PROD_ID_TABLE[[#This Row],[PROD ID]]</f>
        <v>O FLAKE  -HUAY40</v>
      </c>
      <c r="AO435" s="1" t="str">
        <f t="shared" si="95"/>
        <v>1-8IN DECO FLAKE  - 40LB BAGHUSKY GRAY40LB BAG</v>
      </c>
      <c r="AP435" s="3">
        <f t="shared" si="75"/>
        <v>110</v>
      </c>
      <c r="AQ435" s="1" t="str">
        <f t="shared" si="96"/>
        <v>40LB BAG</v>
      </c>
      <c r="AR435" s="1" t="str">
        <f t="shared" si="89"/>
        <v>1-8IN DECO FLAKE  - 40LB BAGHUSKY GRAY40LB BAG</v>
      </c>
      <c r="AS435" s="1" t="str">
        <f t="shared" si="97"/>
        <v>HUSKY GRAY</v>
      </c>
      <c r="AT435"/>
      <c r="AU435"/>
      <c r="AV435"/>
      <c r="AY435" s="63" t="str">
        <f t="shared" si="90"/>
        <v>O FLAKE  -HUAY40</v>
      </c>
      <c r="AZ435" s="63" t="str">
        <f t="shared" si="98"/>
        <v>O FLAKE  -</v>
      </c>
      <c r="BA435" s="63" t="str">
        <f t="shared" si="99"/>
        <v>HUAY</v>
      </c>
      <c r="BB435" s="63" t="str">
        <f t="shared" si="100"/>
        <v>40</v>
      </c>
      <c r="BC435" s="135">
        <f t="shared" si="88"/>
        <v>110</v>
      </c>
      <c r="BD435" s="1" t="s">
        <v>741</v>
      </c>
      <c r="BE435" s="1" t="s">
        <v>811</v>
      </c>
      <c r="BF435" s="1" t="s">
        <v>414</v>
      </c>
      <c r="BG435" s="1" t="s">
        <v>390</v>
      </c>
      <c r="BH435" s="1" t="str">
        <f t="shared" si="76"/>
        <v>HUSKY GRAY</v>
      </c>
    </row>
    <row r="436" spans="21:60" x14ac:dyDescent="0.35">
      <c r="V436" s="1" t="str">
        <v>3741 CHEMICLLE3 G</v>
      </c>
      <c r="X436" s="1" t="str">
        <f t="shared" si="80"/>
        <v xml:space="preserve">3746 HIGH SIAY15 </v>
      </c>
      <c r="Y436" s="1" t="str" cm="1">
        <f t="array" ref="Y436">IFERROR(VLOOKUP($X436,$AN:AO,COLUMN(AO:AO)-COLUMN($AN:$AN)+1,FALSE),"")</f>
        <v>RESUFLOR 3746 HIGH PERFORMANCE EPOXYSILVER GRAY15 GAL</v>
      </c>
      <c r="Z436" s="63" cm="1">
        <f t="array" ref="Z436">IFERROR(VLOOKUP($X436,$AN:AP,COLUMN(AP:AP)-COLUMN($AN:$AN)+1,FALSE),"")</f>
        <v>982.21</v>
      </c>
      <c r="AA436" s="1" t="str" cm="1">
        <f t="array" ref="AA436">IFERROR(VLOOKUP($X436,$AN:AQ,COLUMN(AQ:AQ)-COLUMN($AN:$AN)+1,FALSE),"")</f>
        <v>15 GAL</v>
      </c>
      <c r="AC436" s="1" t="str" cm="1">
        <f t="array" ref="AC436">IFERROR(VLOOKUP($X436,$AN:AS,COLUMN(AS:AS)-COLUMN($AN:$AN)+1,FALSE),"")</f>
        <v>SILVER GRAY</v>
      </c>
      <c r="AD436" s="1" t="s">
        <v>19</v>
      </c>
      <c r="AF436" s="1">
        <f>Table1[[#This Row],[C:C]]*1.1</f>
        <v>0</v>
      </c>
      <c r="AI436" s="1">
        <f>IFERROR(VLOOKUP(X436,#REF!,8,FALSE),0)</f>
        <v>0</v>
      </c>
      <c r="AN436" s="1" t="str">
        <f>PROD_ID_TABLE[[#This Row],[PROD ID]]</f>
        <v>O FLAKE  -KIKE40</v>
      </c>
      <c r="AO436" s="1" t="str">
        <f t="shared" si="95"/>
        <v>1-8IN DECO FLAKE  - 40LB BAGKINGSNAKE40LB BAG</v>
      </c>
      <c r="AP436" s="3">
        <f t="shared" si="75"/>
        <v>110</v>
      </c>
      <c r="AQ436" s="1" t="str">
        <f t="shared" si="96"/>
        <v>40LB BAG</v>
      </c>
      <c r="AR436" s="1" t="str">
        <f t="shared" si="89"/>
        <v>1-8IN DECO FLAKE  - 40LB BAGKINGSNAKE40LB BAG</v>
      </c>
      <c r="AS436" s="1" t="str">
        <f t="shared" si="97"/>
        <v>KINGSNAKE</v>
      </c>
      <c r="AT436"/>
      <c r="AU436"/>
      <c r="AV436"/>
      <c r="AY436" s="63" t="str">
        <f t="shared" si="90"/>
        <v>O FLAKE  -KIKE40</v>
      </c>
      <c r="AZ436" s="63" t="str">
        <f t="shared" si="98"/>
        <v>O FLAKE  -</v>
      </c>
      <c r="BA436" s="63" t="str">
        <f t="shared" si="99"/>
        <v>KIKE</v>
      </c>
      <c r="BB436" s="63" t="str">
        <f t="shared" si="100"/>
        <v>40</v>
      </c>
      <c r="BC436" s="135">
        <f t="shared" si="88"/>
        <v>110</v>
      </c>
      <c r="BD436" s="1" t="s">
        <v>741</v>
      </c>
      <c r="BE436" s="1" t="s">
        <v>820</v>
      </c>
      <c r="BF436" s="1" t="s">
        <v>414</v>
      </c>
      <c r="BG436" s="1" t="s">
        <v>390</v>
      </c>
      <c r="BH436" s="1" t="str">
        <f t="shared" si="76"/>
        <v>KINGSNAKE</v>
      </c>
    </row>
    <row r="437" spans="21:60" x14ac:dyDescent="0.35">
      <c r="V437" s="1" t="str">
        <v>3741 CHEMICAAY3 G</v>
      </c>
      <c r="X437" s="1" t="str">
        <f t="shared" si="80"/>
        <v xml:space="preserve">3746 HIGH BLCK15 </v>
      </c>
      <c r="Y437" s="1" t="str" cm="1">
        <f t="array" ref="Y437">IFERROR(VLOOKUP($X437,$AN:AO,COLUMN(AO:AO)-COLUMN($AN:$AN)+1,FALSE),"")</f>
        <v>RESUFLOR 3746 HIGH PERFORMANCE EPOXYBLACK15 GAL</v>
      </c>
      <c r="Z437" s="63" cm="1">
        <f t="array" ref="Z437">IFERROR(VLOOKUP($X437,$AN:AP,COLUMN(AP:AP)-COLUMN($AN:$AN)+1,FALSE),"")</f>
        <v>982.21</v>
      </c>
      <c r="AA437" s="1" t="str" cm="1">
        <f t="array" ref="AA437">IFERROR(VLOOKUP($X437,$AN:AQ,COLUMN(AQ:AQ)-COLUMN($AN:$AN)+1,FALSE),"")</f>
        <v>15 GAL</v>
      </c>
      <c r="AC437" s="1" t="str" cm="1">
        <f t="array" ref="AC437">IFERROR(VLOOKUP($X437,$AN:AS,COLUMN(AS:AS)-COLUMN($AN:$AN)+1,FALSE),"")</f>
        <v>BLACK</v>
      </c>
      <c r="AD437" s="1" t="s">
        <v>19</v>
      </c>
      <c r="AF437" s="1">
        <f>Table1[[#This Row],[C:C]]*1.1</f>
        <v>0</v>
      </c>
      <c r="AI437" s="1">
        <f>IFERROR(VLOOKUP(X437,#REF!,8,FALSE),0)</f>
        <v>0</v>
      </c>
      <c r="AN437" s="1" t="str">
        <f>PROD_ID_TABLE[[#This Row],[PROD ID]]</f>
        <v>O FLAKE  -KIIN40</v>
      </c>
      <c r="AO437" s="1" t="str">
        <f t="shared" si="95"/>
        <v>1-8IN DECO FLAKE  - 40LB BAGKIWI SKIN40LB BAG</v>
      </c>
      <c r="AP437" s="3">
        <f t="shared" si="75"/>
        <v>110</v>
      </c>
      <c r="AQ437" s="1" t="str">
        <f t="shared" si="96"/>
        <v>40LB BAG</v>
      </c>
      <c r="AR437" s="1" t="str">
        <f t="shared" si="89"/>
        <v>1-8IN DECO FLAKE  - 40LB BAGKIWI SKIN40LB BAG</v>
      </c>
      <c r="AS437" s="1" t="str">
        <f t="shared" si="97"/>
        <v>KIWI SKIN</v>
      </c>
      <c r="AT437"/>
      <c r="AU437"/>
      <c r="AV437"/>
      <c r="AY437" s="63" t="str">
        <f t="shared" si="90"/>
        <v>O FLAKE  -KIIN40</v>
      </c>
      <c r="AZ437" s="63" t="str">
        <f t="shared" si="98"/>
        <v>O FLAKE  -</v>
      </c>
      <c r="BA437" s="63" t="str">
        <f t="shared" si="99"/>
        <v>KIIN</v>
      </c>
      <c r="BB437" s="63" t="str">
        <f t="shared" si="100"/>
        <v>40</v>
      </c>
      <c r="BC437" s="135">
        <f t="shared" si="88"/>
        <v>110</v>
      </c>
      <c r="BD437" s="1" t="s">
        <v>741</v>
      </c>
      <c r="BE437" s="1" t="s">
        <v>806</v>
      </c>
      <c r="BF437" s="1" t="s">
        <v>414</v>
      </c>
      <c r="BG437" s="1" t="s">
        <v>390</v>
      </c>
      <c r="BH437" s="1" t="str">
        <f t="shared" si="76"/>
        <v>KIWI SKIN</v>
      </c>
    </row>
    <row r="438" spans="21:60" x14ac:dyDescent="0.35">
      <c r="V438" s="1" t="str">
        <v>3741 CHEMICUOM3 G</v>
      </c>
      <c r="X438" s="1" t="str">
        <f t="shared" si="80"/>
        <v xml:space="preserve">3746 HIGH PANT15 </v>
      </c>
      <c r="Y438" s="1" t="str" cm="1">
        <f t="array" ref="Y438">IFERROR(VLOOKUP($X438,$AN:AO,COLUMN(AO:AO)-COLUMN($AN:$AN)+1,FALSE),"")</f>
        <v>RESUFLOR 3746 HIGH PERFORMANCE EPOXYPARCHMENT15 GAL</v>
      </c>
      <c r="Z438" s="63" cm="1">
        <f t="array" ref="Z438">IFERROR(VLOOKUP($X438,$AN:AP,COLUMN(AP:AP)-COLUMN($AN:$AN)+1,FALSE),"")</f>
        <v>982.21</v>
      </c>
      <c r="AA438" s="1" t="str" cm="1">
        <f t="array" ref="AA438">IFERROR(VLOOKUP($X438,$AN:AQ,COLUMN(AQ:AQ)-COLUMN($AN:$AN)+1,FALSE),"")</f>
        <v>15 GAL</v>
      </c>
      <c r="AC438" s="1" t="str" cm="1">
        <f t="array" ref="AC438">IFERROR(VLOOKUP($X438,$AN:AS,COLUMN(AS:AS)-COLUMN($AN:$AN)+1,FALSE),"")</f>
        <v>PARCHMENT</v>
      </c>
      <c r="AD438" s="1" t="s">
        <v>19</v>
      </c>
      <c r="AF438" s="1">
        <f>Table1[[#This Row],[C:C]]*1.1</f>
        <v>0</v>
      </c>
      <c r="AI438" s="1">
        <f>IFERROR(VLOOKUP(X438,#REF!,8,FALSE),0)</f>
        <v>0</v>
      </c>
      <c r="AN438" s="1" t="str">
        <f>PROD_ID_TABLE[[#This Row],[PROD ID]]</f>
        <v>O FLAKE  -KOAT40</v>
      </c>
      <c r="AO438" s="1" t="str">
        <f t="shared" si="95"/>
        <v>1-8IN DECO FLAKE  - 40LB BAGKORAT40LB BAG</v>
      </c>
      <c r="AP438" s="3">
        <f t="shared" si="75"/>
        <v>110</v>
      </c>
      <c r="AQ438" s="1" t="str">
        <f t="shared" si="96"/>
        <v>40LB BAG</v>
      </c>
      <c r="AR438" s="1" t="str">
        <f t="shared" si="89"/>
        <v>1-8IN DECO FLAKE  - 40LB BAGKORAT40LB BAG</v>
      </c>
      <c r="AS438" s="1" t="str">
        <f t="shared" si="97"/>
        <v>KORAT</v>
      </c>
      <c r="AT438"/>
      <c r="AU438"/>
      <c r="AV438"/>
      <c r="AY438" s="63" t="str">
        <f t="shared" si="90"/>
        <v>O FLAKE  -KOAT40</v>
      </c>
      <c r="AZ438" s="63" t="str">
        <f t="shared" si="98"/>
        <v>O FLAKE  -</v>
      </c>
      <c r="BA438" s="63" t="str">
        <f t="shared" si="99"/>
        <v>KOAT</v>
      </c>
      <c r="BB438" s="63" t="str">
        <f t="shared" si="100"/>
        <v>40</v>
      </c>
      <c r="BC438" s="135">
        <f t="shared" si="88"/>
        <v>110</v>
      </c>
      <c r="BD438" s="1" t="s">
        <v>741</v>
      </c>
      <c r="BE438" s="1" t="s">
        <v>829</v>
      </c>
      <c r="BF438" s="1" t="s">
        <v>414</v>
      </c>
      <c r="BG438" s="1" t="s">
        <v>390</v>
      </c>
      <c r="BH438" s="1" t="str">
        <f t="shared" si="76"/>
        <v>KORAT</v>
      </c>
    </row>
    <row r="439" spans="21:60" x14ac:dyDescent="0.35">
      <c r="U439" s="1" t="b">
        <f>Table1[[#This Row],[Product '#]]=V439</f>
        <v>0</v>
      </c>
      <c r="V439" s="1" t="str">
        <v xml:space="preserve">3741 CHEMISTAY15 </v>
      </c>
      <c r="X439" s="1" t="str">
        <f t="shared" si="80"/>
        <v xml:space="preserve">3746 HIGH SAED15 </v>
      </c>
      <c r="Y439" s="1" t="str" cm="1">
        <f t="array" ref="Y439">IFERROR(VLOOKUP($X439,$AN:AO,COLUMN(AO:AO)-COLUMN($AN:$AN)+1,FALSE),"")</f>
        <v>RESUFLOR 3746 HIGH PERFORMANCE EPOXYSAFETY RED15 GAL</v>
      </c>
      <c r="Z439" s="63" cm="1">
        <f t="array" ref="Z439">IFERROR(VLOOKUP($X439,$AN:AP,COLUMN(AP:AP)-COLUMN($AN:$AN)+1,FALSE),"")</f>
        <v>982.21</v>
      </c>
      <c r="AA439" s="1" t="str" cm="1">
        <f t="array" ref="AA439">IFERROR(VLOOKUP($X439,$AN:AQ,COLUMN(AQ:AQ)-COLUMN($AN:$AN)+1,FALSE),"")</f>
        <v>15 GAL</v>
      </c>
      <c r="AC439" s="1" t="str" cm="1">
        <f t="array" ref="AC439">IFERROR(VLOOKUP($X439,$AN:AS,COLUMN(AS:AS)-COLUMN($AN:$AN)+1,FALSE),"")</f>
        <v>SAFETY RED</v>
      </c>
      <c r="AD439" s="1" t="s">
        <v>19</v>
      </c>
      <c r="AF439" s="1">
        <f>Table1[[#This Row],[C:C]]*1.1</f>
        <v>0</v>
      </c>
      <c r="AI439" s="1">
        <f>IFERROR(VLOOKUP(X439,#REF!,8,FALSE),0)</f>
        <v>0</v>
      </c>
      <c r="AN439" s="1" t="str">
        <f>PROD_ID_TABLE[[#This Row],[PROD ID]]</f>
        <v>O FLAKE  -LINE40</v>
      </c>
      <c r="AO439" s="1" t="str">
        <f t="shared" si="95"/>
        <v>1-8IN DECO FLAKE  - 40LB BAGLIMESTONE40LB BAG</v>
      </c>
      <c r="AP439" s="3">
        <f t="shared" si="75"/>
        <v>110</v>
      </c>
      <c r="AQ439" s="1" t="str">
        <f t="shared" si="96"/>
        <v>40LB BAG</v>
      </c>
      <c r="AR439" s="1" t="str">
        <f t="shared" si="89"/>
        <v>1-8IN DECO FLAKE  - 40LB BAGLIMESTONE40LB BAG</v>
      </c>
      <c r="AS439" s="1" t="str">
        <f t="shared" si="97"/>
        <v>LIMESTONE</v>
      </c>
      <c r="AT439"/>
      <c r="AU439"/>
      <c r="AV439"/>
      <c r="AY439" s="63" t="str">
        <f t="shared" si="90"/>
        <v>O FLAKE  -LINE40</v>
      </c>
      <c r="AZ439" s="63" t="str">
        <f t="shared" si="98"/>
        <v>O FLAKE  -</v>
      </c>
      <c r="BA439" s="63" t="str">
        <f t="shared" si="99"/>
        <v>LINE</v>
      </c>
      <c r="BB439" s="63" t="str">
        <f t="shared" si="100"/>
        <v>40</v>
      </c>
      <c r="BC439" s="135">
        <f t="shared" si="88"/>
        <v>110</v>
      </c>
      <c r="BD439" s="1" t="s">
        <v>741</v>
      </c>
      <c r="BE439" s="1" t="s">
        <v>808</v>
      </c>
      <c r="BF439" s="1" t="s">
        <v>414</v>
      </c>
      <c r="BG439" s="1" t="s">
        <v>390</v>
      </c>
      <c r="BH439" s="1" t="str">
        <f t="shared" si="76"/>
        <v>LIMESTONE</v>
      </c>
    </row>
    <row r="440" spans="21:60" x14ac:dyDescent="0.35">
      <c r="U440" s="1">
        <f>VLOOKUP(V439,X:Z,3,FALSE)</f>
        <v>1900.58</v>
      </c>
      <c r="V440" s="1" t="str">
        <v xml:space="preserve">3741 CHEMICLLE15 </v>
      </c>
      <c r="X440" s="1" t="str">
        <f t="shared" si="80"/>
        <v xml:space="preserve">3746 HIGH SAOW15 </v>
      </c>
      <c r="Y440" s="1" t="str" cm="1">
        <f t="array" ref="Y440">IFERROR(VLOOKUP($X440,$AN:AO,COLUMN(AO:AO)-COLUMN($AN:$AN)+1,FALSE),"")</f>
        <v>RESUFLOR 3746 HIGH PERFORMANCE EPOXYSAFETY YELLOW15 GAL</v>
      </c>
      <c r="Z440" s="63" cm="1">
        <f t="array" ref="Z440">IFERROR(VLOOKUP($X440,$AN:AP,COLUMN(AP:AP)-COLUMN($AN:$AN)+1,FALSE),"")</f>
        <v>982.21</v>
      </c>
      <c r="AA440" s="1" t="str" cm="1">
        <f t="array" ref="AA440">IFERROR(VLOOKUP($X440,$AN:AQ,COLUMN(AQ:AQ)-COLUMN($AN:$AN)+1,FALSE),"")</f>
        <v>15 GAL</v>
      </c>
      <c r="AC440" s="1" t="str" cm="1">
        <f t="array" ref="AC440">IFERROR(VLOOKUP($X440,$AN:AS,COLUMN(AS:AS)-COLUMN($AN:$AN)+1,FALSE),"")</f>
        <v>SAFETY YELLOW</v>
      </c>
      <c r="AD440" s="1" t="s">
        <v>19</v>
      </c>
      <c r="AF440" s="1">
        <f>Table1[[#This Row],[C:C]]*1.1</f>
        <v>0</v>
      </c>
      <c r="AI440" s="1">
        <f>IFERROR(VLOOKUP(X440,#REF!,8,FALSE),0)</f>
        <v>0</v>
      </c>
      <c r="AN440" s="1" t="str">
        <f>PROD_ID_TABLE[[#This Row],[PROD ID]]</f>
        <v>O FLAKE  -MAEL40</v>
      </c>
      <c r="AO440" s="1" t="str">
        <f t="shared" si="95"/>
        <v>1-8IN DECO FLAKE  - 40LB BAGMACKEREL40LB BAG</v>
      </c>
      <c r="AP440" s="3">
        <f t="shared" si="75"/>
        <v>110</v>
      </c>
      <c r="AQ440" s="1" t="str">
        <f t="shared" si="96"/>
        <v>40LB BAG</v>
      </c>
      <c r="AR440" s="1" t="str">
        <f t="shared" si="89"/>
        <v>1-8IN DECO FLAKE  - 40LB BAGMACKEREL40LB BAG</v>
      </c>
      <c r="AS440" s="1" t="str">
        <f t="shared" si="97"/>
        <v>MACKEREL</v>
      </c>
      <c r="AT440"/>
      <c r="AU440"/>
      <c r="AV440"/>
      <c r="AY440" s="63" t="str">
        <f t="shared" si="90"/>
        <v>O FLAKE  -MAEL40</v>
      </c>
      <c r="AZ440" s="63" t="str">
        <f t="shared" si="98"/>
        <v>O FLAKE  -</v>
      </c>
      <c r="BA440" s="63" t="str">
        <f t="shared" si="99"/>
        <v>MAEL</v>
      </c>
      <c r="BB440" s="63" t="str">
        <f t="shared" si="100"/>
        <v>40</v>
      </c>
      <c r="BC440" s="135">
        <f t="shared" si="88"/>
        <v>110</v>
      </c>
      <c r="BD440" s="1" t="s">
        <v>741</v>
      </c>
      <c r="BE440" s="1" t="s">
        <v>816</v>
      </c>
      <c r="BF440" s="1" t="s">
        <v>414</v>
      </c>
      <c r="BG440" s="1" t="s">
        <v>390</v>
      </c>
      <c r="BH440" s="1" t="str">
        <f t="shared" si="76"/>
        <v>MACKEREL</v>
      </c>
    </row>
    <row r="441" spans="21:60" x14ac:dyDescent="0.35">
      <c r="V441" s="1" t="str">
        <v xml:space="preserve">3741 CHEMICAAY15 </v>
      </c>
      <c r="X441" s="1" t="str">
        <f t="shared" si="80"/>
        <v xml:space="preserve">3746 HIGH ROUE15 </v>
      </c>
      <c r="Y441" s="1" t="str" cm="1">
        <f t="array" ref="Y441">IFERROR(VLOOKUP($X441,$AN:AO,COLUMN(AO:AO)-COLUMN($AN:$AN)+1,FALSE),"")</f>
        <v>RESUFLOR 3746 HIGH PERFORMANCE EPOXYROYAL BLUE15 GAL</v>
      </c>
      <c r="Z441" s="63" cm="1">
        <f t="array" ref="Z441">IFERROR(VLOOKUP($X441,$AN:AP,COLUMN(AP:AP)-COLUMN($AN:$AN)+1,FALSE),"")</f>
        <v>982.21</v>
      </c>
      <c r="AA441" s="1" t="str" cm="1">
        <f t="array" ref="AA441">IFERROR(VLOOKUP($X441,$AN:AQ,COLUMN(AQ:AQ)-COLUMN($AN:$AN)+1,FALSE),"")</f>
        <v>15 GAL</v>
      </c>
      <c r="AC441" s="1" t="str" cm="1">
        <f t="array" ref="AC441">IFERROR(VLOOKUP($X441,$AN:AS,COLUMN(AS:AS)-COLUMN($AN:$AN)+1,FALSE),"")</f>
        <v>ROYAL BLUE</v>
      </c>
      <c r="AD441" s="1" t="s">
        <v>19</v>
      </c>
      <c r="AF441" s="1">
        <f>Table1[[#This Row],[C:C]]*1.1</f>
        <v>0</v>
      </c>
      <c r="AI441" s="1">
        <f>IFERROR(VLOOKUP(X441,#REF!,8,FALSE),0)</f>
        <v>0</v>
      </c>
      <c r="AN441" s="1" t="str">
        <f>PROD_ID_TABLE[[#This Row],[PROD ID]]</f>
        <v>O FLAKE  -METE40</v>
      </c>
      <c r="AO441" s="1" t="str">
        <f t="shared" si="95"/>
        <v>1-8IN DECO FLAKE  - 40LB BAGMETEORITE40LB BAG</v>
      </c>
      <c r="AP441" s="3">
        <f t="shared" si="75"/>
        <v>110</v>
      </c>
      <c r="AQ441" s="1" t="str">
        <f t="shared" si="96"/>
        <v>40LB BAG</v>
      </c>
      <c r="AR441" s="1" t="str">
        <f t="shared" si="89"/>
        <v>1-8IN DECO FLAKE  - 40LB BAGMETEORITE40LB BAG</v>
      </c>
      <c r="AS441" s="1" t="str">
        <f t="shared" si="97"/>
        <v>METEORITE</v>
      </c>
      <c r="AT441"/>
      <c r="AU441"/>
      <c r="AV441"/>
      <c r="AY441" s="63" t="str">
        <f t="shared" si="90"/>
        <v>O FLAKE  -METE40</v>
      </c>
      <c r="AZ441" s="63" t="str">
        <f t="shared" si="98"/>
        <v>O FLAKE  -</v>
      </c>
      <c r="BA441" s="63" t="str">
        <f t="shared" si="99"/>
        <v>METE</v>
      </c>
      <c r="BB441" s="63" t="str">
        <f t="shared" si="100"/>
        <v>40</v>
      </c>
      <c r="BC441" s="135">
        <f t="shared" si="88"/>
        <v>110</v>
      </c>
      <c r="BD441" s="1" t="s">
        <v>741</v>
      </c>
      <c r="BE441" s="1" t="s">
        <v>825</v>
      </c>
      <c r="BF441" s="1" t="s">
        <v>414</v>
      </c>
      <c r="BG441" s="1" t="s">
        <v>390</v>
      </c>
      <c r="BH441" s="1" t="str">
        <f t="shared" si="76"/>
        <v>METEORITE</v>
      </c>
    </row>
    <row r="442" spans="21:60" x14ac:dyDescent="0.35">
      <c r="V442" s="1" t="str">
        <v xml:space="preserve">3741 CHEMICUOM15 </v>
      </c>
      <c r="X442" s="1" t="str">
        <f t="shared" si="80"/>
        <v xml:space="preserve">3746 HIGH PEER15 </v>
      </c>
      <c r="Y442" s="1" t="str" cm="1">
        <f t="array" ref="Y442">IFERROR(VLOOKUP($X442,$AN:AO,COLUMN(AO:AO)-COLUMN($AN:$AN)+1,FALSE),"")</f>
        <v>RESUFLOR 3746 HIGH PERFORMANCE EPOXYPEWTER15 GAL</v>
      </c>
      <c r="Z442" s="63" cm="1">
        <f t="array" ref="Z442">IFERROR(VLOOKUP($X442,$AN:AP,COLUMN(AP:AP)-COLUMN($AN:$AN)+1,FALSE),"")</f>
        <v>982.21</v>
      </c>
      <c r="AA442" s="1" t="str" cm="1">
        <f t="array" ref="AA442">IFERROR(VLOOKUP($X442,$AN:AQ,COLUMN(AQ:AQ)-COLUMN($AN:$AN)+1,FALSE),"")</f>
        <v>15 GAL</v>
      </c>
      <c r="AC442" s="1" t="str" cm="1">
        <f t="array" ref="AC442">IFERROR(VLOOKUP($X442,$AN:AS,COLUMN(AS:AS)-COLUMN($AN:$AN)+1,FALSE),"")</f>
        <v>PEWTER</v>
      </c>
      <c r="AD442" s="1" t="s">
        <v>19</v>
      </c>
      <c r="AF442" s="1">
        <f>Table1[[#This Row],[C:C]]*1.1</f>
        <v>0</v>
      </c>
      <c r="AI442" s="1">
        <f>IFERROR(VLOOKUP(X442,#REF!,8,FALSE),0)</f>
        <v>0</v>
      </c>
      <c r="AN442" s="1" t="str">
        <f>PROD_ID_TABLE[[#This Row],[PROD ID]]</f>
        <v>O FLAKE  -MOON40</v>
      </c>
      <c r="AO442" s="1" t="str">
        <f t="shared" si="95"/>
        <v>1-8IN DECO FLAKE  - 40LB BAGMOON40LB BAG</v>
      </c>
      <c r="AP442" s="3">
        <f t="shared" si="75"/>
        <v>110</v>
      </c>
      <c r="AQ442" s="1" t="str">
        <f t="shared" si="96"/>
        <v>40LB BAG</v>
      </c>
      <c r="AR442" s="1" t="str">
        <f t="shared" si="89"/>
        <v>1-8IN DECO FLAKE  - 40LB BAGMOON40LB BAG</v>
      </c>
      <c r="AS442" s="1" t="str">
        <f t="shared" si="97"/>
        <v>MOON</v>
      </c>
      <c r="AT442"/>
      <c r="AU442"/>
      <c r="AV442"/>
      <c r="AY442" s="63" t="str">
        <f t="shared" si="90"/>
        <v>O FLAKE  -MOON40</v>
      </c>
      <c r="AZ442" s="63" t="str">
        <f t="shared" si="98"/>
        <v>O FLAKE  -</v>
      </c>
      <c r="BA442" s="63" t="str">
        <f t="shared" si="99"/>
        <v>MOON</v>
      </c>
      <c r="BB442" s="63" t="str">
        <f t="shared" si="100"/>
        <v>40</v>
      </c>
      <c r="BC442" s="135">
        <f t="shared" si="88"/>
        <v>110</v>
      </c>
      <c r="BD442" s="1" t="s">
        <v>741</v>
      </c>
      <c r="BE442" s="1" t="s">
        <v>807</v>
      </c>
      <c r="BF442" s="1" t="s">
        <v>414</v>
      </c>
      <c r="BG442" s="1" t="s">
        <v>390</v>
      </c>
      <c r="BH442" s="1" t="str">
        <f t="shared" si="76"/>
        <v>MOON</v>
      </c>
    </row>
    <row r="443" spans="21:60" x14ac:dyDescent="0.35">
      <c r="V443" s="1" t="str">
        <v>3725 STATILIAY3 G</v>
      </c>
      <c r="X443" s="1" t="str">
        <f t="shared" si="80"/>
        <v xml:space="preserve">3746 HIGH CLLE15 </v>
      </c>
      <c r="Y443" s="1" t="str" cm="1">
        <f t="array" ref="Y443">IFERROR(VLOOKUP($X443,$AN:AO,COLUMN(AO:AO)-COLUMN($AN:$AN)+1,FALSE),"")</f>
        <v>RESUFLOR 3746 HIGH PERFORMANCE EPOXYCLASIC RED TILE15 GAL</v>
      </c>
      <c r="Z443" s="63" cm="1">
        <f t="array" ref="Z443">IFERROR(VLOOKUP($X443,$AN:AP,COLUMN(AP:AP)-COLUMN($AN:$AN)+1,FALSE),"")</f>
        <v>982.21</v>
      </c>
      <c r="AA443" s="1" t="str" cm="1">
        <f t="array" ref="AA443">IFERROR(VLOOKUP($X443,$AN:AQ,COLUMN(AQ:AQ)-COLUMN($AN:$AN)+1,FALSE),"")</f>
        <v>15 GAL</v>
      </c>
      <c r="AC443" s="1" t="str" cm="1">
        <f t="array" ref="AC443">IFERROR(VLOOKUP($X443,$AN:AS,COLUMN(AS:AS)-COLUMN($AN:$AN)+1,FALSE),"")</f>
        <v>CLASIC RED TILE</v>
      </c>
      <c r="AD443" s="1" t="s">
        <v>19</v>
      </c>
      <c r="AF443" s="1">
        <f>Table1[[#This Row],[C:C]]*1.1</f>
        <v>0</v>
      </c>
      <c r="AI443" s="1">
        <f>IFERROR(VLOOKUP(X443,#REF!,8,FALSE),0)</f>
        <v>0</v>
      </c>
      <c r="AN443" s="1" t="str">
        <f>PROD_ID_TABLE[[#This Row],[PROD ID]]</f>
        <v>O FLAKE  -MOSE40</v>
      </c>
      <c r="AO443" s="1" t="str">
        <f t="shared" si="95"/>
        <v>1-8IN DECO FLAKE  - 40LB BAGMOOSE40LB BAG</v>
      </c>
      <c r="AP443" s="3">
        <f t="shared" si="75"/>
        <v>110</v>
      </c>
      <c r="AQ443" s="1" t="str">
        <f t="shared" si="96"/>
        <v>40LB BAG</v>
      </c>
      <c r="AR443" s="1" t="str">
        <f t="shared" si="89"/>
        <v>1-8IN DECO FLAKE  - 40LB BAGMOOSE40LB BAG</v>
      </c>
      <c r="AS443" s="1" t="str">
        <f t="shared" si="97"/>
        <v>MOOSE</v>
      </c>
      <c r="AT443"/>
      <c r="AU443"/>
      <c r="AV443"/>
      <c r="AY443" s="63" t="str">
        <f t="shared" ref="AY443:AY474" si="101">_xlfn.CONCAT(AZ443:BB443)</f>
        <v>O FLAKE  -MOSE40</v>
      </c>
      <c r="AZ443" s="63" t="str">
        <f t="shared" si="98"/>
        <v>O FLAKE  -</v>
      </c>
      <c r="BA443" s="63" t="str">
        <f t="shared" si="99"/>
        <v>MOSE</v>
      </c>
      <c r="BB443" s="63" t="str">
        <f t="shared" si="100"/>
        <v>40</v>
      </c>
      <c r="BC443" s="135">
        <f t="shared" si="88"/>
        <v>110</v>
      </c>
      <c r="BD443" s="1" t="s">
        <v>741</v>
      </c>
      <c r="BE443" s="1" t="s">
        <v>804</v>
      </c>
      <c r="BF443" s="1" t="s">
        <v>414</v>
      </c>
      <c r="BG443" s="1" t="s">
        <v>390</v>
      </c>
      <c r="BH443" s="1" t="str">
        <f t="shared" si="76"/>
        <v>MOOSE</v>
      </c>
    </row>
    <row r="444" spans="21:60" x14ac:dyDescent="0.35">
      <c r="V444" s="1" t="str">
        <v>3725 STATIMEAY3 G</v>
      </c>
      <c r="X444" s="1" t="str">
        <f t="shared" si="80"/>
        <v xml:space="preserve">3746 HIGH CAEL15 </v>
      </c>
      <c r="Y444" s="1" t="str" cm="1">
        <f t="array" ref="Y444">IFERROR(VLOOKUP($X444,$AN:AO,COLUMN(AO:AO)-COLUMN($AN:$AN)+1,FALSE),"")</f>
        <v>RESUFLOR 3746 HIGH PERFORMANCE EPOXYCARAMEL15 GAL</v>
      </c>
      <c r="Z444" s="63" cm="1">
        <f t="array" ref="Z444">IFERROR(VLOOKUP($X444,$AN:AP,COLUMN(AP:AP)-COLUMN($AN:$AN)+1,FALSE),"")</f>
        <v>982.21</v>
      </c>
      <c r="AA444" s="1" t="str" cm="1">
        <f t="array" ref="AA444">IFERROR(VLOOKUP($X444,$AN:AQ,COLUMN(AQ:AQ)-COLUMN($AN:$AN)+1,FALSE),"")</f>
        <v>15 GAL</v>
      </c>
      <c r="AC444" s="1" t="str" cm="1">
        <f t="array" ref="AC444">IFERROR(VLOOKUP($X444,$AN:AS,COLUMN(AS:AS)-COLUMN($AN:$AN)+1,FALSE),"")</f>
        <v>CARAMEL</v>
      </c>
      <c r="AD444" s="1" t="s">
        <v>19</v>
      </c>
      <c r="AF444" s="1">
        <f>Table1[[#This Row],[C:C]]*1.1</f>
        <v>0</v>
      </c>
      <c r="AI444" s="1">
        <f>IFERROR(VLOOKUP(X444,#REF!,8,FALSE),0)</f>
        <v>0</v>
      </c>
      <c r="AN444" s="1" t="str">
        <f>PROD_ID_TABLE[[#This Row],[PROD ID]]</f>
        <v>O FLAKE  -MOOG40</v>
      </c>
      <c r="AO444" s="1" t="str">
        <f t="shared" si="95"/>
        <v>1-8IN DECO FLAKE  - 40LB BAGMOUNTAIN FOG40LB BAG</v>
      </c>
      <c r="AP444" s="3">
        <f t="shared" si="75"/>
        <v>110</v>
      </c>
      <c r="AQ444" s="1" t="str">
        <f t="shared" si="96"/>
        <v>40LB BAG</v>
      </c>
      <c r="AR444" s="1" t="str">
        <f t="shared" si="89"/>
        <v>1-8IN DECO FLAKE  - 40LB BAGMOUNTAIN FOG40LB BAG</v>
      </c>
      <c r="AS444" s="1" t="str">
        <f t="shared" si="97"/>
        <v>MOUNTAIN FOG</v>
      </c>
      <c r="AT444"/>
      <c r="AU444"/>
      <c r="AV444"/>
      <c r="AY444" s="63" t="str">
        <f t="shared" si="101"/>
        <v>O FLAKE  -MOOG40</v>
      </c>
      <c r="AZ444" s="63" t="str">
        <f t="shared" si="98"/>
        <v>O FLAKE  -</v>
      </c>
      <c r="BA444" s="63" t="str">
        <f t="shared" si="99"/>
        <v>MOOG</v>
      </c>
      <c r="BB444" s="63" t="str">
        <f t="shared" si="100"/>
        <v>40</v>
      </c>
      <c r="BC444" s="135">
        <f t="shared" si="88"/>
        <v>110</v>
      </c>
      <c r="BD444" s="1" t="s">
        <v>741</v>
      </c>
      <c r="BE444" s="1" t="s">
        <v>810</v>
      </c>
      <c r="BF444" s="1" t="s">
        <v>414</v>
      </c>
      <c r="BG444" s="1" t="s">
        <v>390</v>
      </c>
      <c r="BH444" s="1" t="str">
        <f t="shared" si="76"/>
        <v>MOUNTAIN FOG</v>
      </c>
    </row>
    <row r="445" spans="21:60" x14ac:dyDescent="0.35">
      <c r="V445" s="1" t="str">
        <v>3725 STATICUOM3 G</v>
      </c>
      <c r="X445" s="1" t="str">
        <f t="shared" si="80"/>
        <v xml:space="preserve">3746 HIGH ULSE15 </v>
      </c>
      <c r="Y445" s="1" t="str" cm="1">
        <f t="array" ref="Y445">IFERROR(VLOOKUP($X445,$AN:AO,COLUMN(AO:AO)-COLUMN($AN:$AN)+1,FALSE),"")</f>
        <v>RESUFLOR 3746 HIGH PERFORMANCE EPOXYULTRA DEEP BASE15 GAL</v>
      </c>
      <c r="Z445" s="63" cm="1">
        <f t="array" ref="Z445">IFERROR(VLOOKUP($X445,$AN:AP,COLUMN(AP:AP)-COLUMN($AN:$AN)+1,FALSE),"")</f>
        <v>982.21</v>
      </c>
      <c r="AA445" s="1" t="str" cm="1">
        <f t="array" ref="AA445">IFERROR(VLOOKUP($X445,$AN:AQ,COLUMN(AQ:AQ)-COLUMN($AN:$AN)+1,FALSE),"")</f>
        <v>15 GAL</v>
      </c>
      <c r="AC445" s="1" t="str" cm="1">
        <f t="array" ref="AC445">IFERROR(VLOOKUP($X445,$AN:AS,COLUMN(AS:AS)-COLUMN($AN:$AN)+1,FALSE),"")</f>
        <v>ULTRA DEEP BASE</v>
      </c>
      <c r="AD445" s="1" t="s">
        <v>19</v>
      </c>
      <c r="AF445" s="1">
        <f>Table1[[#This Row],[C:C]]*1.1</f>
        <v>0</v>
      </c>
      <c r="AI445" s="1">
        <f>IFERROR(VLOOKUP(X445,#REF!,8,FALSE),0)</f>
        <v>0</v>
      </c>
      <c r="AN445" s="1" t="str">
        <f>PROD_ID_TABLE[[#This Row],[PROD ID]]</f>
        <v>O FLAKE  -OCOT40</v>
      </c>
      <c r="AO445" s="1" t="str">
        <f t="shared" si="95"/>
        <v>1-8IN DECO FLAKE  - 40LB BAGOCELOT40LB BAG</v>
      </c>
      <c r="AP445" s="3">
        <f t="shared" si="75"/>
        <v>110</v>
      </c>
      <c r="AQ445" s="1" t="str">
        <f t="shared" si="96"/>
        <v>40LB BAG</v>
      </c>
      <c r="AR445" s="1" t="str">
        <f t="shared" si="89"/>
        <v>1-8IN DECO FLAKE  - 40LB BAGOCELOT40LB BAG</v>
      </c>
      <c r="AS445" s="1" t="str">
        <f t="shared" si="97"/>
        <v>OCELOT</v>
      </c>
      <c r="AT445"/>
      <c r="AU445"/>
      <c r="AV445"/>
      <c r="AY445" s="63" t="str">
        <f t="shared" si="101"/>
        <v>O FLAKE  -OCOT40</v>
      </c>
      <c r="AZ445" s="63" t="str">
        <f t="shared" si="98"/>
        <v>O FLAKE  -</v>
      </c>
      <c r="BA445" s="63" t="str">
        <f t="shared" si="99"/>
        <v>OCOT</v>
      </c>
      <c r="BB445" s="63" t="str">
        <f t="shared" si="100"/>
        <v>40</v>
      </c>
      <c r="BC445" s="135">
        <f t="shared" si="88"/>
        <v>110</v>
      </c>
      <c r="BD445" s="1" t="s">
        <v>741</v>
      </c>
      <c r="BE445" s="1" t="s">
        <v>801</v>
      </c>
      <c r="BF445" s="1" t="s">
        <v>414</v>
      </c>
      <c r="BG445" s="1" t="s">
        <v>390</v>
      </c>
      <c r="BH445" s="1" t="str">
        <f t="shared" si="76"/>
        <v>OCELOT</v>
      </c>
    </row>
    <row r="446" spans="21:60" x14ac:dyDescent="0.35">
      <c r="V446" s="1" t="str">
        <v xml:space="preserve">3725 STATILIAY15 </v>
      </c>
      <c r="X446" s="1" t="str">
        <f t="shared" si="80"/>
        <v xml:space="preserve">3746 HIGH WHSE15 </v>
      </c>
      <c r="Y446" s="1" t="str" cm="1">
        <f t="array" ref="Y446">IFERROR(VLOOKUP($X446,$AN:AO,COLUMN(AO:AO)-COLUMN($AN:$AN)+1,FALSE),"")</f>
        <v>RESUFLOR 3746 HIGH PERFORMANCE EPOXYWHITE TINT BASE15 GAL</v>
      </c>
      <c r="Z446" s="63" cm="1">
        <f t="array" ref="Z446">IFERROR(VLOOKUP($X446,$AN:AP,COLUMN(AP:AP)-COLUMN($AN:$AN)+1,FALSE),"")</f>
        <v>982.21</v>
      </c>
      <c r="AA446" s="1" t="str" cm="1">
        <f t="array" ref="AA446">IFERROR(VLOOKUP($X446,$AN:AQ,COLUMN(AQ:AQ)-COLUMN($AN:$AN)+1,FALSE),"")</f>
        <v>15 GAL</v>
      </c>
      <c r="AC446" s="1" t="str" cm="1">
        <f t="array" ref="AC446">IFERROR(VLOOKUP($X446,$AN:AS,COLUMN(AS:AS)-COLUMN($AN:$AN)+1,FALSE),"")</f>
        <v>WHITE TINT BASE</v>
      </c>
      <c r="AD446" s="1" t="s">
        <v>19</v>
      </c>
      <c r="AF446" s="1">
        <f>Table1[[#This Row],[C:C]]*1.1</f>
        <v>0</v>
      </c>
      <c r="AI446" s="1">
        <f>IFERROR(VLOOKUP(X446,#REF!,8,FALSE),0)</f>
        <v>0</v>
      </c>
      <c r="AN446" s="1" t="str">
        <f>PROD_ID_TABLE[[#This Row],[PROD ID]]</f>
        <v>O FLAKE  -PLER40</v>
      </c>
      <c r="AO446" s="1" t="str">
        <f t="shared" si="95"/>
        <v>1-8IN DECO FLAKE  - 40LB BAGPLOVER40LB BAG</v>
      </c>
      <c r="AP446" s="3">
        <f t="shared" si="75"/>
        <v>110</v>
      </c>
      <c r="AQ446" s="1" t="str">
        <f t="shared" si="96"/>
        <v>40LB BAG</v>
      </c>
      <c r="AR446" s="1" t="str">
        <f t="shared" si="89"/>
        <v>1-8IN DECO FLAKE  - 40LB BAGPLOVER40LB BAG</v>
      </c>
      <c r="AS446" s="1" t="str">
        <f t="shared" si="97"/>
        <v>PLOVER</v>
      </c>
      <c r="AT446"/>
      <c r="AU446"/>
      <c r="AV446"/>
      <c r="AY446" s="63" t="str">
        <f t="shared" si="101"/>
        <v>O FLAKE  -PLER40</v>
      </c>
      <c r="AZ446" s="63" t="str">
        <f t="shared" si="98"/>
        <v>O FLAKE  -</v>
      </c>
      <c r="BA446" s="63" t="str">
        <f t="shared" si="99"/>
        <v>PLER</v>
      </c>
      <c r="BB446" s="63" t="str">
        <f t="shared" si="100"/>
        <v>40</v>
      </c>
      <c r="BC446" s="135">
        <f t="shared" si="88"/>
        <v>110</v>
      </c>
      <c r="BD446" s="1" t="s">
        <v>741</v>
      </c>
      <c r="BE446" s="1" t="s">
        <v>800</v>
      </c>
      <c r="BF446" s="1" t="s">
        <v>414</v>
      </c>
      <c r="BG446" s="1" t="s">
        <v>390</v>
      </c>
      <c r="BH446" s="1" t="str">
        <f t="shared" si="76"/>
        <v>PLOVER</v>
      </c>
    </row>
    <row r="447" spans="21:60" x14ac:dyDescent="0.35">
      <c r="V447" s="1" t="str">
        <v xml:space="preserve">3725 STATIMEAY15 </v>
      </c>
      <c r="X447" s="1" t="str">
        <f t="shared" si="80"/>
        <v>3741 CHEMISTAY3 G</v>
      </c>
      <c r="Y447" s="1" t="str" cm="1">
        <f t="array" ref="Y447">IFERROR(VLOOKUP($X447,$AN:AO,COLUMN(AO:AO)-COLUMN($AN:$AN)+1,FALSE),"")</f>
        <v>RESUFLOR 3741 CHEMICAL RESISTANT NOVOLACSTEEL GRAY3 GAL</v>
      </c>
      <c r="Z447" s="63" cm="1">
        <f t="array" ref="Z447">IFERROR(VLOOKUP($X447,$AN:AP,COLUMN(AP:AP)-COLUMN($AN:$AN)+1,FALSE),"")</f>
        <v>388.66</v>
      </c>
      <c r="AA447" s="1" t="str" cm="1">
        <f t="array" ref="AA447">IFERROR(VLOOKUP($X447,$AN:AQ,COLUMN(AQ:AQ)-COLUMN($AN:$AN)+1,FALSE),"")</f>
        <v>3 GAL</v>
      </c>
      <c r="AC447" s="1" t="str" cm="1">
        <f t="array" ref="AC447">IFERROR(VLOOKUP($X447,$AN:AS,COLUMN(AS:AS)-COLUMN($AN:$AN)+1,FALSE),"")</f>
        <v>STEEL GRAY</v>
      </c>
      <c r="AD447" s="1" t="s">
        <v>19</v>
      </c>
      <c r="AF447" s="1">
        <f>Table1[[#This Row],[C:C]]*1.1</f>
        <v>0</v>
      </c>
      <c r="AI447" s="1">
        <f>IFERROR(VLOOKUP(X447,#REF!,8,FALSE),0)</f>
        <v>0</v>
      </c>
      <c r="AN447" s="1" t="str">
        <f>PROD_ID_TABLE[[#This Row],[PROD ID]]</f>
        <v>O FLAKE  -PREL40</v>
      </c>
      <c r="AO447" s="1" t="str">
        <f t="shared" si="95"/>
        <v>1-8IN DECO FLAKE  - 40LB BAGPRETZEL40LB BAG</v>
      </c>
      <c r="AP447" s="3">
        <f t="shared" si="75"/>
        <v>110</v>
      </c>
      <c r="AQ447" s="1" t="str">
        <f t="shared" si="96"/>
        <v>40LB BAG</v>
      </c>
      <c r="AR447" s="1" t="str">
        <f t="shared" si="89"/>
        <v>1-8IN DECO FLAKE  - 40LB BAGPRETZEL40LB BAG</v>
      </c>
      <c r="AS447" s="1" t="str">
        <f t="shared" si="97"/>
        <v>PRETZEL</v>
      </c>
      <c r="AT447"/>
      <c r="AU447"/>
      <c r="AV447"/>
      <c r="AY447" s="63" t="str">
        <f t="shared" si="101"/>
        <v>O FLAKE  -PREL40</v>
      </c>
      <c r="AZ447" s="63" t="str">
        <f t="shared" si="98"/>
        <v>O FLAKE  -</v>
      </c>
      <c r="BA447" s="63" t="str">
        <f t="shared" si="99"/>
        <v>PREL</v>
      </c>
      <c r="BB447" s="63" t="str">
        <f t="shared" si="100"/>
        <v>40</v>
      </c>
      <c r="BC447" s="135">
        <f t="shared" si="88"/>
        <v>110</v>
      </c>
      <c r="BD447" s="1" t="s">
        <v>741</v>
      </c>
      <c r="BE447" s="1" t="s">
        <v>805</v>
      </c>
      <c r="BF447" s="1" t="s">
        <v>414</v>
      </c>
      <c r="BG447" s="1" t="s">
        <v>390</v>
      </c>
      <c r="BH447" s="1" t="str">
        <f t="shared" si="76"/>
        <v>PRETZEL</v>
      </c>
    </row>
    <row r="448" spans="21:60" x14ac:dyDescent="0.35">
      <c r="V448" s="1" t="str">
        <v>4638 HS POCLAR3 G</v>
      </c>
      <c r="X448" s="1" t="str">
        <f t="shared" si="80"/>
        <v>3741 CHEMICLLE3 G</v>
      </c>
      <c r="Y448" s="1" t="str" cm="1">
        <f t="array" ref="Y448">IFERROR(VLOOKUP($X448,$AN:AO,COLUMN(AO:AO)-COLUMN($AN:$AN)+1,FALSE),"")</f>
        <v>RESUFLOR 3741 CHEMICAL RESISTANT NOVOLACCLASIC RED TILE3 GAL</v>
      </c>
      <c r="Z448" s="63" cm="1">
        <f t="array" ref="Z448">IFERROR(VLOOKUP($X448,$AN:AP,COLUMN(AP:AP)-COLUMN($AN:$AN)+1,FALSE),"")</f>
        <v>388.66</v>
      </c>
      <c r="AA448" s="1" t="str" cm="1">
        <f t="array" ref="AA448">IFERROR(VLOOKUP($X448,$AN:AQ,COLUMN(AQ:AQ)-COLUMN($AN:$AN)+1,FALSE),"")</f>
        <v>3 GAL</v>
      </c>
      <c r="AC448" s="1" t="str" cm="1">
        <f t="array" ref="AC448">IFERROR(VLOOKUP($X448,$AN:AS,COLUMN(AS:AS)-COLUMN($AN:$AN)+1,FALSE),"")</f>
        <v>CLASIC RED TILE</v>
      </c>
      <c r="AD448" s="1" t="s">
        <v>19</v>
      </c>
      <c r="AF448" s="1">
        <f>Table1[[#This Row],[C:C]]*1.1</f>
        <v>0</v>
      </c>
      <c r="AI448" s="1">
        <f>IFERROR(VLOOKUP(X448,#REF!,8,FALSE),0)</f>
        <v>0</v>
      </c>
      <c r="AN448" s="1" t="str">
        <f>PROD_ID_TABLE[[#This Row],[PROD ID]]</f>
        <v>O FLAKE  -RHNO40</v>
      </c>
      <c r="AO448" s="1" t="str">
        <f t="shared" si="95"/>
        <v>1-8IN DECO FLAKE  - 40LB BAGRHINO40LB BAG</v>
      </c>
      <c r="AP448" s="3">
        <f t="shared" si="75"/>
        <v>110</v>
      </c>
      <c r="AQ448" s="1" t="str">
        <f t="shared" si="96"/>
        <v>40LB BAG</v>
      </c>
      <c r="AR448" s="1" t="str">
        <f t="shared" si="89"/>
        <v>1-8IN DECO FLAKE  - 40LB BAGRHINO40LB BAG</v>
      </c>
      <c r="AS448" s="1" t="str">
        <f t="shared" si="97"/>
        <v>RHINO</v>
      </c>
      <c r="AT448"/>
      <c r="AU448"/>
      <c r="AV448"/>
      <c r="AY448" s="63" t="str">
        <f t="shared" si="101"/>
        <v>O FLAKE  -RHNO40</v>
      </c>
      <c r="AZ448" s="63" t="str">
        <f t="shared" si="98"/>
        <v>O FLAKE  -</v>
      </c>
      <c r="BA448" s="63" t="str">
        <f t="shared" si="99"/>
        <v>RHNO</v>
      </c>
      <c r="BB448" s="63" t="str">
        <f t="shared" si="100"/>
        <v>40</v>
      </c>
      <c r="BC448" s="135">
        <f t="shared" si="88"/>
        <v>110</v>
      </c>
      <c r="BD448" s="1" t="s">
        <v>741</v>
      </c>
      <c r="BE448" s="1" t="s">
        <v>830</v>
      </c>
      <c r="BF448" s="1" t="s">
        <v>414</v>
      </c>
      <c r="BG448" s="1" t="s">
        <v>390</v>
      </c>
      <c r="BH448" s="1" t="str">
        <f t="shared" si="76"/>
        <v>RHINO</v>
      </c>
    </row>
    <row r="449" spans="22:60" x14ac:dyDescent="0.35">
      <c r="V449" s="1" t="str">
        <v>4638 HS POCUOM3 G</v>
      </c>
      <c r="X449" s="1" t="str">
        <f t="shared" si="80"/>
        <v>3741 CHEMICAAY3 G</v>
      </c>
      <c r="Y449" s="1" t="str" cm="1">
        <f t="array" ref="Y449">IFERROR(VLOOKUP($X449,$AN:AO,COLUMN(AO:AO)-COLUMN($AN:$AN)+1,FALSE),"")</f>
        <v>RESUFLOR 3741 CHEMICAL RESISTANT NOVOLACCANADA GRAY3 GAL</v>
      </c>
      <c r="Z449" s="63" cm="1">
        <f t="array" ref="Z449">IFERROR(VLOOKUP($X449,$AN:AP,COLUMN(AP:AP)-COLUMN($AN:$AN)+1,FALSE),"")</f>
        <v>388.66</v>
      </c>
      <c r="AA449" s="1" t="str" cm="1">
        <f t="array" ref="AA449">IFERROR(VLOOKUP($X449,$AN:AQ,COLUMN(AQ:AQ)-COLUMN($AN:$AN)+1,FALSE),"")</f>
        <v>3 GAL</v>
      </c>
      <c r="AC449" s="1" t="str" cm="1">
        <f t="array" ref="AC449">IFERROR(VLOOKUP($X449,$AN:AS,COLUMN(AS:AS)-COLUMN($AN:$AN)+1,FALSE),"")</f>
        <v>CANADA GRAY</v>
      </c>
      <c r="AD449" s="1" t="s">
        <v>19</v>
      </c>
      <c r="AF449" s="1">
        <f>Table1[[#This Row],[C:C]]*1.1</f>
        <v>0</v>
      </c>
      <c r="AI449" s="1">
        <f>IFERROR(VLOOKUP(X449,#REF!,8,FALSE),0)</f>
        <v>0</v>
      </c>
      <c r="AN449" s="1" t="str">
        <f>PROD_ID_TABLE[[#This Row],[PROD ID]]</f>
        <v>O FLAKE  -SINE40</v>
      </c>
      <c r="AO449" s="1" t="str">
        <f t="shared" si="95"/>
        <v>1-8IN DECO FLAKE  - 40LB BAGSILTSTONE40LB BAG</v>
      </c>
      <c r="AP449" s="3">
        <f t="shared" si="75"/>
        <v>110</v>
      </c>
      <c r="AQ449" s="1" t="str">
        <f t="shared" si="96"/>
        <v>40LB BAG</v>
      </c>
      <c r="AR449" s="1" t="str">
        <f t="shared" si="89"/>
        <v>1-8IN DECO FLAKE  - 40LB BAGSILTSTONE40LB BAG</v>
      </c>
      <c r="AS449" s="1" t="str">
        <f t="shared" si="97"/>
        <v>SILTSTONE</v>
      </c>
      <c r="AT449"/>
      <c r="AU449"/>
      <c r="AV449"/>
      <c r="AY449" s="63" t="str">
        <f t="shared" si="101"/>
        <v>O FLAKE  -SINE40</v>
      </c>
      <c r="AZ449" s="63" t="str">
        <f t="shared" si="98"/>
        <v>O FLAKE  -</v>
      </c>
      <c r="BA449" s="63" t="str">
        <f t="shared" si="99"/>
        <v>SINE</v>
      </c>
      <c r="BB449" s="63" t="str">
        <f t="shared" si="100"/>
        <v>40</v>
      </c>
      <c r="BC449" s="135">
        <f t="shared" si="88"/>
        <v>110</v>
      </c>
      <c r="BD449" s="1" t="s">
        <v>741</v>
      </c>
      <c r="BE449" s="1" t="s">
        <v>828</v>
      </c>
      <c r="BF449" s="1" t="s">
        <v>414</v>
      </c>
      <c r="BG449" s="1" t="s">
        <v>390</v>
      </c>
      <c r="BH449" s="1" t="str">
        <f t="shared" si="76"/>
        <v>SILTSTONE</v>
      </c>
    </row>
    <row r="450" spans="22:60" x14ac:dyDescent="0.35">
      <c r="V450" s="1" t="str">
        <v>4638 HS POWHTE3 G</v>
      </c>
      <c r="X450" s="1" t="str">
        <f t="shared" si="80"/>
        <v>3741 CHEMICUOM3 G</v>
      </c>
      <c r="Y450" s="1" t="str" cm="1">
        <f t="array" ref="Y450">IFERROR(VLOOKUP($X450,$AN:AO,COLUMN(AO:AO)-COLUMN($AN:$AN)+1,FALSE),"")</f>
        <v>RESUFLOR 3741 CHEMICAL RESISTANT NOVOLACCUSTOM3 GAL</v>
      </c>
      <c r="Z450" s="63" cm="1">
        <f t="array" ref="Z450">IFERROR(VLOOKUP($X450,$AN:AP,COLUMN(AP:AP)-COLUMN($AN:$AN)+1,FALSE),"")</f>
        <v>388.66</v>
      </c>
      <c r="AA450" s="1" t="str" cm="1">
        <f t="array" ref="AA450">IFERROR(VLOOKUP($X450,$AN:AQ,COLUMN(AQ:AQ)-COLUMN($AN:$AN)+1,FALSE),"")</f>
        <v>3 GAL</v>
      </c>
      <c r="AC450" s="1" t="str" cm="1">
        <f t="array" ref="AC450">IFERROR(VLOOKUP($X450,$AN:AS,COLUMN(AS:AS)-COLUMN($AN:$AN)+1,FALSE),"")</f>
        <v>CUSTOM</v>
      </c>
      <c r="AD450" s="1" t="s">
        <v>19</v>
      </c>
      <c r="AF450" s="1">
        <f>Table1[[#This Row],[C:C]]*1.1</f>
        <v>0</v>
      </c>
      <c r="AI450" s="1">
        <f>IFERROR(VLOOKUP(X450,#REF!,8,FALSE),0)</f>
        <v>0</v>
      </c>
      <c r="AN450" s="1" t="str">
        <f>PROD_ID_TABLE[[#This Row],[PROD ID]]</f>
        <v>O FLAKE  -SPSH40</v>
      </c>
      <c r="AO450" s="1" t="str">
        <f t="shared" si="95"/>
        <v>1-8IN DECO FLAKE  - 40LB BAGSPECKLED ASH40LB BAG</v>
      </c>
      <c r="AP450" s="3">
        <f t="shared" si="75"/>
        <v>110</v>
      </c>
      <c r="AQ450" s="1" t="str">
        <f t="shared" si="96"/>
        <v>40LB BAG</v>
      </c>
      <c r="AR450" s="1" t="str">
        <f t="shared" si="89"/>
        <v>1-8IN DECO FLAKE  - 40LB BAGSPECKLED ASH40LB BAG</v>
      </c>
      <c r="AS450" s="1" t="str">
        <f t="shared" si="97"/>
        <v>SPECKLED ASH</v>
      </c>
      <c r="AT450"/>
      <c r="AU450"/>
      <c r="AV450"/>
      <c r="AY450" s="63" t="str">
        <f t="shared" si="101"/>
        <v>O FLAKE  -SPSH40</v>
      </c>
      <c r="AZ450" s="63" t="str">
        <f t="shared" si="98"/>
        <v>O FLAKE  -</v>
      </c>
      <c r="BA450" s="63" t="str">
        <f t="shared" si="99"/>
        <v>SPSH</v>
      </c>
      <c r="BB450" s="63" t="str">
        <f t="shared" si="100"/>
        <v>40</v>
      </c>
      <c r="BC450" s="135">
        <f t="shared" si="88"/>
        <v>110</v>
      </c>
      <c r="BD450" s="1" t="s">
        <v>741</v>
      </c>
      <c r="BE450" s="1" t="s">
        <v>821</v>
      </c>
      <c r="BF450" s="1" t="s">
        <v>414</v>
      </c>
      <c r="BG450" s="1" t="s">
        <v>390</v>
      </c>
      <c r="BH450" s="1" t="str">
        <f t="shared" si="76"/>
        <v>SPECKLED ASH</v>
      </c>
    </row>
    <row r="451" spans="22:60" x14ac:dyDescent="0.35">
      <c r="V451" s="1" t="str">
        <v xml:space="preserve">4638 HS POCLAR15 </v>
      </c>
      <c r="X451" s="1" t="str">
        <f t="shared" si="80"/>
        <v xml:space="preserve">3741 CHEMISTAY15 </v>
      </c>
      <c r="Y451" s="1" t="str" cm="1">
        <f t="array" ref="Y451">IFERROR(VLOOKUP($X451,$AN:AO,COLUMN(AO:AO)-COLUMN($AN:$AN)+1,FALSE),"")</f>
        <v>RESUFLOR 3741 CHEMICAL RESISTANT NOVOLACSTEEL GRAY15 GAL</v>
      </c>
      <c r="Z451" s="63" cm="1">
        <f t="array" ref="Z451">IFERROR(VLOOKUP($X451,$AN:AP,COLUMN(AP:AP)-COLUMN($AN:$AN)+1,FALSE),"")</f>
        <v>1900.58</v>
      </c>
      <c r="AA451" s="1" t="str" cm="1">
        <f t="array" ref="AA451">IFERROR(VLOOKUP($X451,$AN:AQ,COLUMN(AQ:AQ)-COLUMN($AN:$AN)+1,FALSE),"")</f>
        <v>15 GAL</v>
      </c>
      <c r="AC451" s="1" t="str" cm="1">
        <f t="array" ref="AC451">IFERROR(VLOOKUP($X451,$AN:AS,COLUMN(AS:AS)-COLUMN($AN:$AN)+1,FALSE),"")</f>
        <v>STEEL GRAY</v>
      </c>
      <c r="AD451" s="1" t="s">
        <v>19</v>
      </c>
      <c r="AF451" s="1">
        <f>Table1[[#This Row],[C:C]]*1.1</f>
        <v>0</v>
      </c>
      <c r="AI451" s="1">
        <f>IFERROR(VLOOKUP(X451,#REF!,8,FALSE),0)</f>
        <v>0</v>
      </c>
      <c r="AN451" s="1" t="str">
        <f>PROD_ID_TABLE[[#This Row],[PROD ID]]</f>
        <v>O FLAKE  -TUEN40</v>
      </c>
      <c r="AO451" s="1" t="str">
        <f t="shared" si="95"/>
        <v>1-8IN DECO FLAKE  - 40LB BAGTUNGSTEN40LB BAG</v>
      </c>
      <c r="AP451" s="3">
        <f t="shared" ref="AP451:AP514" si="102">BC451</f>
        <v>110</v>
      </c>
      <c r="AQ451" s="1" t="str">
        <f t="shared" si="96"/>
        <v>40LB BAG</v>
      </c>
      <c r="AR451" s="1" t="str">
        <f t="shared" ref="AR451:AR514" si="103">_xlfn.CONCAT(BD451:BF451)</f>
        <v>1-8IN DECO FLAKE  - 40LB BAGTUNGSTEN40LB BAG</v>
      </c>
      <c r="AS451" s="1" t="str">
        <f t="shared" si="97"/>
        <v>TUNGSTEN</v>
      </c>
      <c r="AT451"/>
      <c r="AU451"/>
      <c r="AV451"/>
      <c r="AY451" s="63" t="str">
        <f t="shared" si="101"/>
        <v>O FLAKE  -TUEN40</v>
      </c>
      <c r="AZ451" s="63" t="str">
        <f t="shared" si="98"/>
        <v>O FLAKE  -</v>
      </c>
      <c r="BA451" s="63" t="str">
        <f t="shared" si="99"/>
        <v>TUEN</v>
      </c>
      <c r="BB451" s="63" t="str">
        <f t="shared" si="100"/>
        <v>40</v>
      </c>
      <c r="BC451" s="135">
        <f t="shared" si="88"/>
        <v>110</v>
      </c>
      <c r="BD451" s="1" t="s">
        <v>741</v>
      </c>
      <c r="BE451" s="1" t="s">
        <v>826</v>
      </c>
      <c r="BF451" s="1" t="s">
        <v>414</v>
      </c>
      <c r="BG451" s="1" t="s">
        <v>390</v>
      </c>
      <c r="BH451" s="1" t="str">
        <f t="shared" si="76"/>
        <v>TUNGSTEN</v>
      </c>
    </row>
    <row r="452" spans="22:60" x14ac:dyDescent="0.35">
      <c r="V452" s="1" t="str">
        <v xml:space="preserve">4638 HS POCUOM15 </v>
      </c>
      <c r="X452" s="1" t="str">
        <f t="shared" si="80"/>
        <v xml:space="preserve">3741 CHEMICLLE15 </v>
      </c>
      <c r="Y452" s="1" t="str" cm="1">
        <f t="array" ref="Y452">IFERROR(VLOOKUP($X452,$AN:AO,COLUMN(AO:AO)-COLUMN($AN:$AN)+1,FALSE),"")</f>
        <v>RESUFLOR 3741 CHEMICAL RESISTANT NOVOLACCLASIC RED TILE15 GAL</v>
      </c>
      <c r="Z452" s="63" cm="1">
        <f t="array" ref="Z452">IFERROR(VLOOKUP($X452,$AN:AP,COLUMN(AP:AP)-COLUMN($AN:$AN)+1,FALSE),"")</f>
        <v>1900.58</v>
      </c>
      <c r="AA452" s="1" t="str" cm="1">
        <f t="array" ref="AA452">IFERROR(VLOOKUP($X452,$AN:AQ,COLUMN(AQ:AQ)-COLUMN($AN:$AN)+1,FALSE),"")</f>
        <v>15 GAL</v>
      </c>
      <c r="AC452" s="1" t="str" cm="1">
        <f t="array" ref="AC452">IFERROR(VLOOKUP($X452,$AN:AS,COLUMN(AS:AS)-COLUMN($AN:$AN)+1,FALSE),"")</f>
        <v>CLASIC RED TILE</v>
      </c>
      <c r="AD452" s="1" t="s">
        <v>19</v>
      </c>
      <c r="AF452" s="1">
        <f>Table1[[#This Row],[C:C]]*1.1</f>
        <v>0</v>
      </c>
      <c r="AI452" s="1">
        <f>IFERROR(VLOOKUP(X452,#REF!,8,FALSE),0)</f>
        <v>0</v>
      </c>
      <c r="AN452" s="1" t="str">
        <f>PROD_ID_TABLE[[#This Row],[PROD ID]]</f>
        <v>O FLAKE  -WACH40</v>
      </c>
      <c r="AO452" s="1" t="str">
        <f t="shared" si="95"/>
        <v>1-8IN DECO FLAKE  - 40LB BAGWARM BEACH40LB BAG</v>
      </c>
      <c r="AP452" s="3">
        <f t="shared" si="102"/>
        <v>110</v>
      </c>
      <c r="AQ452" s="1" t="str">
        <f t="shared" si="96"/>
        <v>40LB BAG</v>
      </c>
      <c r="AR452" s="1" t="str">
        <f t="shared" si="103"/>
        <v>1-8IN DECO FLAKE  - 40LB BAGWARM BEACH40LB BAG</v>
      </c>
      <c r="AS452" s="1" t="str">
        <f t="shared" si="97"/>
        <v>WARM BEACH</v>
      </c>
      <c r="AT452"/>
      <c r="AU452"/>
      <c r="AV452"/>
      <c r="AY452" s="63" t="str">
        <f t="shared" si="101"/>
        <v>O FLAKE  -WACH40</v>
      </c>
      <c r="AZ452" s="63" t="str">
        <f t="shared" si="98"/>
        <v>O FLAKE  -</v>
      </c>
      <c r="BA452" s="63" t="str">
        <f t="shared" si="99"/>
        <v>WACH</v>
      </c>
      <c r="BB452" s="63" t="str">
        <f t="shared" si="100"/>
        <v>40</v>
      </c>
      <c r="BC452" s="135">
        <f t="shared" si="88"/>
        <v>110</v>
      </c>
      <c r="BD452" s="1" t="s">
        <v>741</v>
      </c>
      <c r="BE452" s="1" t="s">
        <v>419</v>
      </c>
      <c r="BF452" s="1" t="s">
        <v>414</v>
      </c>
      <c r="BG452" s="1" t="s">
        <v>390</v>
      </c>
      <c r="BH452" s="1" t="str">
        <f t="shared" si="76"/>
        <v>WARM BEACH</v>
      </c>
    </row>
    <row r="453" spans="22:60" x14ac:dyDescent="0.35">
      <c r="V453" s="1" t="str">
        <v xml:space="preserve">4638 HS POWHTE15 </v>
      </c>
      <c r="X453" s="1" t="str">
        <f t="shared" si="80"/>
        <v xml:space="preserve">3741 CHEMICAAY15 </v>
      </c>
      <c r="Y453" s="1" t="str" cm="1">
        <f t="array" ref="Y453">IFERROR(VLOOKUP($X453,$AN:AO,COLUMN(AO:AO)-COLUMN($AN:$AN)+1,FALSE),"")</f>
        <v>RESUFLOR 3741 CHEMICAL RESISTANT NOVOLACCANADA GRAY15 GAL</v>
      </c>
      <c r="Z453" s="63" cm="1">
        <f t="array" ref="Z453">IFERROR(VLOOKUP($X453,$AN:AP,COLUMN(AP:AP)-COLUMN($AN:$AN)+1,FALSE),"")</f>
        <v>1900.58</v>
      </c>
      <c r="AA453" s="1" t="str" cm="1">
        <f t="array" ref="AA453">IFERROR(VLOOKUP($X453,$AN:AQ,COLUMN(AQ:AQ)-COLUMN($AN:$AN)+1,FALSE),"")</f>
        <v>15 GAL</v>
      </c>
      <c r="AC453" s="1" t="str" cm="1">
        <f t="array" ref="AC453">IFERROR(VLOOKUP($X453,$AN:AS,COLUMN(AS:AS)-COLUMN($AN:$AN)+1,FALSE),"")</f>
        <v>CANADA GRAY</v>
      </c>
      <c r="AD453" s="1" t="s">
        <v>19</v>
      </c>
      <c r="AF453" s="1">
        <f>Table1[[#This Row],[C:C]]*1.1</f>
        <v>0</v>
      </c>
      <c r="AI453" s="1">
        <f>IFERROR(VLOOKUP(X453,#REF!,8,FALSE),0)</f>
        <v>0</v>
      </c>
      <c r="AN453" s="1" t="str">
        <f>PROD_ID_TABLE[[#This Row],[PROD ID]]</f>
        <v xml:space="preserve"> QUARTZAMNO25</v>
      </c>
      <c r="AO453" s="1" t="str">
        <f t="shared" si="95"/>
        <v>HPF COLOR QUARTZAMERICANO25 MESH</v>
      </c>
      <c r="AP453" s="3">
        <f t="shared" si="102"/>
        <v>27.5</v>
      </c>
      <c r="AQ453" s="1" t="str">
        <f t="shared" si="96"/>
        <v>25 MESH</v>
      </c>
      <c r="AR453" s="1" t="str">
        <f t="shared" si="103"/>
        <v>HPF COLOR QUARTZAMERICANO25 MESH</v>
      </c>
      <c r="AS453" s="1" t="str">
        <f t="shared" si="97"/>
        <v>AMERICANO</v>
      </c>
      <c r="AT453"/>
      <c r="AU453"/>
      <c r="AV453"/>
      <c r="AY453" s="63" t="str">
        <f t="shared" si="101"/>
        <v xml:space="preserve"> QUARTZAMNO25</v>
      </c>
      <c r="AZ453" s="63" t="str">
        <f t="shared" si="98"/>
        <v xml:space="preserve"> QUARTZ</v>
      </c>
      <c r="BA453" s="63" t="str">
        <f t="shared" si="99"/>
        <v>AMNO</v>
      </c>
      <c r="BB453" s="63" t="str">
        <f t="shared" si="100"/>
        <v>25</v>
      </c>
      <c r="BC453" s="135">
        <f t="shared" si="88"/>
        <v>27.5</v>
      </c>
      <c r="BD453" s="1" t="s">
        <v>792</v>
      </c>
      <c r="BE453" s="1" t="s">
        <v>837</v>
      </c>
      <c r="BF453" s="63" t="s">
        <v>793</v>
      </c>
      <c r="BG453" s="1" t="s">
        <v>390</v>
      </c>
      <c r="BH453" s="1" t="str">
        <f t="shared" si="76"/>
        <v>AMERICANO</v>
      </c>
    </row>
    <row r="454" spans="22:60" x14ac:dyDescent="0.35">
      <c r="V454" s="1" t="str">
        <v xml:space="preserve">4641 HPS 1CLAR.9 </v>
      </c>
      <c r="X454" s="1" t="str">
        <f t="shared" si="80"/>
        <v xml:space="preserve">3741 CHEMICUOM15 </v>
      </c>
      <c r="Y454" s="1" t="str" cm="1">
        <f t="array" ref="Y454">IFERROR(VLOOKUP($X454,$AN:AO,COLUMN(AO:AO)-COLUMN($AN:$AN)+1,FALSE),"")</f>
        <v>RESUFLOR 3741 CHEMICAL RESISTANT NOVOLACCUSTOM15 GAL</v>
      </c>
      <c r="Z454" s="63" cm="1">
        <f t="array" ref="Z454">IFERROR(VLOOKUP($X454,$AN:AP,COLUMN(AP:AP)-COLUMN($AN:$AN)+1,FALSE),"")</f>
        <v>1900.58</v>
      </c>
      <c r="AA454" s="1" t="str" cm="1">
        <f t="array" ref="AA454">IFERROR(VLOOKUP($X454,$AN:AQ,COLUMN(AQ:AQ)-COLUMN($AN:$AN)+1,FALSE),"")</f>
        <v>15 GAL</v>
      </c>
      <c r="AC454" s="1" t="str" cm="1">
        <f t="array" ref="AC454">IFERROR(VLOOKUP($X454,$AN:AS,COLUMN(AS:AS)-COLUMN($AN:$AN)+1,FALSE),"")</f>
        <v>CUSTOM</v>
      </c>
      <c r="AD454" s="1" t="s">
        <v>19</v>
      </c>
      <c r="AF454" s="1">
        <f>Table1[[#This Row],[C:C]]*1.1</f>
        <v>0</v>
      </c>
      <c r="AI454" s="1">
        <f>IFERROR(VLOOKUP(X454,#REF!,8,FALSE),0)</f>
        <v>0</v>
      </c>
      <c r="AN454" s="1" t="str">
        <f>PROD_ID_TABLE[[#This Row],[PROD ID]]</f>
        <v xml:space="preserve"> QUARTZANIL25</v>
      </c>
      <c r="AO454" s="1" t="str">
        <f t="shared" si="95"/>
        <v>HPF COLOR QUARTZANVIL25 MESH</v>
      </c>
      <c r="AP454" s="3">
        <f t="shared" si="102"/>
        <v>27.5</v>
      </c>
      <c r="AQ454" s="1" t="str">
        <f t="shared" si="96"/>
        <v>25 MESH</v>
      </c>
      <c r="AR454" s="1" t="str">
        <f>_xlfn.CONCAT(BD454:BE454)</f>
        <v>HPF COLOR QUARTZANVIL</v>
      </c>
      <c r="AS454" s="1" t="str">
        <f t="shared" si="97"/>
        <v>ANVIL</v>
      </c>
      <c r="AT454"/>
      <c r="AU454"/>
      <c r="AV454"/>
      <c r="AY454" s="63" t="str">
        <f t="shared" si="101"/>
        <v xml:space="preserve"> QUARTZANIL25</v>
      </c>
      <c r="AZ454" s="63" t="str">
        <f t="shared" si="98"/>
        <v xml:space="preserve"> QUARTZ</v>
      </c>
      <c r="BA454" s="63" t="str">
        <f t="shared" si="99"/>
        <v>ANIL</v>
      </c>
      <c r="BB454" s="63" t="str">
        <f t="shared" si="100"/>
        <v>25</v>
      </c>
      <c r="BC454" s="135">
        <f t="shared" si="88"/>
        <v>27.5</v>
      </c>
      <c r="BD454" s="1" t="s">
        <v>792</v>
      </c>
      <c r="BE454" s="1" t="s">
        <v>832</v>
      </c>
      <c r="BF454" s="63" t="s">
        <v>793</v>
      </c>
      <c r="BG454" s="1" t="s">
        <v>390</v>
      </c>
      <c r="BH454" s="1" t="str">
        <f t="shared" ref="BH454:BH486" si="104">UPPER(BE454)</f>
        <v>ANVIL</v>
      </c>
    </row>
    <row r="455" spans="22:60" x14ac:dyDescent="0.35">
      <c r="V455" s="1" t="str">
        <v>4641 HPS 1CLAR1.8</v>
      </c>
      <c r="X455" s="1" t="str">
        <f t="shared" si="80"/>
        <v>3725 STATILIAY3 G</v>
      </c>
      <c r="Y455" s="1" t="str" cm="1">
        <f t="array" ref="Y455">IFERROR(VLOOKUP($X455,$AN:AO,COLUMN(AO:AO)-COLUMN($AN:$AN)+1,FALSE),"")</f>
        <v>RESUFLOR 3725 STATIC CONTROL EPOXYLIGHT GRAY3 GAL</v>
      </c>
      <c r="Z455" s="63" cm="1">
        <f t="array" ref="Z455">IFERROR(VLOOKUP($X455,$AN:AP,COLUMN(AP:AP)-COLUMN($AN:$AN)+1,FALSE),"")</f>
        <v>790.19999999999993</v>
      </c>
      <c r="AA455" s="1" t="str" cm="1">
        <f t="array" ref="AA455">IFERROR(VLOOKUP($X455,$AN:AQ,COLUMN(AQ:AQ)-COLUMN($AN:$AN)+1,FALSE),"")</f>
        <v>3 GAL</v>
      </c>
      <c r="AC455" s="1" t="str" cm="1">
        <f t="array" ref="AC455">IFERROR(VLOOKUP($X455,$AN:AS,COLUMN(AS:AS)-COLUMN($AN:$AN)+1,FALSE),"")</f>
        <v>LIGHT GRAY</v>
      </c>
      <c r="AD455" s="1" t="s">
        <v>19</v>
      </c>
      <c r="AF455" s="1">
        <f>Table1[[#This Row],[C:C]]*1.1</f>
        <v>0</v>
      </c>
      <c r="AI455" s="1">
        <f>IFERROR(VLOOKUP(X455,#REF!,8,FALSE),0)</f>
        <v>0</v>
      </c>
      <c r="AN455" s="1" t="str">
        <f>PROD_ID_TABLE[[#This Row],[PROD ID]]</f>
        <v xml:space="preserve"> QUARTZAUCE25</v>
      </c>
      <c r="AO455" s="1" t="str">
        <f t="shared" si="95"/>
        <v>HPF COLOR QUARTZAUTUMN SPICE25 MESH</v>
      </c>
      <c r="AP455" s="3">
        <f t="shared" si="102"/>
        <v>27.5</v>
      </c>
      <c r="AQ455" s="1" t="str">
        <f t="shared" si="96"/>
        <v>25 MESH</v>
      </c>
      <c r="AR455" s="1" t="str">
        <f t="shared" si="103"/>
        <v>HPF COLOR QUARTZAUTUMN SPICE25 MESH</v>
      </c>
      <c r="AS455" s="1" t="str">
        <f t="shared" si="97"/>
        <v>AUTUMN SPICE</v>
      </c>
      <c r="AT455"/>
      <c r="AU455"/>
      <c r="AV455"/>
      <c r="AY455" s="63" t="str">
        <f t="shared" si="101"/>
        <v xml:space="preserve"> QUARTZAUCE25</v>
      </c>
      <c r="AZ455" s="63" t="str">
        <f t="shared" si="98"/>
        <v xml:space="preserve"> QUARTZ</v>
      </c>
      <c r="BA455" s="63" t="str">
        <f t="shared" si="99"/>
        <v>AUCE</v>
      </c>
      <c r="BB455" s="63" t="str">
        <f t="shared" si="100"/>
        <v>25</v>
      </c>
      <c r="BC455" s="135">
        <f t="shared" si="88"/>
        <v>27.5</v>
      </c>
      <c r="BD455" s="1" t="s">
        <v>792</v>
      </c>
      <c r="BE455" s="1" t="s">
        <v>839</v>
      </c>
      <c r="BF455" s="63" t="s">
        <v>793</v>
      </c>
      <c r="BG455" s="1" t="s">
        <v>390</v>
      </c>
      <c r="BH455" s="1" t="str">
        <f t="shared" si="104"/>
        <v>AUTUMN SPICE</v>
      </c>
    </row>
    <row r="456" spans="22:60" x14ac:dyDescent="0.35">
      <c r="V456" s="1" t="str">
        <v>4641 HPS 1CLAR4.7</v>
      </c>
      <c r="X456" s="1" t="str">
        <f t="shared" si="80"/>
        <v>3725 STATIMEAY3 G</v>
      </c>
      <c r="Y456" s="1" t="str" cm="1">
        <f t="array" ref="Y456">IFERROR(VLOOKUP($X456,$AN:AO,COLUMN(AO:AO)-COLUMN($AN:$AN)+1,FALSE),"")</f>
        <v>RESUFLOR 3725 STATIC CONTROL EPOXYMEDIUM GRAY3 GAL</v>
      </c>
      <c r="Z456" s="63" cm="1">
        <f t="array" ref="Z456">IFERROR(VLOOKUP($X456,$AN:AP,COLUMN(AP:AP)-COLUMN($AN:$AN)+1,FALSE),"")</f>
        <v>790.19999999999993</v>
      </c>
      <c r="AA456" s="1" t="str" cm="1">
        <f t="array" ref="AA456">IFERROR(VLOOKUP($X456,$AN:AQ,COLUMN(AQ:AQ)-COLUMN($AN:$AN)+1,FALSE),"")</f>
        <v>3 GAL</v>
      </c>
      <c r="AC456" s="1" t="str" cm="1">
        <f t="array" ref="AC456">IFERROR(VLOOKUP($X456,$AN:AS,COLUMN(AS:AS)-COLUMN($AN:$AN)+1,FALSE),"")</f>
        <v>MEDIUM GRAY</v>
      </c>
      <c r="AD456" s="1" t="s">
        <v>19</v>
      </c>
      <c r="AF456" s="1">
        <f>Table1[[#This Row],[C:C]]*1.1</f>
        <v>0</v>
      </c>
      <c r="AI456" s="1">
        <f>IFERROR(VLOOKUP(X456,#REF!,8,FALSE),0)</f>
        <v>0</v>
      </c>
      <c r="AM456" s="1" t="str">
        <f t="shared" ref="AM456:AM463" si="105">_xlfn.CONCAT(AQ456:AS456)</f>
        <v xml:space="preserve">25 MESHHPF COLOR QUARTZBLUE SLATE BLUE SLATE </v>
      </c>
      <c r="AN456" s="1" t="str">
        <f>PROD_ID_TABLE[[#This Row],[PROD ID]]</f>
        <v xml:space="preserve"> QUARTZBLE 25</v>
      </c>
      <c r="AO456" s="1" t="str">
        <f t="shared" si="95"/>
        <v>HPF COLOR QUARTZBLUE SLATE 25 MESH</v>
      </c>
      <c r="AP456" s="3">
        <f t="shared" si="102"/>
        <v>27.5</v>
      </c>
      <c r="AQ456" s="1" t="str">
        <f t="shared" si="96"/>
        <v>25 MESH</v>
      </c>
      <c r="AR456" s="1" t="str">
        <f>_xlfn.CONCAT(BD456:BE456)</f>
        <v xml:space="preserve">HPF COLOR QUARTZBLUE SLATE </v>
      </c>
      <c r="AS456" s="1" t="str">
        <f t="shared" si="97"/>
        <v xml:space="preserve">BLUE SLATE </v>
      </c>
      <c r="AT456"/>
      <c r="AU456"/>
      <c r="AV456"/>
      <c r="AY456" s="63" t="str">
        <f t="shared" si="101"/>
        <v xml:space="preserve"> QUARTZBLE 25</v>
      </c>
      <c r="AZ456" s="63" t="str">
        <f t="shared" si="98"/>
        <v xml:space="preserve"> QUARTZ</v>
      </c>
      <c r="BA456" s="63" t="str">
        <f t="shared" si="99"/>
        <v xml:space="preserve">BLE </v>
      </c>
      <c r="BB456" s="63" t="str">
        <f t="shared" si="100"/>
        <v>25</v>
      </c>
      <c r="BC456" s="135">
        <f t="shared" si="88"/>
        <v>27.5</v>
      </c>
      <c r="BD456" s="1" t="s">
        <v>792</v>
      </c>
      <c r="BE456" s="1" t="s">
        <v>831</v>
      </c>
      <c r="BF456" s="63" t="s">
        <v>793</v>
      </c>
      <c r="BG456" s="1" t="s">
        <v>390</v>
      </c>
      <c r="BH456" s="1" t="str">
        <f t="shared" si="104"/>
        <v xml:space="preserve">BLUE SLATE </v>
      </c>
    </row>
    <row r="457" spans="22:60" x14ac:dyDescent="0.35">
      <c r="V457" s="1" t="str">
        <v>4640 HTS 1CLAR3 G</v>
      </c>
      <c r="X457" s="1" t="str">
        <f t="shared" si="80"/>
        <v>3725 STATICUOM3 G</v>
      </c>
      <c r="Y457" s="1" t="str" cm="1">
        <f t="array" ref="Y457">IFERROR(VLOOKUP($X457,$AN:AO,COLUMN(AO:AO)-COLUMN($AN:$AN)+1,FALSE),"")</f>
        <v>RESUFLOR 3725 STATIC CONTROL EPOXYCUSTOM3 GAL</v>
      </c>
      <c r="Z457" s="63" cm="1">
        <f t="array" ref="Z457">IFERROR(VLOOKUP($X457,$AN:AP,COLUMN(AP:AP)-COLUMN($AN:$AN)+1,FALSE),"")</f>
        <v>790.19999999999993</v>
      </c>
      <c r="AA457" s="1" t="str" cm="1">
        <f t="array" ref="AA457">IFERROR(VLOOKUP($X457,$AN:AQ,COLUMN(AQ:AQ)-COLUMN($AN:$AN)+1,FALSE),"")</f>
        <v>3 GAL</v>
      </c>
      <c r="AC457" s="1" t="str" cm="1">
        <f t="array" ref="AC457">IFERROR(VLOOKUP($X457,$AN:AS,COLUMN(AS:AS)-COLUMN($AN:$AN)+1,FALSE),"")</f>
        <v>CUSTOM</v>
      </c>
      <c r="AD457" s="1" t="s">
        <v>19</v>
      </c>
      <c r="AF457" s="1">
        <f>Table1[[#This Row],[C:C]]*1.1</f>
        <v>0</v>
      </c>
      <c r="AI457" s="1">
        <f>IFERROR(VLOOKUP(X457,#REF!,8,FALSE),0)</f>
        <v>0</v>
      </c>
      <c r="AM457" s="1" t="str">
        <f t="shared" si="105"/>
        <v>25 MESHHPF COLOR QUARTZBRINDLE25 MESHBRINDLE</v>
      </c>
      <c r="AN457" s="1" t="str">
        <f>PROD_ID_TABLE[[#This Row],[PROD ID]]</f>
        <v xml:space="preserve"> QUARTZBRLE25</v>
      </c>
      <c r="AO457" s="1" t="str">
        <f t="shared" si="95"/>
        <v>HPF COLOR QUARTZBRINDLE25 MESH</v>
      </c>
      <c r="AP457" s="3">
        <f t="shared" si="102"/>
        <v>27.5</v>
      </c>
      <c r="AQ457" s="1" t="str">
        <f t="shared" si="96"/>
        <v>25 MESH</v>
      </c>
      <c r="AR457" s="1" t="str">
        <f t="shared" si="103"/>
        <v>HPF COLOR QUARTZBRINDLE25 MESH</v>
      </c>
      <c r="AS457" s="1" t="str">
        <f t="shared" si="97"/>
        <v>BRINDLE</v>
      </c>
      <c r="AT457"/>
      <c r="AU457"/>
      <c r="AV457"/>
      <c r="AY457" s="63" t="str">
        <f t="shared" si="101"/>
        <v xml:space="preserve"> QUARTZBRLE25</v>
      </c>
      <c r="AZ457" s="63" t="str">
        <f t="shared" si="98"/>
        <v xml:space="preserve"> QUARTZ</v>
      </c>
      <c r="BA457" s="63" t="str">
        <f t="shared" si="99"/>
        <v>BRLE</v>
      </c>
      <c r="BB457" s="63" t="str">
        <f t="shared" si="100"/>
        <v>25</v>
      </c>
      <c r="BC457" s="135">
        <f t="shared" si="88"/>
        <v>27.5</v>
      </c>
      <c r="BD457" s="1" t="s">
        <v>792</v>
      </c>
      <c r="BE457" s="1" t="s">
        <v>836</v>
      </c>
      <c r="BF457" s="63" t="s">
        <v>793</v>
      </c>
      <c r="BG457" s="1" t="s">
        <v>390</v>
      </c>
      <c r="BH457" s="1" t="str">
        <f t="shared" si="104"/>
        <v>BRINDLE</v>
      </c>
    </row>
    <row r="458" spans="22:60" x14ac:dyDescent="0.35">
      <c r="V458" s="1" t="str">
        <v>4640 HTS 1CLAR6 G</v>
      </c>
      <c r="X458" s="1" t="str">
        <f t="shared" si="80"/>
        <v xml:space="preserve">3725 STATILIAY15 </v>
      </c>
      <c r="Y458" s="1" t="str" cm="1">
        <f t="array" ref="Y458">IFERROR(VLOOKUP($X458,$AN:AO,COLUMN(AO:AO)-COLUMN($AN:$AN)+1,FALSE),"")</f>
        <v>RESUFLOR 3725 STATIC CONTROL EPOXYLIGHT GRAY15 GAL</v>
      </c>
      <c r="Z458" s="63" cm="1">
        <f t="array" ref="Z458">IFERROR(VLOOKUP($X458,$AN:AP,COLUMN(AP:AP)-COLUMN($AN:$AN)+1,FALSE),"")</f>
        <v>3606</v>
      </c>
      <c r="AA458" s="1" t="str" cm="1">
        <f t="array" ref="AA458">IFERROR(VLOOKUP($X458,$AN:AQ,COLUMN(AQ:AQ)-COLUMN($AN:$AN)+1,FALSE),"")</f>
        <v>15 GAL</v>
      </c>
      <c r="AC458" s="1" t="str" cm="1">
        <f t="array" ref="AC458">IFERROR(VLOOKUP($X458,$AN:AS,COLUMN(AS:AS)-COLUMN($AN:$AN)+1,FALSE),"")</f>
        <v>LIGHT GRAY</v>
      </c>
      <c r="AD458" s="1" t="s">
        <v>19</v>
      </c>
      <c r="AF458" s="1">
        <f>Table1[[#This Row],[C:C]]*1.1</f>
        <v>0</v>
      </c>
      <c r="AI458" s="1">
        <f>IFERROR(VLOOKUP(X458,#REF!,8,FALSE),0)</f>
        <v>0</v>
      </c>
      <c r="AM458" s="1" t="str">
        <f t="shared" si="105"/>
        <v>25 MESHHPF COLOR QUARTZBRISKETBRISKET</v>
      </c>
      <c r="AN458" s="1" t="str">
        <f>PROD_ID_TABLE[[#This Row],[PROD ID]]</f>
        <v xml:space="preserve"> QUARTZBRET25</v>
      </c>
      <c r="AO458" s="1" t="str">
        <f t="shared" si="95"/>
        <v>HPF COLOR QUARTZBRISKET25 MESH</v>
      </c>
      <c r="AP458" s="3">
        <f t="shared" si="102"/>
        <v>27.5</v>
      </c>
      <c r="AQ458" s="1" t="str">
        <f t="shared" si="96"/>
        <v>25 MESH</v>
      </c>
      <c r="AR458" s="1" t="str">
        <f>_xlfn.CONCAT(BD458:BE458)</f>
        <v>HPF COLOR QUARTZBRISKET</v>
      </c>
      <c r="AS458" s="1" t="str">
        <f t="shared" si="97"/>
        <v>BRISKET</v>
      </c>
      <c r="AT458"/>
      <c r="AU458"/>
      <c r="AV458"/>
      <c r="AY458" s="63" t="str">
        <f t="shared" si="101"/>
        <v xml:space="preserve"> QUARTZBRET25</v>
      </c>
      <c r="AZ458" s="63" t="str">
        <f t="shared" si="98"/>
        <v xml:space="preserve"> QUARTZ</v>
      </c>
      <c r="BA458" s="63" t="str">
        <f t="shared" si="99"/>
        <v>BRET</v>
      </c>
      <c r="BB458" s="63" t="str">
        <f t="shared" si="100"/>
        <v>25</v>
      </c>
      <c r="BC458" s="135">
        <f t="shared" si="88"/>
        <v>27.5</v>
      </c>
      <c r="BD458" s="1" t="s">
        <v>792</v>
      </c>
      <c r="BE458" s="1" t="s">
        <v>835</v>
      </c>
      <c r="BF458" s="63" t="s">
        <v>793</v>
      </c>
      <c r="BG458" s="1" t="s">
        <v>390</v>
      </c>
      <c r="BH458" s="1" t="str">
        <f t="shared" si="104"/>
        <v>BRISKET</v>
      </c>
    </row>
    <row r="459" spans="22:60" x14ac:dyDescent="0.35">
      <c r="V459" s="1" t="str">
        <v>AQUA 4411 CLAR1.2</v>
      </c>
      <c r="X459" s="1" t="str">
        <f t="shared" si="80"/>
        <v xml:space="preserve">3725 STATIMEAY15 </v>
      </c>
      <c r="Y459" s="1" t="str" cm="1">
        <f t="array" ref="Y459">IFERROR(VLOOKUP($X459,$AN:AO,COLUMN(AO:AO)-COLUMN($AN:$AN)+1,FALSE),"")</f>
        <v>RESUFLOR 3725 STATIC CONTROL EPOXYMEDIUM GRAY15 GAL</v>
      </c>
      <c r="Z459" s="63" cm="1">
        <f t="array" ref="Z459">IFERROR(VLOOKUP($X459,$AN:AP,COLUMN(AP:AP)-COLUMN($AN:$AN)+1,FALSE),"")</f>
        <v>3606</v>
      </c>
      <c r="AA459" s="1" t="str" cm="1">
        <f t="array" ref="AA459">IFERROR(VLOOKUP($X459,$AN:AQ,COLUMN(AQ:AQ)-COLUMN($AN:$AN)+1,FALSE),"")</f>
        <v>15 GAL</v>
      </c>
      <c r="AC459" s="1" t="str" cm="1">
        <f t="array" ref="AC459">IFERROR(VLOOKUP($X459,$AN:AS,COLUMN(AS:AS)-COLUMN($AN:$AN)+1,FALSE),"")</f>
        <v>MEDIUM GRAY</v>
      </c>
      <c r="AD459" s="1" t="s">
        <v>19</v>
      </c>
      <c r="AF459" s="1">
        <f>Table1[[#This Row],[C:C]]*1.1</f>
        <v>0</v>
      </c>
      <c r="AI459" s="1">
        <f>IFERROR(VLOOKUP(X459,#REF!,8,FALSE),0)</f>
        <v>0</v>
      </c>
      <c r="AM459" s="1" t="str">
        <f t="shared" si="105"/>
        <v>25 MESHHPF COLOR QUARTZCATERPILLAR25 MESHCATERPILLAR</v>
      </c>
      <c r="AN459" s="1" t="str">
        <f>PROD_ID_TABLE[[#This Row],[PROD ID]]</f>
        <v xml:space="preserve"> QUARTZCAAR25</v>
      </c>
      <c r="AO459" s="1" t="str">
        <f t="shared" si="95"/>
        <v>HPF COLOR QUARTZCATERPILLAR25 MESH</v>
      </c>
      <c r="AP459" s="3">
        <f t="shared" si="102"/>
        <v>27.5</v>
      </c>
      <c r="AQ459" s="1" t="str">
        <f t="shared" si="96"/>
        <v>25 MESH</v>
      </c>
      <c r="AR459" s="1" t="str">
        <f t="shared" si="103"/>
        <v>HPF COLOR QUARTZCATERPILLAR25 MESH</v>
      </c>
      <c r="AS459" s="1" t="str">
        <f t="shared" si="97"/>
        <v>CATERPILLAR</v>
      </c>
      <c r="AT459"/>
      <c r="AU459"/>
      <c r="AV459"/>
      <c r="AY459" s="63" t="str">
        <f t="shared" si="101"/>
        <v xml:space="preserve"> QUARTZCAAR25</v>
      </c>
      <c r="AZ459" s="63" t="str">
        <f t="shared" si="98"/>
        <v xml:space="preserve"> QUARTZ</v>
      </c>
      <c r="BA459" s="63" t="str">
        <f t="shared" si="99"/>
        <v>CAAR</v>
      </c>
      <c r="BB459" s="63" t="str">
        <f t="shared" si="100"/>
        <v>25</v>
      </c>
      <c r="BC459" s="135">
        <f t="shared" si="88"/>
        <v>27.5</v>
      </c>
      <c r="BD459" s="1" t="s">
        <v>792</v>
      </c>
      <c r="BE459" s="1" t="s">
        <v>844</v>
      </c>
      <c r="BF459" s="63" t="s">
        <v>793</v>
      </c>
      <c r="BG459" s="1" t="s">
        <v>390</v>
      </c>
      <c r="BH459" s="1" t="str">
        <f t="shared" si="104"/>
        <v>CATERPILLAR</v>
      </c>
    </row>
    <row r="460" spans="22:60" x14ac:dyDescent="0.35">
      <c r="V460" s="1" t="str">
        <v>AQUA 4411 CLAR5 G</v>
      </c>
      <c r="X460" s="1" t="str">
        <f t="shared" si="80"/>
        <v>4638 HS POCLAR3 G</v>
      </c>
      <c r="Y460" s="1" t="str" cm="1">
        <f t="array" ref="Y460">IFERROR(VLOOKUP($X460,$AN:AO,COLUMN(AO:AO)-COLUMN($AN:$AN)+1,FALSE),"")</f>
        <v>RESUTILE 4638 HS POLYURETHANE FLOOR ENAMELCLEAR3 GAL</v>
      </c>
      <c r="Z460" s="63" cm="1">
        <f t="array" ref="Z460">IFERROR(VLOOKUP($X460,$AN:AP,COLUMN(AP:AP)-COLUMN($AN:$AN)+1,FALSE),"")</f>
        <v>305.43</v>
      </c>
      <c r="AA460" s="1" t="str" cm="1">
        <f t="array" ref="AA460">IFERROR(VLOOKUP($X460,$AN:AQ,COLUMN(AQ:AQ)-COLUMN($AN:$AN)+1,FALSE),"")</f>
        <v>3 GAL</v>
      </c>
      <c r="AC460" s="1" t="str" cm="1">
        <f t="array" ref="AC460">IFERROR(VLOOKUP($X460,$AN:AS,COLUMN(AS:AS)-COLUMN($AN:$AN)+1,FALSE),"")</f>
        <v>CLEAR</v>
      </c>
      <c r="AD460" s="1" t="s">
        <v>19</v>
      </c>
      <c r="AF460" s="1">
        <f>Table1[[#This Row],[C:C]]*1.1</f>
        <v>0</v>
      </c>
      <c r="AI460" s="1">
        <f>IFERROR(VLOOKUP(X460,#REF!,8,FALSE),0)</f>
        <v>0</v>
      </c>
      <c r="AM460" s="1" t="str">
        <f t="shared" si="105"/>
        <v>25 MESHHPF COLOR QUARTZCUSTOM BLENDCUSTOM BLEND</v>
      </c>
      <c r="AN460" s="1" t="str">
        <f>PROD_ID_TABLE[[#This Row],[PROD ID]]</f>
        <v xml:space="preserve"> QUARTZCUND25</v>
      </c>
      <c r="AO460" s="1" t="str">
        <f t="shared" si="95"/>
        <v>HPF COLOR QUARTZCUSTOM BLEND25 MESH</v>
      </c>
      <c r="AP460" s="3">
        <f t="shared" si="102"/>
        <v>27.5</v>
      </c>
      <c r="AQ460" s="1" t="str">
        <f t="shared" si="96"/>
        <v>25 MESH</v>
      </c>
      <c r="AR460" s="1" t="str">
        <f>_xlfn.CONCAT(BD460:BE460)</f>
        <v>HPF COLOR QUARTZCUSTOM BLEND</v>
      </c>
      <c r="AS460" s="1" t="str">
        <f t="shared" si="97"/>
        <v>CUSTOM BLEND</v>
      </c>
      <c r="AT460"/>
      <c r="AU460"/>
      <c r="AV460"/>
      <c r="AY460" s="63" t="str">
        <f t="shared" si="101"/>
        <v xml:space="preserve"> QUARTZCUND25</v>
      </c>
      <c r="AZ460" s="63" t="str">
        <f t="shared" si="98"/>
        <v xml:space="preserve"> QUARTZ</v>
      </c>
      <c r="BA460" s="63" t="str">
        <f t="shared" si="99"/>
        <v>CUND</v>
      </c>
      <c r="BB460" s="63" t="str">
        <f t="shared" si="100"/>
        <v>25</v>
      </c>
      <c r="BC460" s="135">
        <f t="shared" si="88"/>
        <v>27.5</v>
      </c>
      <c r="BD460" s="1" t="s">
        <v>792</v>
      </c>
      <c r="BE460" s="1" t="s">
        <v>798</v>
      </c>
      <c r="BF460" s="63" t="s">
        <v>793</v>
      </c>
      <c r="BG460" s="1" t="s">
        <v>390</v>
      </c>
      <c r="BH460" s="1" t="str">
        <f t="shared" si="104"/>
        <v>CUSTOM BLEND</v>
      </c>
    </row>
    <row r="461" spans="22:60" x14ac:dyDescent="0.35">
      <c r="V461" s="1" t="str">
        <v>AQUA 4410 CUOM1.2</v>
      </c>
      <c r="X461" s="1" t="str">
        <f t="shared" ref="X461:X524" si="106">V449</f>
        <v>4638 HS POCUOM3 G</v>
      </c>
      <c r="Y461" s="1" t="str" cm="1">
        <f t="array" ref="Y461">IFERROR(VLOOKUP($X461,$AN:AO,COLUMN(AO:AO)-COLUMN($AN:$AN)+1,FALSE),"")</f>
        <v>RESUTILE 4638 HS POLYURETHANE FLOOR ENAMELCUSTOM3 GAL</v>
      </c>
      <c r="Z461" s="63" cm="1">
        <f t="array" ref="Z461">IFERROR(VLOOKUP($X461,$AN:AP,COLUMN(AP:AP)-COLUMN($AN:$AN)+1,FALSE),"")</f>
        <v>305.43</v>
      </c>
      <c r="AA461" s="1" t="str" cm="1">
        <f t="array" ref="AA461">IFERROR(VLOOKUP($X461,$AN:AQ,COLUMN(AQ:AQ)-COLUMN($AN:$AN)+1,FALSE),"")</f>
        <v>3 GAL</v>
      </c>
      <c r="AC461" s="1" t="str" cm="1">
        <f t="array" ref="AC461">IFERROR(VLOOKUP($X461,$AN:AS,COLUMN(AS:AS)-COLUMN($AN:$AN)+1,FALSE),"")</f>
        <v>CUSTOM</v>
      </c>
      <c r="AD461" s="1" t="s">
        <v>19</v>
      </c>
      <c r="AF461" s="1">
        <f>Table1[[#This Row],[C:C]]*1.1</f>
        <v>0</v>
      </c>
      <c r="AI461" s="1">
        <f>IFERROR(VLOOKUP(X461,#REF!,8,FALSE),0)</f>
        <v>0</v>
      </c>
      <c r="AM461" s="1" t="str">
        <f t="shared" si="105"/>
        <v>25 MESHHPF COLOR QUARTZGRASSLAND25 MESHGRASSLAND</v>
      </c>
      <c r="AN461" s="1" t="str">
        <f>PROD_ID_TABLE[[#This Row],[PROD ID]]</f>
        <v xml:space="preserve"> QUARTZGRND25</v>
      </c>
      <c r="AO461" s="1" t="str">
        <f t="shared" si="95"/>
        <v>HPF COLOR QUARTZGRASSLAND25 MESH</v>
      </c>
      <c r="AP461" s="3">
        <f t="shared" si="102"/>
        <v>27.5</v>
      </c>
      <c r="AQ461" s="1" t="str">
        <f t="shared" si="96"/>
        <v>25 MESH</v>
      </c>
      <c r="AR461" s="1" t="str">
        <f t="shared" si="103"/>
        <v>HPF COLOR QUARTZGRASSLAND25 MESH</v>
      </c>
      <c r="AS461" s="1" t="str">
        <f t="shared" si="97"/>
        <v>GRASSLAND</v>
      </c>
      <c r="AT461"/>
      <c r="AU461"/>
      <c r="AV461"/>
      <c r="AY461" s="63" t="str">
        <f t="shared" si="101"/>
        <v xml:space="preserve"> QUARTZGRND25</v>
      </c>
      <c r="AZ461" s="63" t="str">
        <f t="shared" si="98"/>
        <v xml:space="preserve"> QUARTZ</v>
      </c>
      <c r="BA461" s="63" t="str">
        <f t="shared" si="99"/>
        <v>GRND</v>
      </c>
      <c r="BB461" s="63" t="str">
        <f t="shared" si="100"/>
        <v>25</v>
      </c>
      <c r="BC461" s="135">
        <f t="shared" si="88"/>
        <v>27.5</v>
      </c>
      <c r="BD461" s="1" t="s">
        <v>792</v>
      </c>
      <c r="BE461" s="1" t="s">
        <v>845</v>
      </c>
      <c r="BF461" s="63" t="s">
        <v>793</v>
      </c>
      <c r="BG461" s="1" t="s">
        <v>390</v>
      </c>
      <c r="BH461" s="1" t="str">
        <f t="shared" si="104"/>
        <v>GRASSLAND</v>
      </c>
    </row>
    <row r="462" spans="22:60" x14ac:dyDescent="0.35">
      <c r="V462" s="1" t="str">
        <v>AQUA 4410 WHTE1.2</v>
      </c>
      <c r="X462" s="1" t="str">
        <f t="shared" si="106"/>
        <v>4638 HS POWHTE3 G</v>
      </c>
      <c r="Y462" s="1" t="str" cm="1">
        <f t="array" ref="Y462">IFERROR(VLOOKUP($X462,$AN:AO,COLUMN(AO:AO)-COLUMN($AN:$AN)+1,FALSE),"")</f>
        <v>RESUTILE 4638 HS POLYURETHANE FLOOR ENAMELWHITE3 GAL</v>
      </c>
      <c r="Z462" s="63" cm="1">
        <f t="array" ref="Z462">IFERROR(VLOOKUP($X462,$AN:AP,COLUMN(AP:AP)-COLUMN($AN:$AN)+1,FALSE),"")</f>
        <v>305.43</v>
      </c>
      <c r="AA462" s="1" t="str" cm="1">
        <f t="array" ref="AA462">IFERROR(VLOOKUP($X462,$AN:AQ,COLUMN(AQ:AQ)-COLUMN($AN:$AN)+1,FALSE),"")</f>
        <v>3 GAL</v>
      </c>
      <c r="AC462" s="1" t="str" cm="1">
        <f t="array" ref="AC462">IFERROR(VLOOKUP($X462,$AN:AS,COLUMN(AS:AS)-COLUMN($AN:$AN)+1,FALSE),"")</f>
        <v>WHITE</v>
      </c>
      <c r="AD462" s="1" t="s">
        <v>19</v>
      </c>
      <c r="AF462" s="1">
        <f>Table1[[#This Row],[C:C]]*1.1</f>
        <v>0</v>
      </c>
      <c r="AI462" s="1">
        <f>IFERROR(VLOOKUP(X462,#REF!,8,FALSE),0)</f>
        <v>0</v>
      </c>
      <c r="AM462" s="1" t="str">
        <f t="shared" si="105"/>
        <v>25 MESHHPF COLOR QUARTZLAGOONLAGOON</v>
      </c>
      <c r="AN462" s="1" t="str">
        <f>PROD_ID_TABLE[[#This Row],[PROD ID]]</f>
        <v xml:space="preserve"> QUARTZLAON25</v>
      </c>
      <c r="AO462" s="1" t="str">
        <f t="shared" si="95"/>
        <v>HPF COLOR QUARTZLAGOON25 MESH</v>
      </c>
      <c r="AP462" s="3">
        <f t="shared" si="102"/>
        <v>27.5</v>
      </c>
      <c r="AQ462" s="1" t="str">
        <f t="shared" si="96"/>
        <v>25 MESH</v>
      </c>
      <c r="AR462" s="1" t="str">
        <f>_xlfn.CONCAT(BD462:BE462)</f>
        <v>HPF COLOR QUARTZLAGOON</v>
      </c>
      <c r="AS462" s="1" t="str">
        <f t="shared" si="97"/>
        <v>LAGOON</v>
      </c>
      <c r="AT462"/>
      <c r="AU462"/>
      <c r="AV462"/>
      <c r="AY462" s="63" t="str">
        <f t="shared" si="101"/>
        <v xml:space="preserve"> QUARTZLAON25</v>
      </c>
      <c r="AZ462" s="63" t="str">
        <f t="shared" si="98"/>
        <v xml:space="preserve"> QUARTZ</v>
      </c>
      <c r="BA462" s="63" t="str">
        <f t="shared" si="99"/>
        <v>LAON</v>
      </c>
      <c r="BB462" s="63" t="str">
        <f t="shared" si="100"/>
        <v>25</v>
      </c>
      <c r="BC462" s="135">
        <f t="shared" si="88"/>
        <v>27.5</v>
      </c>
      <c r="BD462" s="1" t="s">
        <v>792</v>
      </c>
      <c r="BE462" s="1" t="s">
        <v>838</v>
      </c>
      <c r="BF462" s="63" t="s">
        <v>793</v>
      </c>
      <c r="BG462" s="1" t="s">
        <v>390</v>
      </c>
      <c r="BH462" s="1" t="str">
        <f t="shared" si="104"/>
        <v>LAGOON</v>
      </c>
    </row>
    <row r="463" spans="22:60" x14ac:dyDescent="0.35">
      <c r="V463" s="1" t="str">
        <v>AQUA 4410 BLCK1.2</v>
      </c>
      <c r="X463" s="1" t="str">
        <f t="shared" si="106"/>
        <v xml:space="preserve">4638 HS POCLAR15 </v>
      </c>
      <c r="Y463" s="1" t="str" cm="1">
        <f t="array" ref="Y463">IFERROR(VLOOKUP($X463,$AN:AO,COLUMN(AO:AO)-COLUMN($AN:$AN)+1,FALSE),"")</f>
        <v>RESUTILE 4638 HS POLYURETHANE FLOOR ENAMELCLEAR15 GAL</v>
      </c>
      <c r="Z463" s="63" cm="1">
        <f t="array" ref="Z463">IFERROR(VLOOKUP($X463,$AN:AP,COLUMN(AP:AP)-COLUMN($AN:$AN)+1,FALSE),"")</f>
        <v>1456.54</v>
      </c>
      <c r="AA463" s="1" t="str" cm="1">
        <f t="array" ref="AA463">IFERROR(VLOOKUP($X463,$AN:AQ,COLUMN(AQ:AQ)-COLUMN($AN:$AN)+1,FALSE),"")</f>
        <v>15 GAL</v>
      </c>
      <c r="AC463" s="1" t="str" cm="1">
        <f t="array" ref="AC463">IFERROR(VLOOKUP($X463,$AN:AS,COLUMN(AS:AS)-COLUMN($AN:$AN)+1,FALSE),"")</f>
        <v>CLEAR</v>
      </c>
      <c r="AD463" s="1" t="s">
        <v>19</v>
      </c>
      <c r="AF463" s="1">
        <f>Table1[[#This Row],[C:C]]*1.1</f>
        <v>0</v>
      </c>
      <c r="AI463" s="1">
        <f>IFERROR(VLOOKUP(X463,#REF!,8,FALSE),0)</f>
        <v>0</v>
      </c>
      <c r="AM463" s="1" t="str">
        <f t="shared" si="105"/>
        <v>25 MESHHPF COLOR QUARTZMOJAVE25 MESHMOJAVE</v>
      </c>
      <c r="AN463" s="1" t="str">
        <f>PROD_ID_TABLE[[#This Row],[PROD ID]]</f>
        <v xml:space="preserve"> QUARTZMOVE25</v>
      </c>
      <c r="AO463" s="1" t="str">
        <f t="shared" si="95"/>
        <v>HPF COLOR QUARTZMOJAVE25 MESH</v>
      </c>
      <c r="AP463" s="3">
        <f t="shared" si="102"/>
        <v>27.5</v>
      </c>
      <c r="AQ463" s="1" t="str">
        <f t="shared" si="96"/>
        <v>25 MESH</v>
      </c>
      <c r="AR463" s="1" t="str">
        <f t="shared" si="103"/>
        <v>HPF COLOR QUARTZMOJAVE25 MESH</v>
      </c>
      <c r="AS463" s="1" t="str">
        <f t="shared" si="97"/>
        <v>MOJAVE</v>
      </c>
      <c r="AT463"/>
      <c r="AU463"/>
      <c r="AV463"/>
      <c r="AY463" s="63" t="str">
        <f t="shared" si="101"/>
        <v xml:space="preserve"> QUARTZMOVE25</v>
      </c>
      <c r="AZ463" s="63" t="str">
        <f t="shared" si="98"/>
        <v xml:space="preserve"> QUARTZ</v>
      </c>
      <c r="BA463" s="63" t="str">
        <f t="shared" si="99"/>
        <v>MOVE</v>
      </c>
      <c r="BB463" s="63" t="str">
        <f t="shared" si="100"/>
        <v>25</v>
      </c>
      <c r="BC463" s="135">
        <f t="shared" si="88"/>
        <v>27.5</v>
      </c>
      <c r="BD463" s="1" t="s">
        <v>792</v>
      </c>
      <c r="BE463" s="1" t="s">
        <v>842</v>
      </c>
      <c r="BF463" s="63" t="s">
        <v>793</v>
      </c>
      <c r="BG463" s="1" t="s">
        <v>390</v>
      </c>
      <c r="BH463" s="1" t="str">
        <f t="shared" si="104"/>
        <v>MOJAVE</v>
      </c>
    </row>
    <row r="464" spans="22:60" x14ac:dyDescent="0.35">
      <c r="V464" s="1" t="str">
        <v>AQUA 4410 BOTE1.2</v>
      </c>
      <c r="X464" s="1" t="str">
        <f t="shared" si="106"/>
        <v xml:space="preserve">4638 HS POCUOM15 </v>
      </c>
      <c r="Y464" s="1" t="str" cm="1">
        <f t="array" ref="Y464">IFERROR(VLOOKUP($X464,$AN:AO,COLUMN(AO:AO)-COLUMN($AN:$AN)+1,FALSE),"")</f>
        <v>RESUTILE 4638 HS POLYURETHANE FLOOR ENAMELCUSTOM15 GAL</v>
      </c>
      <c r="Z464" s="63" cm="1">
        <f t="array" ref="Z464">IFERROR(VLOOKUP($X464,$AN:AP,COLUMN(AP:AP)-COLUMN($AN:$AN)+1,FALSE),"")</f>
        <v>1456.54</v>
      </c>
      <c r="AA464" s="1" t="str" cm="1">
        <f t="array" ref="AA464">IFERROR(VLOOKUP($X464,$AN:AQ,COLUMN(AQ:AQ)-COLUMN($AN:$AN)+1,FALSE),"")</f>
        <v>15 GAL</v>
      </c>
      <c r="AC464" s="1" t="str" cm="1">
        <f t="array" ref="AC464">IFERROR(VLOOKUP($X464,$AN:AS,COLUMN(AS:AS)-COLUMN($AN:$AN)+1,FALSE),"")</f>
        <v>CUSTOM</v>
      </c>
      <c r="AD464" s="1" t="s">
        <v>19</v>
      </c>
      <c r="AF464" s="1">
        <f>Table1[[#This Row],[C:C]]*1.1</f>
        <v>0</v>
      </c>
      <c r="AI464" s="1">
        <f>IFERROR(VLOOKUP(X464,#REF!,8,FALSE),0)</f>
        <v>0</v>
      </c>
      <c r="AN464" s="1" t="str">
        <f>PROD_ID_TABLE[[#This Row],[PROD ID]]</f>
        <v xml:space="preserve"> QUARTZMUIE25</v>
      </c>
      <c r="AO464" s="1" t="str">
        <f t="shared" ref="AO464:AO495" si="107">_xlfn.CONCAT(BD464:BF464)</f>
        <v>HPF COLOR QUARTZMUD PIE25 MESH</v>
      </c>
      <c r="AP464" s="3">
        <f t="shared" si="102"/>
        <v>27.5</v>
      </c>
      <c r="AQ464" s="1" t="str">
        <f t="shared" ref="AQ464:AQ495" si="108">BF464</f>
        <v>25 MESH</v>
      </c>
      <c r="AR464" s="1" t="str">
        <f>_xlfn.CONCAT(BD464:BE464)</f>
        <v>HPF COLOR QUARTZMUD PIE</v>
      </c>
      <c r="AS464" s="1" t="str">
        <f t="shared" ref="AS464:AS495" si="109">BE464</f>
        <v>MUD PIE</v>
      </c>
      <c r="AT464"/>
      <c r="AU464"/>
      <c r="AV464"/>
      <c r="AY464" s="63" t="str">
        <f t="shared" si="101"/>
        <v xml:space="preserve"> QUARTZMUIE25</v>
      </c>
      <c r="AZ464" s="63" t="str">
        <f t="shared" ref="AZ464:AZ495" si="110">MID(BD464,10,10)</f>
        <v xml:space="preserve"> QUARTZ</v>
      </c>
      <c r="BA464" s="63" t="str">
        <f t="shared" ref="BA464:BA495" si="111">LEFT(BE464,2)&amp;RIGHT(BE464,2)</f>
        <v>MUIE</v>
      </c>
      <c r="BB464" s="63" t="str">
        <f t="shared" ref="BB464:BB495" si="112">LEFT(BF464,2)</f>
        <v>25</v>
      </c>
      <c r="BC464" s="135">
        <f t="shared" si="88"/>
        <v>27.5</v>
      </c>
      <c r="BD464" s="1" t="s">
        <v>792</v>
      </c>
      <c r="BE464" s="1" t="s">
        <v>843</v>
      </c>
      <c r="BF464" s="63" t="s">
        <v>793</v>
      </c>
      <c r="BG464" s="1" t="s">
        <v>390</v>
      </c>
      <c r="BH464" s="1" t="str">
        <f t="shared" si="104"/>
        <v>MUD PIE</v>
      </c>
    </row>
    <row r="465" spans="22:60" x14ac:dyDescent="0.35">
      <c r="V465" s="1" t="str">
        <v>AQUA 4410 CAAY1.2</v>
      </c>
      <c r="X465" s="1" t="str">
        <f t="shared" si="106"/>
        <v xml:space="preserve">4638 HS POWHTE15 </v>
      </c>
      <c r="Y465" s="1" t="str" cm="1">
        <f t="array" ref="Y465">IFERROR(VLOOKUP($X465,$AN:AO,COLUMN(AO:AO)-COLUMN($AN:$AN)+1,FALSE),"")</f>
        <v>RESUTILE 4638 HS POLYURETHANE FLOOR ENAMELWHITE15 GAL</v>
      </c>
      <c r="Z465" s="63" cm="1">
        <f t="array" ref="Z465">IFERROR(VLOOKUP($X465,$AN:AP,COLUMN(AP:AP)-COLUMN($AN:$AN)+1,FALSE),"")</f>
        <v>1456.54</v>
      </c>
      <c r="AA465" s="1" t="str" cm="1">
        <f t="array" ref="AA465">IFERROR(VLOOKUP($X465,$AN:AQ,COLUMN(AQ:AQ)-COLUMN($AN:$AN)+1,FALSE),"")</f>
        <v>15 GAL</v>
      </c>
      <c r="AC465" s="1" t="str" cm="1">
        <f t="array" ref="AC465">IFERROR(VLOOKUP($X465,$AN:AS,COLUMN(AS:AS)-COLUMN($AN:$AN)+1,FALSE),"")</f>
        <v>WHITE</v>
      </c>
      <c r="AD465" s="1" t="s">
        <v>19</v>
      </c>
      <c r="AF465" s="1">
        <f>Table1[[#This Row],[C:C]]*1.1</f>
        <v>0</v>
      </c>
      <c r="AI465" s="1">
        <f>IFERROR(VLOOKUP(X465,#REF!,8,FALSE),0)</f>
        <v>0</v>
      </c>
      <c r="AN465" s="1" t="str">
        <f>PROD_ID_TABLE[[#This Row],[PROD ID]]</f>
        <v xml:space="preserve"> QUARTZNETE25</v>
      </c>
      <c r="AO465" s="1" t="str">
        <f t="shared" si="107"/>
        <v>HPF COLOR QUARTZNEW GRANITE25 MESH</v>
      </c>
      <c r="AP465" s="3">
        <f t="shared" si="102"/>
        <v>27.5</v>
      </c>
      <c r="AQ465" s="1" t="str">
        <f t="shared" si="108"/>
        <v>25 MESH</v>
      </c>
      <c r="AR465" s="1" t="str">
        <f t="shared" si="103"/>
        <v>HPF COLOR QUARTZNEW GRANITE25 MESH</v>
      </c>
      <c r="AS465" s="1" t="str">
        <f t="shared" si="109"/>
        <v>NEW GRANITE</v>
      </c>
      <c r="AY465" s="63" t="str">
        <f t="shared" si="101"/>
        <v xml:space="preserve"> QUARTZNETE25</v>
      </c>
      <c r="AZ465" s="63" t="str">
        <f t="shared" si="110"/>
        <v xml:space="preserve"> QUARTZ</v>
      </c>
      <c r="BA465" s="63" t="str">
        <f t="shared" si="111"/>
        <v>NETE</v>
      </c>
      <c r="BB465" s="63" t="str">
        <f t="shared" si="112"/>
        <v>25</v>
      </c>
      <c r="BC465" s="135">
        <f t="shared" si="88"/>
        <v>27.5</v>
      </c>
      <c r="BD465" s="1" t="s">
        <v>792</v>
      </c>
      <c r="BE465" s="1" t="s">
        <v>834</v>
      </c>
      <c r="BF465" s="63" t="s">
        <v>793</v>
      </c>
      <c r="BG465" s="1" t="s">
        <v>390</v>
      </c>
      <c r="BH465" s="1" t="str">
        <f t="shared" si="104"/>
        <v>NEW GRANITE</v>
      </c>
    </row>
    <row r="466" spans="22:60" x14ac:dyDescent="0.35">
      <c r="V466" s="1" t="str">
        <v>AQUA 4410 CAEL1.2</v>
      </c>
      <c r="X466" s="1" t="str">
        <f t="shared" si="106"/>
        <v xml:space="preserve">4641 HPS 1CLAR.9 </v>
      </c>
      <c r="Y466" s="1" t="str" cm="1">
        <f t="array" ref="Y466">IFERROR(VLOOKUP($X466,$AN:AO,COLUMN(AO:AO)-COLUMN($AN:$AN)+1,FALSE),"")</f>
        <v>RESUTILE 4641 HPS 100 HS ALIPHATIC URETHANE TOPCOATCLEAR.9 GAL</v>
      </c>
      <c r="Z466" s="63" cm="1">
        <f t="array" ref="Z466">IFERROR(VLOOKUP($X466,$AN:AP,COLUMN(AP:AP)-COLUMN($AN:$AN)+1,FALSE),"")</f>
        <v>234.81</v>
      </c>
      <c r="AA466" s="1" t="str" cm="1">
        <f t="array" ref="AA466">IFERROR(VLOOKUP($X466,$AN:AQ,COLUMN(AQ:AQ)-COLUMN($AN:$AN)+1,FALSE),"")</f>
        <v>.9 GAL</v>
      </c>
      <c r="AC466" s="1" t="str" cm="1">
        <f t="array" ref="AC466">IFERROR(VLOOKUP($X466,$AN:AS,COLUMN(AS:AS)-COLUMN($AN:$AN)+1,FALSE),"")</f>
        <v>CLEAR</v>
      </c>
      <c r="AD466" s="1" t="s">
        <v>19</v>
      </c>
      <c r="AF466" s="1">
        <f>Table1[[#This Row],[C:C]]*1.1</f>
        <v>0</v>
      </c>
      <c r="AI466" s="1">
        <f>IFERROR(VLOOKUP(X466,#REF!,8,FALSE),0)</f>
        <v>0</v>
      </c>
      <c r="AN466" s="1" t="str">
        <f>PROD_ID_TABLE[[#This Row],[PROD ID]]</f>
        <v xml:space="preserve"> QUARTZNIKY25</v>
      </c>
      <c r="AO466" s="1" t="str">
        <f t="shared" si="107"/>
        <v>HPF COLOR QUARTZNIGHT SKY25 MESH</v>
      </c>
      <c r="AP466" s="3">
        <f t="shared" si="102"/>
        <v>27.5</v>
      </c>
      <c r="AQ466" s="1" t="str">
        <f t="shared" si="108"/>
        <v>25 MESH</v>
      </c>
      <c r="AR466" s="1" t="str">
        <f>_xlfn.CONCAT(BD466:BE466)</f>
        <v>HPF COLOR QUARTZNIGHT SKY</v>
      </c>
      <c r="AS466" s="1" t="str">
        <f t="shared" si="109"/>
        <v>NIGHT SKY</v>
      </c>
      <c r="AY466" s="63" t="str">
        <f t="shared" si="101"/>
        <v xml:space="preserve"> QUARTZNIKY25</v>
      </c>
      <c r="AZ466" s="63" t="str">
        <f t="shared" si="110"/>
        <v xml:space="preserve"> QUARTZ</v>
      </c>
      <c r="BA466" s="63" t="str">
        <f t="shared" si="111"/>
        <v>NIKY</v>
      </c>
      <c r="BB466" s="63" t="str">
        <f t="shared" si="112"/>
        <v>25</v>
      </c>
      <c r="BC466" s="135">
        <f t="shared" si="88"/>
        <v>27.5</v>
      </c>
      <c r="BD466" s="1" t="s">
        <v>792</v>
      </c>
      <c r="BE466" s="1" t="s">
        <v>833</v>
      </c>
      <c r="BF466" s="63" t="s">
        <v>793</v>
      </c>
      <c r="BG466" s="1" t="s">
        <v>390</v>
      </c>
      <c r="BH466" s="1" t="str">
        <f t="shared" si="104"/>
        <v>NIGHT SKY</v>
      </c>
    </row>
    <row r="467" spans="22:60" x14ac:dyDescent="0.35">
      <c r="V467" s="1" t="str">
        <v>AQUA 4410 CHAL1.2</v>
      </c>
      <c r="X467" s="1" t="str">
        <f t="shared" si="106"/>
        <v>4641 HPS 1CLAR1.8</v>
      </c>
      <c r="Y467" s="1" t="str" cm="1">
        <f t="array" ref="Y467">IFERROR(VLOOKUP($X467,$AN:AO,COLUMN(AO:AO)-COLUMN($AN:$AN)+1,FALSE),"")</f>
        <v>RESUTILE 4641 HPS 100 HS ALIPHATIC URETHANE TOPCOATCLEAR1.8 GAL</v>
      </c>
      <c r="Z467" s="63" cm="1">
        <f t="array" ref="Z467">IFERROR(VLOOKUP($X467,$AN:AP,COLUMN(AP:AP)-COLUMN($AN:$AN)+1,FALSE),"")</f>
        <v>416.07</v>
      </c>
      <c r="AA467" s="1" t="str" cm="1">
        <f t="array" ref="AA467">IFERROR(VLOOKUP($X467,$AN:AQ,COLUMN(AQ:AQ)-COLUMN($AN:$AN)+1,FALSE),"")</f>
        <v>1.8 GAL</v>
      </c>
      <c r="AC467" s="1" t="str" cm="1">
        <f t="array" ref="AC467">IFERROR(VLOOKUP($X467,$AN:AS,COLUMN(AS:AS)-COLUMN($AN:$AN)+1,FALSE),"")</f>
        <v>CLEAR</v>
      </c>
      <c r="AD467" s="1" t="s">
        <v>19</v>
      </c>
      <c r="AF467" s="1">
        <f>Table1[[#This Row],[C:C]]*1.1</f>
        <v>0</v>
      </c>
      <c r="AI467" s="1">
        <f>IFERROR(VLOOKUP(X467,#REF!,8,FALSE),0)</f>
        <v>0</v>
      </c>
      <c r="AN467" s="1" t="str">
        <f>PROD_ID_TABLE[[#This Row],[PROD ID]]</f>
        <v xml:space="preserve"> QUARTZREOD25</v>
      </c>
      <c r="AO467" s="1" t="str">
        <f t="shared" si="107"/>
        <v>HPF COLOR QUARTZREDWOOD25 MESH</v>
      </c>
      <c r="AP467" s="3">
        <f t="shared" si="102"/>
        <v>27.5</v>
      </c>
      <c r="AQ467" s="1" t="str">
        <f t="shared" si="108"/>
        <v>25 MESH</v>
      </c>
      <c r="AR467" s="1" t="str">
        <f t="shared" si="103"/>
        <v>HPF COLOR QUARTZREDWOOD25 MESH</v>
      </c>
      <c r="AS467" s="1" t="str">
        <f t="shared" si="109"/>
        <v>REDWOOD</v>
      </c>
      <c r="AY467" s="63" t="str">
        <f t="shared" si="101"/>
        <v xml:space="preserve"> QUARTZREOD25</v>
      </c>
      <c r="AZ467" s="63" t="str">
        <f t="shared" si="110"/>
        <v xml:space="preserve"> QUARTZ</v>
      </c>
      <c r="BA467" s="63" t="str">
        <f t="shared" si="111"/>
        <v>REOD</v>
      </c>
      <c r="BB467" s="63" t="str">
        <f t="shared" si="112"/>
        <v>25</v>
      </c>
      <c r="BC467" s="135">
        <f t="shared" si="88"/>
        <v>27.5</v>
      </c>
      <c r="BD467" s="1" t="s">
        <v>792</v>
      </c>
      <c r="BE467" s="1" t="s">
        <v>841</v>
      </c>
      <c r="BF467" s="63" t="s">
        <v>793</v>
      </c>
      <c r="BG467" s="1" t="s">
        <v>390</v>
      </c>
      <c r="BH467" s="1" t="str">
        <f t="shared" si="104"/>
        <v>REDWOOD</v>
      </c>
    </row>
    <row r="468" spans="22:60" x14ac:dyDescent="0.35">
      <c r="V468" s="1" t="str">
        <v>AQUA 4410 CLLE1.2</v>
      </c>
      <c r="X468" s="1" t="str">
        <f t="shared" si="106"/>
        <v>4641 HPS 1CLAR4.7</v>
      </c>
      <c r="Y468" s="1" t="str" cm="1">
        <f t="array" ref="Y468">IFERROR(VLOOKUP($X468,$AN:AO,COLUMN(AO:AO)-COLUMN($AN:$AN)+1,FALSE),"")</f>
        <v>RESUTILE 4641 HPS 100 HS ALIPHATIC URETHANE TOPCOATCLEAR4.7 GAL</v>
      </c>
      <c r="Z468" s="63" cm="1">
        <f t="array" ref="Z468">IFERROR(VLOOKUP($X468,$AN:AP,COLUMN(AP:AP)-COLUMN($AN:$AN)+1,FALSE),"")</f>
        <v>798.01</v>
      </c>
      <c r="AA468" s="1" t="str" cm="1">
        <f t="array" ref="AA468">IFERROR(VLOOKUP($X468,$AN:AQ,COLUMN(AQ:AQ)-COLUMN($AN:$AN)+1,FALSE),"")</f>
        <v>4.7 GAL</v>
      </c>
      <c r="AC468" s="1" t="str" cm="1">
        <f t="array" ref="AC468">IFERROR(VLOOKUP($X468,$AN:AS,COLUMN(AS:AS)-COLUMN($AN:$AN)+1,FALSE),"")</f>
        <v>CLEAR</v>
      </c>
      <c r="AD468" s="1" t="s">
        <v>19</v>
      </c>
      <c r="AF468" s="1">
        <f>Table1[[#This Row],[C:C]]*1.1</f>
        <v>0</v>
      </c>
      <c r="AI468" s="1">
        <f>IFERROR(VLOOKUP(X468,#REF!,8,FALSE),0)</f>
        <v>0</v>
      </c>
      <c r="AN468" s="1" t="str">
        <f>PROD_ID_TABLE[[#This Row],[PROD ID]]</f>
        <v xml:space="preserve"> QUARTZSEPE25</v>
      </c>
      <c r="AO468" s="1" t="str">
        <f t="shared" si="107"/>
        <v>HPF COLOR QUARTZSEASCAPE25 MESH</v>
      </c>
      <c r="AP468" s="3">
        <f t="shared" si="102"/>
        <v>27.5</v>
      </c>
      <c r="AQ468" s="1" t="str">
        <f t="shared" si="108"/>
        <v>25 MESH</v>
      </c>
      <c r="AR468" s="1" t="str">
        <f>_xlfn.CONCAT(BD468:BE468)</f>
        <v>HPF COLOR QUARTZSEASCAPE</v>
      </c>
      <c r="AS468" s="1" t="str">
        <f t="shared" si="109"/>
        <v>SEASCAPE</v>
      </c>
      <c r="AY468" s="63" t="str">
        <f t="shared" si="101"/>
        <v xml:space="preserve"> QUARTZSEPE25</v>
      </c>
      <c r="AZ468" s="63" t="str">
        <f t="shared" si="110"/>
        <v xml:space="preserve"> QUARTZ</v>
      </c>
      <c r="BA468" s="63" t="str">
        <f t="shared" si="111"/>
        <v>SEPE</v>
      </c>
      <c r="BB468" s="63" t="str">
        <f t="shared" si="112"/>
        <v>25</v>
      </c>
      <c r="BC468" s="135">
        <f t="shared" si="88"/>
        <v>27.5</v>
      </c>
      <c r="BD468" s="1" t="s">
        <v>792</v>
      </c>
      <c r="BE468" s="1" t="s">
        <v>840</v>
      </c>
      <c r="BF468" s="63" t="s">
        <v>793</v>
      </c>
      <c r="BG468" s="1" t="s">
        <v>390</v>
      </c>
      <c r="BH468" s="1" t="str">
        <f t="shared" si="104"/>
        <v>SEASCAPE</v>
      </c>
    </row>
    <row r="469" spans="22:60" x14ac:dyDescent="0.35">
      <c r="V469" s="1" t="str">
        <v>AQUA 4410 GRAY1.2</v>
      </c>
      <c r="X469" s="1" t="str">
        <f t="shared" si="106"/>
        <v>4640 HTS 1CLAR3 G</v>
      </c>
      <c r="Y469" s="1" t="str" cm="1">
        <f t="array" ref="Y469">IFERROR(VLOOKUP($X469,$AN:AO,COLUMN(AO:AO)-COLUMN($AN:$AN)+1,FALSE),"")</f>
        <v>RESUTILE 4640 HTS 100 HS HIGH TRAFFIC URETHANE ENAMELCLEAR3 GAL</v>
      </c>
      <c r="Z469" s="63" cm="1">
        <f t="array" ref="Z469">IFERROR(VLOOKUP($X469,$AN:AP,COLUMN(AP:AP)-COLUMN($AN:$AN)+1,FALSE),"")</f>
        <v>487.79999999999995</v>
      </c>
      <c r="AA469" s="1" t="str" cm="1">
        <f t="array" ref="AA469">IFERROR(VLOOKUP($X469,$AN:AQ,COLUMN(AQ:AQ)-COLUMN($AN:$AN)+1,FALSE),"")</f>
        <v>3 GAL</v>
      </c>
      <c r="AC469" s="1" t="str" cm="1">
        <f t="array" ref="AC469">IFERROR(VLOOKUP($X469,$AN:AS,COLUMN(AS:AS)-COLUMN($AN:$AN)+1,FALSE),"")</f>
        <v>CLEAR</v>
      </c>
      <c r="AD469" s="1" t="s">
        <v>19</v>
      </c>
      <c r="AF469" s="1">
        <f>Table1[[#This Row],[C:C]]*1.1</f>
        <v>0</v>
      </c>
      <c r="AI469" s="1">
        <f>IFERROR(VLOOKUP(X469,#REF!,8,FALSE),0)</f>
        <v>0</v>
      </c>
      <c r="AN469" s="1" t="str">
        <f>PROD_ID_TABLE[[#This Row],[PROD ID]]</f>
        <v xml:space="preserve"> QUARTZWHER25</v>
      </c>
      <c r="AO469" s="1" t="str">
        <f t="shared" si="107"/>
        <v>HPF COLOR QUARTZWHITE PEPPER25 MESH</v>
      </c>
      <c r="AP469" s="3">
        <f t="shared" si="102"/>
        <v>27.5</v>
      </c>
      <c r="AQ469" s="1" t="str">
        <f t="shared" si="108"/>
        <v>25 MESH</v>
      </c>
      <c r="AR469" s="1" t="str">
        <f t="shared" si="103"/>
        <v>HPF COLOR QUARTZWHITE PEPPER25 MESH</v>
      </c>
      <c r="AS469" s="1" t="str">
        <f t="shared" si="109"/>
        <v>WHITE PEPPER</v>
      </c>
      <c r="AY469" s="63" t="str">
        <f t="shared" si="101"/>
        <v xml:space="preserve"> QUARTZWHER25</v>
      </c>
      <c r="AZ469" s="63" t="str">
        <f t="shared" si="110"/>
        <v xml:space="preserve"> QUARTZ</v>
      </c>
      <c r="BA469" s="63" t="str">
        <f t="shared" si="111"/>
        <v>WHER</v>
      </c>
      <c r="BB469" s="63" t="str">
        <f t="shared" si="112"/>
        <v>25</v>
      </c>
      <c r="BC469" s="135">
        <f t="shared" si="88"/>
        <v>27.5</v>
      </c>
      <c r="BD469" s="1" t="s">
        <v>792</v>
      </c>
      <c r="BE469" s="1" t="s">
        <v>846</v>
      </c>
      <c r="BF469" s="63" t="s">
        <v>793</v>
      </c>
      <c r="BG469" s="1" t="s">
        <v>390</v>
      </c>
      <c r="BH469" s="1" t="str">
        <f t="shared" si="104"/>
        <v>WHITE PEPPER</v>
      </c>
    </row>
    <row r="470" spans="22:60" x14ac:dyDescent="0.35">
      <c r="V470" s="1" t="str">
        <v>AQUA 4410 LIAY1.2</v>
      </c>
      <c r="X470" s="1" t="str">
        <f t="shared" si="106"/>
        <v>4640 HTS 1CLAR6 G</v>
      </c>
      <c r="Y470" s="1" t="str" cm="1">
        <f t="array" ref="Y470">IFERROR(VLOOKUP($X470,$AN:AO,COLUMN(AO:AO)-COLUMN($AN:$AN)+1,FALSE),"")</f>
        <v>RESUTILE 4640 HTS 100 HS HIGH TRAFFIC URETHANE ENAMELCLEAR6 GAL</v>
      </c>
      <c r="Z470" s="63" cm="1">
        <f t="array" ref="Z470">IFERROR(VLOOKUP($X470,$AN:AP,COLUMN(AP:AP)-COLUMN($AN:$AN)+1,FALSE),"")</f>
        <v>966.59999999999991</v>
      </c>
      <c r="AA470" s="1" t="str" cm="1">
        <f t="array" ref="AA470">IFERROR(VLOOKUP($X470,$AN:AQ,COLUMN(AQ:AQ)-COLUMN($AN:$AN)+1,FALSE),"")</f>
        <v>6 GAL</v>
      </c>
      <c r="AC470" s="1" t="str" cm="1">
        <f t="array" ref="AC470">IFERROR(VLOOKUP($X470,$AN:AS,COLUMN(AS:AS)-COLUMN($AN:$AN)+1,FALSE),"")</f>
        <v>CLEAR</v>
      </c>
      <c r="AD470" s="1" t="s">
        <v>19</v>
      </c>
      <c r="AF470" s="1">
        <f>Table1[[#This Row],[C:C]]*1.1</f>
        <v>0</v>
      </c>
      <c r="AI470" s="1">
        <f>IFERROR(VLOOKUP(X470,#REF!,8,FALSE),0)</f>
        <v>0</v>
      </c>
      <c r="AN470" s="1" t="str">
        <f>PROD_ID_TABLE[[#This Row],[PROD ID]]</f>
        <v xml:space="preserve"> QUARTZAMNO40</v>
      </c>
      <c r="AO470" s="1" t="str">
        <f t="shared" si="107"/>
        <v>HPF COLOR QUARTZAMERICANO40 MESH</v>
      </c>
      <c r="AP470" s="3">
        <f t="shared" si="102"/>
        <v>27.5</v>
      </c>
      <c r="AQ470" s="1" t="str">
        <f t="shared" si="108"/>
        <v>40 MESH</v>
      </c>
      <c r="AR470" s="1" t="str">
        <f>_xlfn.CONCAT(BD470:BE470)</f>
        <v>HPF COLOR QUARTZAMERICANO</v>
      </c>
      <c r="AS470" s="1" t="str">
        <f t="shared" si="109"/>
        <v>AMERICANO</v>
      </c>
      <c r="AY470" s="63" t="str">
        <f t="shared" si="101"/>
        <v xml:space="preserve"> QUARTZAMNO40</v>
      </c>
      <c r="AZ470" s="63" t="str">
        <f t="shared" si="110"/>
        <v xml:space="preserve"> QUARTZ</v>
      </c>
      <c r="BA470" s="63" t="str">
        <f t="shared" si="111"/>
        <v>AMNO</v>
      </c>
      <c r="BB470" s="63" t="str">
        <f t="shared" si="112"/>
        <v>40</v>
      </c>
      <c r="BC470" s="135">
        <f t="shared" ref="BC470:BC533" si="113">IFERROR(VLOOKUP(BD470&amp;BF470,AV:AW,2,FALSE),0)</f>
        <v>27.5</v>
      </c>
      <c r="BD470" s="1" t="s">
        <v>792</v>
      </c>
      <c r="BE470" s="1" t="s">
        <v>837</v>
      </c>
      <c r="BF470" s="63" t="s">
        <v>794</v>
      </c>
      <c r="BG470" s="1" t="s">
        <v>390</v>
      </c>
      <c r="BH470" s="1" t="str">
        <f t="shared" si="104"/>
        <v>AMERICANO</v>
      </c>
    </row>
    <row r="471" spans="22:60" x14ac:dyDescent="0.35">
      <c r="V471" s="1" t="str">
        <v>AQUA 4410 MEAY1.2</v>
      </c>
      <c r="X471" s="1" t="str">
        <f t="shared" si="106"/>
        <v>AQUA 4411 CLAR1.2</v>
      </c>
      <c r="Y471" s="1" t="str" cm="1">
        <f t="array" ref="Y471">IFERROR(VLOOKUP($X471,$AN:AO,COLUMN(AO:AO)-COLUMN($AN:$AN)+1,FALSE),"")</f>
        <v>RESUTILE AQUA 4411 WB ALIPHATIC URETHANE - CLEARCLEAR1.25 GAL</v>
      </c>
      <c r="Z471" s="63" cm="1">
        <f t="array" ref="Z471">IFERROR(VLOOKUP($X471,$AN:AP,COLUMN(AP:AP)-COLUMN($AN:$AN)+1,FALSE),"")</f>
        <v>143.01</v>
      </c>
      <c r="AA471" s="1" t="str" cm="1">
        <f t="array" ref="AA471">IFERROR(VLOOKUP($X471,$AN:AQ,COLUMN(AQ:AQ)-COLUMN($AN:$AN)+1,FALSE),"")</f>
        <v>1.25 GAL</v>
      </c>
      <c r="AC471" s="1" t="str" cm="1">
        <f t="array" ref="AC471">IFERROR(VLOOKUP($X471,$AN:AS,COLUMN(AS:AS)-COLUMN($AN:$AN)+1,FALSE),"")</f>
        <v>CLEAR</v>
      </c>
      <c r="AD471" s="1" t="s">
        <v>19</v>
      </c>
      <c r="AF471" s="1">
        <f>Table1[[#This Row],[C:C]]*1.1</f>
        <v>0</v>
      </c>
      <c r="AI471" s="1">
        <f>IFERROR(VLOOKUP(X471,#REF!,8,FALSE),0)</f>
        <v>0</v>
      </c>
      <c r="AN471" s="1" t="str">
        <f>PROD_ID_TABLE[[#This Row],[PROD ID]]</f>
        <v xml:space="preserve"> QUARTZANIL40</v>
      </c>
      <c r="AO471" s="1" t="str">
        <f t="shared" si="107"/>
        <v>HPF COLOR QUARTZANVIL40 MESH</v>
      </c>
      <c r="AP471" s="3">
        <f t="shared" si="102"/>
        <v>27.5</v>
      </c>
      <c r="AQ471" s="1" t="str">
        <f t="shared" si="108"/>
        <v>40 MESH</v>
      </c>
      <c r="AR471" s="1" t="str">
        <f t="shared" si="103"/>
        <v>HPF COLOR QUARTZANVIL40 MESH</v>
      </c>
      <c r="AS471" s="1" t="str">
        <f t="shared" si="109"/>
        <v>ANVIL</v>
      </c>
      <c r="AY471" s="63" t="str">
        <f t="shared" si="101"/>
        <v xml:space="preserve"> QUARTZANIL40</v>
      </c>
      <c r="AZ471" s="63" t="str">
        <f t="shared" si="110"/>
        <v xml:space="preserve"> QUARTZ</v>
      </c>
      <c r="BA471" s="63" t="str">
        <f t="shared" si="111"/>
        <v>ANIL</v>
      </c>
      <c r="BB471" s="63" t="str">
        <f t="shared" si="112"/>
        <v>40</v>
      </c>
      <c r="BC471" s="135">
        <f t="shared" si="113"/>
        <v>27.5</v>
      </c>
      <c r="BD471" s="1" t="s">
        <v>792</v>
      </c>
      <c r="BE471" s="1" t="s">
        <v>832</v>
      </c>
      <c r="BF471" s="63" t="s">
        <v>794</v>
      </c>
      <c r="BG471" s="1" t="s">
        <v>390</v>
      </c>
      <c r="BH471" s="1" t="str">
        <f t="shared" si="104"/>
        <v>ANVIL</v>
      </c>
    </row>
    <row r="472" spans="22:60" x14ac:dyDescent="0.35">
      <c r="V472" s="1" t="str">
        <v>AQUA 4410 PANT1.2</v>
      </c>
      <c r="X472" s="1" t="str">
        <f t="shared" si="106"/>
        <v>AQUA 4411 CLAR5 G</v>
      </c>
      <c r="Y472" s="1" t="str" cm="1">
        <f t="array" ref="Y472">IFERROR(VLOOKUP($X472,$AN:AO,COLUMN(AO:AO)-COLUMN($AN:$AN)+1,FALSE),"")</f>
        <v>RESUTILE AQUA 4411 WB ALIPHATIC URETHANE - CLEARCLEAR5 GAL</v>
      </c>
      <c r="Z472" s="63" cm="1">
        <f t="array" ref="Z472">IFERROR(VLOOKUP($X472,$AN:AP,COLUMN(AP:AP)-COLUMN($AN:$AN)+1,FALSE),"")</f>
        <v>563.78</v>
      </c>
      <c r="AA472" s="1" t="str" cm="1">
        <f t="array" ref="AA472">IFERROR(VLOOKUP($X472,$AN:AQ,COLUMN(AQ:AQ)-COLUMN($AN:$AN)+1,FALSE),"")</f>
        <v>5 GAL</v>
      </c>
      <c r="AC472" s="1" t="str" cm="1">
        <f t="array" ref="AC472">IFERROR(VLOOKUP($X472,$AN:AS,COLUMN(AS:AS)-COLUMN($AN:$AN)+1,FALSE),"")</f>
        <v>CLEAR</v>
      </c>
      <c r="AD472" s="1" t="s">
        <v>19</v>
      </c>
      <c r="AF472" s="1">
        <f>Table1[[#This Row],[C:C]]*1.1</f>
        <v>0</v>
      </c>
      <c r="AI472" s="1">
        <f>IFERROR(VLOOKUP(X472,#REF!,8,FALSE),0)</f>
        <v>0</v>
      </c>
      <c r="AN472" s="1" t="str">
        <f>PROD_ID_TABLE[[#This Row],[PROD ID]]</f>
        <v xml:space="preserve"> QUARTZAUCE40</v>
      </c>
      <c r="AO472" s="1" t="str">
        <f t="shared" si="107"/>
        <v>HPF COLOR QUARTZAUTUMN SPICE40 MESH</v>
      </c>
      <c r="AP472" s="3">
        <f t="shared" si="102"/>
        <v>27.5</v>
      </c>
      <c r="AQ472" s="1" t="str">
        <f t="shared" si="108"/>
        <v>40 MESH</v>
      </c>
      <c r="AR472" s="1" t="str">
        <f>_xlfn.CONCAT(BD472:BE472)</f>
        <v>HPF COLOR QUARTZAUTUMN SPICE</v>
      </c>
      <c r="AS472" s="1" t="str">
        <f t="shared" si="109"/>
        <v>AUTUMN SPICE</v>
      </c>
      <c r="AY472" s="63" t="str">
        <f t="shared" si="101"/>
        <v xml:space="preserve"> QUARTZAUCE40</v>
      </c>
      <c r="AZ472" s="63" t="str">
        <f t="shared" si="110"/>
        <v xml:space="preserve"> QUARTZ</v>
      </c>
      <c r="BA472" s="63" t="str">
        <f t="shared" si="111"/>
        <v>AUCE</v>
      </c>
      <c r="BB472" s="63" t="str">
        <f t="shared" si="112"/>
        <v>40</v>
      </c>
      <c r="BC472" s="135">
        <f t="shared" si="113"/>
        <v>27.5</v>
      </c>
      <c r="BD472" s="1" t="s">
        <v>792</v>
      </c>
      <c r="BE472" s="1" t="s">
        <v>839</v>
      </c>
      <c r="BF472" s="63" t="s">
        <v>794</v>
      </c>
      <c r="BG472" s="1" t="s">
        <v>390</v>
      </c>
      <c r="BH472" s="1" t="str">
        <f t="shared" si="104"/>
        <v>AUTUMN SPICE</v>
      </c>
    </row>
    <row r="473" spans="22:60" x14ac:dyDescent="0.35">
      <c r="V473" s="1" t="str">
        <v>AQUA 4410 PEER1.2</v>
      </c>
      <c r="X473" s="1" t="str">
        <f t="shared" si="106"/>
        <v>AQUA 4410 CUOM1.2</v>
      </c>
      <c r="Y473" s="1" t="str" cm="1">
        <f t="array" ref="Y473">IFERROR(VLOOKUP($X473,$AN:AO,COLUMN(AO:AO)-COLUMN($AN:$AN)+1,FALSE),"")</f>
        <v>RESUTILE AQUA 4410 WB ALIPHATIC URETHANE - COLORCUSTOM1.25 GAL</v>
      </c>
      <c r="Z473" s="63" cm="1">
        <f t="array" ref="Z473">IFERROR(VLOOKUP($X473,$AN:AP,COLUMN(AP:AP)-COLUMN($AN:$AN)+1,FALSE),"")</f>
        <v>132.41</v>
      </c>
      <c r="AA473" s="1" t="str" cm="1">
        <f t="array" ref="AA473">IFERROR(VLOOKUP($X473,$AN:AQ,COLUMN(AQ:AQ)-COLUMN($AN:$AN)+1,FALSE),"")</f>
        <v>1.25 GAL</v>
      </c>
      <c r="AC473" s="1" t="str" cm="1">
        <f t="array" ref="AC473">IFERROR(VLOOKUP($X473,$AN:AS,COLUMN(AS:AS)-COLUMN($AN:$AN)+1,FALSE),"")</f>
        <v>CUSTOM</v>
      </c>
      <c r="AD473" s="1" t="s">
        <v>19</v>
      </c>
      <c r="AF473" s="1">
        <f>Table1[[#This Row],[C:C]]*1.1</f>
        <v>0</v>
      </c>
      <c r="AI473" s="1">
        <f>IFERROR(VLOOKUP(X473,#REF!,8,FALSE),0)</f>
        <v>0</v>
      </c>
      <c r="AN473" s="1" t="str">
        <f>PROD_ID_TABLE[[#This Row],[PROD ID]]</f>
        <v xml:space="preserve"> QUARTZBLE 40</v>
      </c>
      <c r="AO473" s="1" t="str">
        <f t="shared" si="107"/>
        <v>HPF COLOR QUARTZBLUE SLATE 40 MESH</v>
      </c>
      <c r="AP473" s="3">
        <f t="shared" si="102"/>
        <v>27.5</v>
      </c>
      <c r="AQ473" s="1" t="str">
        <f t="shared" si="108"/>
        <v>40 MESH</v>
      </c>
      <c r="AR473" s="1" t="str">
        <f t="shared" si="103"/>
        <v>HPF COLOR QUARTZBLUE SLATE 40 MESH</v>
      </c>
      <c r="AS473" s="1" t="str">
        <f t="shared" si="109"/>
        <v xml:space="preserve">BLUE SLATE </v>
      </c>
      <c r="AY473" s="63" t="str">
        <f t="shared" si="101"/>
        <v xml:space="preserve"> QUARTZBLE 40</v>
      </c>
      <c r="AZ473" s="63" t="str">
        <f t="shared" si="110"/>
        <v xml:space="preserve"> QUARTZ</v>
      </c>
      <c r="BA473" s="63" t="str">
        <f t="shared" si="111"/>
        <v xml:space="preserve">BLE </v>
      </c>
      <c r="BB473" s="63" t="str">
        <f t="shared" si="112"/>
        <v>40</v>
      </c>
      <c r="BC473" s="135">
        <f t="shared" si="113"/>
        <v>27.5</v>
      </c>
      <c r="BD473" s="1" t="s">
        <v>792</v>
      </c>
      <c r="BE473" s="1" t="s">
        <v>831</v>
      </c>
      <c r="BF473" s="63" t="s">
        <v>794</v>
      </c>
      <c r="BG473" s="1" t="s">
        <v>390</v>
      </c>
      <c r="BH473" s="1" t="str">
        <f t="shared" si="104"/>
        <v xml:space="preserve">BLUE SLATE </v>
      </c>
    </row>
    <row r="474" spans="22:60" x14ac:dyDescent="0.35">
      <c r="V474" s="1" t="str">
        <v>AQUA 4410 ROUE1.2</v>
      </c>
      <c r="X474" s="1" t="str">
        <f t="shared" si="106"/>
        <v>AQUA 4410 WHTE1.2</v>
      </c>
      <c r="Y474" s="1" t="str" cm="1">
        <f t="array" ref="Y474">IFERROR(VLOOKUP($X474,$AN:AO,COLUMN(AO:AO)-COLUMN($AN:$AN)+1,FALSE),"")</f>
        <v>RESUTILE AQUA 4410 WB ALIPHATIC URETHANE - COLORWHITE1.25 GAL</v>
      </c>
      <c r="Z474" s="63" cm="1">
        <f t="array" ref="Z474">IFERROR(VLOOKUP($X474,$AN:AP,COLUMN(AP:AP)-COLUMN($AN:$AN)+1,FALSE),"")</f>
        <v>132.41</v>
      </c>
      <c r="AA474" s="1" t="str" cm="1">
        <f t="array" ref="AA474">IFERROR(VLOOKUP($X474,$AN:AQ,COLUMN(AQ:AQ)-COLUMN($AN:$AN)+1,FALSE),"")</f>
        <v>1.25 GAL</v>
      </c>
      <c r="AC474" s="1" t="str" cm="1">
        <f t="array" ref="AC474">IFERROR(VLOOKUP($X474,$AN:AS,COLUMN(AS:AS)-COLUMN($AN:$AN)+1,FALSE),"")</f>
        <v>WHITE</v>
      </c>
      <c r="AD474" s="1" t="s">
        <v>19</v>
      </c>
      <c r="AF474" s="1">
        <f>Table1[[#This Row],[C:C]]*1.1</f>
        <v>0</v>
      </c>
      <c r="AI474" s="1">
        <f>IFERROR(VLOOKUP(X474,#REF!,8,FALSE),0)</f>
        <v>0</v>
      </c>
      <c r="AN474" s="1" t="str">
        <f>PROD_ID_TABLE[[#This Row],[PROD ID]]</f>
        <v xml:space="preserve"> QUARTZBRLE40</v>
      </c>
      <c r="AO474" s="1" t="str">
        <f t="shared" si="107"/>
        <v>HPF COLOR QUARTZBRINDLE40 MESH</v>
      </c>
      <c r="AP474" s="3">
        <f t="shared" si="102"/>
        <v>27.5</v>
      </c>
      <c r="AQ474" s="1" t="str">
        <f t="shared" si="108"/>
        <v>40 MESH</v>
      </c>
      <c r="AR474" s="1" t="str">
        <f>_xlfn.CONCAT(BD474:BE474)</f>
        <v>HPF COLOR QUARTZBRINDLE</v>
      </c>
      <c r="AS474" s="1" t="str">
        <f t="shared" si="109"/>
        <v>BRINDLE</v>
      </c>
      <c r="AY474" s="63" t="str">
        <f t="shared" si="101"/>
        <v xml:space="preserve"> QUARTZBRLE40</v>
      </c>
      <c r="AZ474" s="63" t="str">
        <f t="shared" si="110"/>
        <v xml:space="preserve"> QUARTZ</v>
      </c>
      <c r="BA474" s="63" t="str">
        <f t="shared" si="111"/>
        <v>BRLE</v>
      </c>
      <c r="BB474" s="63" t="str">
        <f t="shared" si="112"/>
        <v>40</v>
      </c>
      <c r="BC474" s="135">
        <f t="shared" si="113"/>
        <v>27.5</v>
      </c>
      <c r="BD474" s="1" t="s">
        <v>792</v>
      </c>
      <c r="BE474" s="1" t="s">
        <v>836</v>
      </c>
      <c r="BF474" s="63" t="s">
        <v>794</v>
      </c>
      <c r="BG474" s="1" t="s">
        <v>390</v>
      </c>
      <c r="BH474" s="1" t="str">
        <f t="shared" si="104"/>
        <v>BRINDLE</v>
      </c>
    </row>
    <row r="475" spans="22:60" x14ac:dyDescent="0.35">
      <c r="V475" s="1" t="str">
        <v>AQUA 4410 SAED1.2</v>
      </c>
      <c r="X475" s="1" t="str">
        <f t="shared" si="106"/>
        <v>AQUA 4410 BLCK1.2</v>
      </c>
      <c r="Y475" s="1" t="str" cm="1">
        <f t="array" ref="Y475">IFERROR(VLOOKUP($X475,$AN:AO,COLUMN(AO:AO)-COLUMN($AN:$AN)+1,FALSE),"")</f>
        <v>RESUTILE AQUA 4410 WB ALIPHATIC URETHANE - COLORBLACK1.25 GAL</v>
      </c>
      <c r="Z475" s="63" cm="1">
        <f t="array" ref="Z475">IFERROR(VLOOKUP($X475,$AN:AP,COLUMN(AP:AP)-COLUMN($AN:$AN)+1,FALSE),"")</f>
        <v>132.41</v>
      </c>
      <c r="AA475" s="1" t="str" cm="1">
        <f t="array" ref="AA475">IFERROR(VLOOKUP($X475,$AN:AQ,COLUMN(AQ:AQ)-COLUMN($AN:$AN)+1,FALSE),"")</f>
        <v>1.25 GAL</v>
      </c>
      <c r="AC475" s="1" t="str" cm="1">
        <f t="array" ref="AC475">IFERROR(VLOOKUP($X475,$AN:AS,COLUMN(AS:AS)-COLUMN($AN:$AN)+1,FALSE),"")</f>
        <v>BLACK</v>
      </c>
      <c r="AD475" s="1" t="s">
        <v>19</v>
      </c>
      <c r="AF475" s="1">
        <f>Table1[[#This Row],[C:C]]*1.1</f>
        <v>0</v>
      </c>
      <c r="AI475" s="1">
        <f>IFERROR(VLOOKUP(X475,#REF!,8,FALSE),0)</f>
        <v>0</v>
      </c>
      <c r="AN475" s="1" t="str">
        <f>PROD_ID_TABLE[[#This Row],[PROD ID]]</f>
        <v xml:space="preserve"> QUARTZBRET40</v>
      </c>
      <c r="AO475" s="1" t="str">
        <f t="shared" si="107"/>
        <v>HPF COLOR QUARTZBRISKET40 MESH</v>
      </c>
      <c r="AP475" s="3">
        <f t="shared" si="102"/>
        <v>27.5</v>
      </c>
      <c r="AQ475" s="1" t="str">
        <f t="shared" si="108"/>
        <v>40 MESH</v>
      </c>
      <c r="AR475" s="1" t="str">
        <f t="shared" si="103"/>
        <v>HPF COLOR QUARTZBRISKET40 MESH</v>
      </c>
      <c r="AS475" s="1" t="str">
        <f t="shared" si="109"/>
        <v>BRISKET</v>
      </c>
      <c r="AY475" s="63" t="str">
        <f t="shared" ref="AY475:AY506" si="114">_xlfn.CONCAT(AZ475:BB475)</f>
        <v xml:space="preserve"> QUARTZBRET40</v>
      </c>
      <c r="AZ475" s="63" t="str">
        <f t="shared" si="110"/>
        <v xml:space="preserve"> QUARTZ</v>
      </c>
      <c r="BA475" s="63" t="str">
        <f t="shared" si="111"/>
        <v>BRET</v>
      </c>
      <c r="BB475" s="63" t="str">
        <f t="shared" si="112"/>
        <v>40</v>
      </c>
      <c r="BC475" s="135">
        <f t="shared" si="113"/>
        <v>27.5</v>
      </c>
      <c r="BD475" s="1" t="s">
        <v>792</v>
      </c>
      <c r="BE475" s="1" t="s">
        <v>835</v>
      </c>
      <c r="BF475" s="63" t="s">
        <v>794</v>
      </c>
      <c r="BG475" s="1" t="s">
        <v>390</v>
      </c>
      <c r="BH475" s="1" t="str">
        <f t="shared" si="104"/>
        <v>BRISKET</v>
      </c>
    </row>
    <row r="476" spans="22:60" x14ac:dyDescent="0.35">
      <c r="V476" s="1" t="str">
        <v>AQUA 4410 SAOW1.2</v>
      </c>
      <c r="X476" s="1" t="str">
        <f t="shared" si="106"/>
        <v>AQUA 4410 BOTE1.2</v>
      </c>
      <c r="Y476" s="1" t="str" cm="1">
        <f t="array" ref="Y476">IFERROR(VLOOKUP($X476,$AN:AO,COLUMN(AO:AO)-COLUMN($AN:$AN)+1,FALSE),"")</f>
        <v>RESUTILE AQUA 4410 WB ALIPHATIC URETHANE - COLORBONE WHITE1.25 GAL</v>
      </c>
      <c r="Z476" s="63" cm="1">
        <f t="array" ref="Z476">IFERROR(VLOOKUP($X476,$AN:AP,COLUMN(AP:AP)-COLUMN($AN:$AN)+1,FALSE),"")</f>
        <v>132.41</v>
      </c>
      <c r="AA476" s="1" t="str" cm="1">
        <f t="array" ref="AA476">IFERROR(VLOOKUP($X476,$AN:AQ,COLUMN(AQ:AQ)-COLUMN($AN:$AN)+1,FALSE),"")</f>
        <v>1.25 GAL</v>
      </c>
      <c r="AC476" s="1" t="str" cm="1">
        <f t="array" ref="AC476">IFERROR(VLOOKUP($X476,$AN:AS,COLUMN(AS:AS)-COLUMN($AN:$AN)+1,FALSE),"")</f>
        <v>BONE WHITE</v>
      </c>
      <c r="AD476" s="1" t="s">
        <v>19</v>
      </c>
      <c r="AF476" s="1">
        <f>Table1[[#This Row],[C:C]]*1.1</f>
        <v>0</v>
      </c>
      <c r="AI476" s="1">
        <f>IFERROR(VLOOKUP(X476,#REF!,8,FALSE),0)</f>
        <v>0</v>
      </c>
      <c r="AN476" s="1" t="str">
        <f>PROD_ID_TABLE[[#This Row],[PROD ID]]</f>
        <v xml:space="preserve"> QUARTZCAAR40</v>
      </c>
      <c r="AO476" s="1" t="str">
        <f t="shared" si="107"/>
        <v>HPF COLOR QUARTZCATERPILLAR40 MESH</v>
      </c>
      <c r="AP476" s="3">
        <f t="shared" si="102"/>
        <v>27.5</v>
      </c>
      <c r="AQ476" s="1" t="str">
        <f t="shared" si="108"/>
        <v>40 MESH</v>
      </c>
      <c r="AR476" s="1" t="str">
        <f>_xlfn.CONCAT(BD476:BE476)</f>
        <v>HPF COLOR QUARTZCATERPILLAR</v>
      </c>
      <c r="AS476" s="1" t="str">
        <f t="shared" si="109"/>
        <v>CATERPILLAR</v>
      </c>
      <c r="AY476" s="63" t="str">
        <f t="shared" si="114"/>
        <v xml:space="preserve"> QUARTZCAAR40</v>
      </c>
      <c r="AZ476" s="63" t="str">
        <f t="shared" si="110"/>
        <v xml:space="preserve"> QUARTZ</v>
      </c>
      <c r="BA476" s="63" t="str">
        <f t="shared" si="111"/>
        <v>CAAR</v>
      </c>
      <c r="BB476" s="63" t="str">
        <f t="shared" si="112"/>
        <v>40</v>
      </c>
      <c r="BC476" s="135">
        <f t="shared" si="113"/>
        <v>27.5</v>
      </c>
      <c r="BD476" s="1" t="s">
        <v>792</v>
      </c>
      <c r="BE476" s="1" t="s">
        <v>844</v>
      </c>
      <c r="BF476" s="63" t="s">
        <v>794</v>
      </c>
      <c r="BG476" s="1" t="s">
        <v>390</v>
      </c>
      <c r="BH476" s="1" t="str">
        <f t="shared" si="104"/>
        <v>CATERPILLAR</v>
      </c>
    </row>
    <row r="477" spans="22:60" x14ac:dyDescent="0.35">
      <c r="V477" s="1" t="str">
        <v>AQUA 4410 SIAY1.2</v>
      </c>
      <c r="X477" s="1" t="str">
        <f t="shared" si="106"/>
        <v>AQUA 4410 CAAY1.2</v>
      </c>
      <c r="Y477" s="1" t="str" cm="1">
        <f t="array" ref="Y477">IFERROR(VLOOKUP($X477,$AN:AO,COLUMN(AO:AO)-COLUMN($AN:$AN)+1,FALSE),"")</f>
        <v>RESUTILE AQUA 4410 WB ALIPHATIC URETHANE - COLORCANADA GRAY1.25 GAL</v>
      </c>
      <c r="Z477" s="63" cm="1">
        <f t="array" ref="Z477">IFERROR(VLOOKUP($X477,$AN:AP,COLUMN(AP:AP)-COLUMN($AN:$AN)+1,FALSE),"")</f>
        <v>132.41</v>
      </c>
      <c r="AA477" s="1" t="str" cm="1">
        <f t="array" ref="AA477">IFERROR(VLOOKUP($X477,$AN:AQ,COLUMN(AQ:AQ)-COLUMN($AN:$AN)+1,FALSE),"")</f>
        <v>1.25 GAL</v>
      </c>
      <c r="AC477" s="1" t="str" cm="1">
        <f t="array" ref="AC477">IFERROR(VLOOKUP($X477,$AN:AS,COLUMN(AS:AS)-COLUMN($AN:$AN)+1,FALSE),"")</f>
        <v>CANADA GRAY</v>
      </c>
      <c r="AD477" s="1" t="s">
        <v>19</v>
      </c>
      <c r="AF477" s="1">
        <f>Table1[[#This Row],[C:C]]*1.1</f>
        <v>0</v>
      </c>
      <c r="AI477" s="1">
        <f>IFERROR(VLOOKUP(X477,#REF!,8,FALSE),0)</f>
        <v>0</v>
      </c>
      <c r="AN477" s="1" t="str">
        <f>PROD_ID_TABLE[[#This Row],[PROD ID]]</f>
        <v xml:space="preserve"> QUARTZCUND40</v>
      </c>
      <c r="AO477" s="1" t="str">
        <f t="shared" si="107"/>
        <v>HPF COLOR QUARTZCUSTOM BLEND40 MESH</v>
      </c>
      <c r="AP477" s="3">
        <f t="shared" si="102"/>
        <v>27.5</v>
      </c>
      <c r="AQ477" s="1" t="str">
        <f t="shared" si="108"/>
        <v>40 MESH</v>
      </c>
      <c r="AR477" s="1" t="str">
        <f t="shared" si="103"/>
        <v>HPF COLOR QUARTZCUSTOM BLEND40 MESH</v>
      </c>
      <c r="AS477" s="1" t="str">
        <f t="shared" si="109"/>
        <v>CUSTOM BLEND</v>
      </c>
      <c r="AY477" s="63" t="str">
        <f t="shared" si="114"/>
        <v xml:space="preserve"> QUARTZCUND40</v>
      </c>
      <c r="AZ477" s="63" t="str">
        <f t="shared" si="110"/>
        <v xml:space="preserve"> QUARTZ</v>
      </c>
      <c r="BA477" s="63" t="str">
        <f t="shared" si="111"/>
        <v>CUND</v>
      </c>
      <c r="BB477" s="63" t="str">
        <f t="shared" si="112"/>
        <v>40</v>
      </c>
      <c r="BC477" s="135">
        <f t="shared" si="113"/>
        <v>27.5</v>
      </c>
      <c r="BD477" s="1" t="s">
        <v>792</v>
      </c>
      <c r="BE477" s="1" t="s">
        <v>798</v>
      </c>
      <c r="BF477" s="63" t="s">
        <v>794</v>
      </c>
      <c r="BG477" s="1" t="s">
        <v>390</v>
      </c>
      <c r="BH477" s="1" t="str">
        <f t="shared" si="104"/>
        <v>CUSTOM BLEND</v>
      </c>
    </row>
    <row r="478" spans="22:60" x14ac:dyDescent="0.35">
      <c r="V478" s="1" t="str">
        <v>AQUA 4410 STAY1.2</v>
      </c>
      <c r="X478" s="1" t="str">
        <f t="shared" si="106"/>
        <v>AQUA 4410 CAEL1.2</v>
      </c>
      <c r="Y478" s="1" t="str" cm="1">
        <f t="array" ref="Y478">IFERROR(VLOOKUP($X478,$AN:AO,COLUMN(AO:AO)-COLUMN($AN:$AN)+1,FALSE),"")</f>
        <v>RESUTILE AQUA 4410 WB ALIPHATIC URETHANE - COLORCARAMEL1.25 GAL</v>
      </c>
      <c r="Z478" s="63" cm="1">
        <f t="array" ref="Z478">IFERROR(VLOOKUP($X478,$AN:AP,COLUMN(AP:AP)-COLUMN($AN:$AN)+1,FALSE),"")</f>
        <v>132.41</v>
      </c>
      <c r="AA478" s="1" t="str" cm="1">
        <f t="array" ref="AA478">IFERROR(VLOOKUP($X478,$AN:AQ,COLUMN(AQ:AQ)-COLUMN($AN:$AN)+1,FALSE),"")</f>
        <v>1.25 GAL</v>
      </c>
      <c r="AC478" s="1" t="str" cm="1">
        <f t="array" ref="AC478">IFERROR(VLOOKUP($X478,$AN:AS,COLUMN(AS:AS)-COLUMN($AN:$AN)+1,FALSE),"")</f>
        <v>CARAMEL</v>
      </c>
      <c r="AD478" s="1" t="s">
        <v>19</v>
      </c>
      <c r="AF478" s="1">
        <f>Table1[[#This Row],[C:C]]*1.1</f>
        <v>0</v>
      </c>
      <c r="AI478" s="1">
        <f>IFERROR(VLOOKUP(X478,#REF!,8,FALSE),0)</f>
        <v>0</v>
      </c>
      <c r="AN478" s="1" t="str">
        <f>PROD_ID_TABLE[[#This Row],[PROD ID]]</f>
        <v xml:space="preserve"> QUARTZGRND40</v>
      </c>
      <c r="AO478" s="1" t="str">
        <f t="shared" si="107"/>
        <v>HPF COLOR QUARTZGRASSLAND40 MESH</v>
      </c>
      <c r="AP478" s="3">
        <f t="shared" si="102"/>
        <v>27.5</v>
      </c>
      <c r="AQ478" s="1" t="str">
        <f t="shared" si="108"/>
        <v>40 MESH</v>
      </c>
      <c r="AR478" s="1" t="str">
        <f>_xlfn.CONCAT(BD478:BE478)</f>
        <v>HPF COLOR QUARTZGRASSLAND</v>
      </c>
      <c r="AS478" s="1" t="str">
        <f t="shared" si="109"/>
        <v>GRASSLAND</v>
      </c>
      <c r="AY478" s="63" t="str">
        <f t="shared" si="114"/>
        <v xml:space="preserve"> QUARTZGRND40</v>
      </c>
      <c r="AZ478" s="63" t="str">
        <f t="shared" si="110"/>
        <v xml:space="preserve"> QUARTZ</v>
      </c>
      <c r="BA478" s="63" t="str">
        <f t="shared" si="111"/>
        <v>GRND</v>
      </c>
      <c r="BB478" s="63" t="str">
        <f t="shared" si="112"/>
        <v>40</v>
      </c>
      <c r="BC478" s="135">
        <f t="shared" si="113"/>
        <v>27.5</v>
      </c>
      <c r="BD478" s="1" t="s">
        <v>792</v>
      </c>
      <c r="BE478" s="1" t="s">
        <v>845</v>
      </c>
      <c r="BF478" s="63" t="s">
        <v>794</v>
      </c>
      <c r="BG478" s="1" t="s">
        <v>390</v>
      </c>
      <c r="BH478" s="1" t="str">
        <f t="shared" si="104"/>
        <v>GRASSLAND</v>
      </c>
    </row>
    <row r="479" spans="22:60" x14ac:dyDescent="0.35">
      <c r="V479" s="1" t="str">
        <v>AQUA 4410 ULSE1.2</v>
      </c>
      <c r="X479" s="1" t="str">
        <f t="shared" si="106"/>
        <v>AQUA 4410 CHAL1.2</v>
      </c>
      <c r="Y479" s="1" t="str" cm="1">
        <f t="array" ref="Y479">IFERROR(VLOOKUP($X479,$AN:AO,COLUMN(AO:AO)-COLUMN($AN:$AN)+1,FALSE),"")</f>
        <v>RESUTILE AQUA 4410 WB ALIPHATIC URETHANE - COLORCHARCOAL1.25 GAL</v>
      </c>
      <c r="Z479" s="63" cm="1">
        <f t="array" ref="Z479">IFERROR(VLOOKUP($X479,$AN:AP,COLUMN(AP:AP)-COLUMN($AN:$AN)+1,FALSE),"")</f>
        <v>132.41</v>
      </c>
      <c r="AA479" s="1" t="str" cm="1">
        <f t="array" ref="AA479">IFERROR(VLOOKUP($X479,$AN:AQ,COLUMN(AQ:AQ)-COLUMN($AN:$AN)+1,FALSE),"")</f>
        <v>1.25 GAL</v>
      </c>
      <c r="AC479" s="1" t="str" cm="1">
        <f t="array" ref="AC479">IFERROR(VLOOKUP($X479,$AN:AS,COLUMN(AS:AS)-COLUMN($AN:$AN)+1,FALSE),"")</f>
        <v>CHARCOAL</v>
      </c>
      <c r="AD479" s="1" t="s">
        <v>19</v>
      </c>
      <c r="AF479" s="1">
        <f>Table1[[#This Row],[C:C]]*1.1</f>
        <v>0</v>
      </c>
      <c r="AI479" s="1">
        <f>IFERROR(VLOOKUP(X479,#REF!,8,FALSE),0)</f>
        <v>0</v>
      </c>
      <c r="AN479" s="1" t="str">
        <f>PROD_ID_TABLE[[#This Row],[PROD ID]]</f>
        <v xml:space="preserve"> QUARTZLAON40</v>
      </c>
      <c r="AO479" s="1" t="str">
        <f t="shared" si="107"/>
        <v>HPF COLOR QUARTZLAGOON40 MESH</v>
      </c>
      <c r="AP479" s="3">
        <f t="shared" si="102"/>
        <v>27.5</v>
      </c>
      <c r="AQ479" s="1" t="str">
        <f t="shared" si="108"/>
        <v>40 MESH</v>
      </c>
      <c r="AR479" s="1" t="str">
        <f t="shared" si="103"/>
        <v>HPF COLOR QUARTZLAGOON40 MESH</v>
      </c>
      <c r="AS479" s="1" t="str">
        <f t="shared" si="109"/>
        <v>LAGOON</v>
      </c>
      <c r="AY479" s="63" t="str">
        <f t="shared" si="114"/>
        <v xml:space="preserve"> QUARTZLAON40</v>
      </c>
      <c r="AZ479" s="63" t="str">
        <f t="shared" si="110"/>
        <v xml:space="preserve"> QUARTZ</v>
      </c>
      <c r="BA479" s="63" t="str">
        <f t="shared" si="111"/>
        <v>LAON</v>
      </c>
      <c r="BB479" s="63" t="str">
        <f t="shared" si="112"/>
        <v>40</v>
      </c>
      <c r="BC479" s="135">
        <f t="shared" si="113"/>
        <v>27.5</v>
      </c>
      <c r="BD479" s="1" t="s">
        <v>792</v>
      </c>
      <c r="BE479" s="1" t="s">
        <v>838</v>
      </c>
      <c r="BF479" s="63" t="s">
        <v>794</v>
      </c>
      <c r="BG479" s="1" t="s">
        <v>390</v>
      </c>
      <c r="BH479" s="1" t="str">
        <f t="shared" si="104"/>
        <v>LAGOON</v>
      </c>
    </row>
    <row r="480" spans="22:60" x14ac:dyDescent="0.35">
      <c r="V480" s="1" t="str">
        <v>AQUA 4410 WHSE1.2</v>
      </c>
      <c r="X480" s="1" t="str">
        <f t="shared" si="106"/>
        <v>AQUA 4410 CLLE1.2</v>
      </c>
      <c r="Y480" s="1" t="str" cm="1">
        <f t="array" ref="Y480">IFERROR(VLOOKUP($X480,$AN:AO,COLUMN(AO:AO)-COLUMN($AN:$AN)+1,FALSE),"")</f>
        <v>RESUTILE AQUA 4410 WB ALIPHATIC URETHANE - COLORCLASIC RED TILE1.25 GAL</v>
      </c>
      <c r="Z480" s="63" cm="1">
        <f t="array" ref="Z480">IFERROR(VLOOKUP($X480,$AN:AP,COLUMN(AP:AP)-COLUMN($AN:$AN)+1,FALSE),"")</f>
        <v>132.41</v>
      </c>
      <c r="AA480" s="1" t="str" cm="1">
        <f t="array" ref="AA480">IFERROR(VLOOKUP($X480,$AN:AQ,COLUMN(AQ:AQ)-COLUMN($AN:$AN)+1,FALSE),"")</f>
        <v>1.25 GAL</v>
      </c>
      <c r="AC480" s="1" t="str" cm="1">
        <f t="array" ref="AC480">IFERROR(VLOOKUP($X480,$AN:AS,COLUMN(AS:AS)-COLUMN($AN:$AN)+1,FALSE),"")</f>
        <v>CLASIC RED TILE</v>
      </c>
      <c r="AD480" s="1" t="s">
        <v>19</v>
      </c>
      <c r="AF480" s="1">
        <f>Table1[[#This Row],[C:C]]*1.1</f>
        <v>0</v>
      </c>
      <c r="AI480" s="1">
        <f>IFERROR(VLOOKUP(X480,#REF!,8,FALSE),0)</f>
        <v>0</v>
      </c>
      <c r="AN480" s="1" t="str">
        <f>PROD_ID_TABLE[[#This Row],[PROD ID]]</f>
        <v xml:space="preserve"> QUARTZMOVE40</v>
      </c>
      <c r="AO480" s="1" t="str">
        <f t="shared" si="107"/>
        <v>HPF COLOR QUARTZMOJAVE40 MESH</v>
      </c>
      <c r="AP480" s="3">
        <f t="shared" si="102"/>
        <v>27.5</v>
      </c>
      <c r="AQ480" s="1" t="str">
        <f t="shared" si="108"/>
        <v>40 MESH</v>
      </c>
      <c r="AR480" s="1" t="str">
        <f>_xlfn.CONCAT(BD480:BE480)</f>
        <v>HPF COLOR QUARTZMOJAVE</v>
      </c>
      <c r="AS480" s="1" t="str">
        <f t="shared" si="109"/>
        <v>MOJAVE</v>
      </c>
      <c r="AY480" s="63" t="str">
        <f t="shared" si="114"/>
        <v xml:space="preserve"> QUARTZMOVE40</v>
      </c>
      <c r="AZ480" s="63" t="str">
        <f t="shared" si="110"/>
        <v xml:space="preserve"> QUARTZ</v>
      </c>
      <c r="BA480" s="63" t="str">
        <f t="shared" si="111"/>
        <v>MOVE</v>
      </c>
      <c r="BB480" s="63" t="str">
        <f t="shared" si="112"/>
        <v>40</v>
      </c>
      <c r="BC480" s="135">
        <f t="shared" si="113"/>
        <v>27.5</v>
      </c>
      <c r="BD480" s="1" t="s">
        <v>792</v>
      </c>
      <c r="BE480" s="1" t="s">
        <v>842</v>
      </c>
      <c r="BF480" s="63" t="s">
        <v>794</v>
      </c>
      <c r="BG480" s="1" t="s">
        <v>390</v>
      </c>
      <c r="BH480" s="1" t="str">
        <f t="shared" si="104"/>
        <v>MOJAVE</v>
      </c>
    </row>
    <row r="481" spans="22:61" x14ac:dyDescent="0.35">
      <c r="V481" s="1" t="str">
        <v>AQUA 4410 CUOM5 G</v>
      </c>
      <c r="X481" s="1" t="str">
        <f t="shared" si="106"/>
        <v>AQUA 4410 GRAY1.2</v>
      </c>
      <c r="Y481" s="1" t="str" cm="1">
        <f t="array" ref="Y481">IFERROR(VLOOKUP($X481,$AN:AO,COLUMN(AO:AO)-COLUMN($AN:$AN)+1,FALSE),"")</f>
        <v>RESUTILE AQUA 4410 WB ALIPHATIC URETHANE - COLORGRAY1.25 GAL</v>
      </c>
      <c r="Z481" s="63" cm="1">
        <f t="array" ref="Z481">IFERROR(VLOOKUP($X481,$AN:AP,COLUMN(AP:AP)-COLUMN($AN:$AN)+1,FALSE),"")</f>
        <v>132.41</v>
      </c>
      <c r="AA481" s="1" t="str" cm="1">
        <f t="array" ref="AA481">IFERROR(VLOOKUP($X481,$AN:AQ,COLUMN(AQ:AQ)-COLUMN($AN:$AN)+1,FALSE),"")</f>
        <v>1.25 GAL</v>
      </c>
      <c r="AC481" s="1" t="str" cm="1">
        <f t="array" ref="AC481">IFERROR(VLOOKUP($X481,$AN:AS,COLUMN(AS:AS)-COLUMN($AN:$AN)+1,FALSE),"")</f>
        <v>GRAY</v>
      </c>
      <c r="AD481" s="1" t="s">
        <v>19</v>
      </c>
      <c r="AF481" s="1">
        <f>Table1[[#This Row],[C:C]]*1.1</f>
        <v>0</v>
      </c>
      <c r="AI481" s="1">
        <f>IFERROR(VLOOKUP(X481,#REF!,8,FALSE),0)</f>
        <v>0</v>
      </c>
      <c r="AN481" s="1" t="str">
        <f>PROD_ID_TABLE[[#This Row],[PROD ID]]</f>
        <v xml:space="preserve"> QUARTZMUIE40</v>
      </c>
      <c r="AO481" s="1" t="str">
        <f t="shared" si="107"/>
        <v>HPF COLOR QUARTZMUD PIE40 MESH</v>
      </c>
      <c r="AP481" s="3">
        <f t="shared" si="102"/>
        <v>27.5</v>
      </c>
      <c r="AQ481" s="1" t="str">
        <f t="shared" si="108"/>
        <v>40 MESH</v>
      </c>
      <c r="AR481" s="1" t="str">
        <f t="shared" si="103"/>
        <v>HPF COLOR QUARTZMUD PIE40 MESH</v>
      </c>
      <c r="AS481" s="1" t="str">
        <f t="shared" si="109"/>
        <v>MUD PIE</v>
      </c>
      <c r="AY481" s="63" t="str">
        <f t="shared" si="114"/>
        <v xml:space="preserve"> QUARTZMUIE40</v>
      </c>
      <c r="AZ481" s="63" t="str">
        <f t="shared" si="110"/>
        <v xml:space="preserve"> QUARTZ</v>
      </c>
      <c r="BA481" s="63" t="str">
        <f t="shared" si="111"/>
        <v>MUIE</v>
      </c>
      <c r="BB481" s="63" t="str">
        <f t="shared" si="112"/>
        <v>40</v>
      </c>
      <c r="BC481" s="135">
        <f t="shared" si="113"/>
        <v>27.5</v>
      </c>
      <c r="BD481" s="1" t="s">
        <v>792</v>
      </c>
      <c r="BE481" s="1" t="s">
        <v>843</v>
      </c>
      <c r="BF481" s="63" t="s">
        <v>794</v>
      </c>
      <c r="BG481" s="1" t="s">
        <v>390</v>
      </c>
      <c r="BH481" s="1" t="str">
        <f t="shared" si="104"/>
        <v>MUD PIE</v>
      </c>
    </row>
    <row r="482" spans="22:61" x14ac:dyDescent="0.35">
      <c r="V482" s="1" t="str">
        <v>AQUA 4410 WHTE5 G</v>
      </c>
      <c r="X482" s="1" t="str">
        <f t="shared" si="106"/>
        <v>AQUA 4410 LIAY1.2</v>
      </c>
      <c r="Y482" s="1" t="str" cm="1">
        <f t="array" ref="Y482">IFERROR(VLOOKUP($X482,$AN:AO,COLUMN(AO:AO)-COLUMN($AN:$AN)+1,FALSE),"")</f>
        <v>RESUTILE AQUA 4410 WB ALIPHATIC URETHANE - COLORLIGHT GRAY1.25 GAL</v>
      </c>
      <c r="Z482" s="63" cm="1">
        <f t="array" ref="Z482">IFERROR(VLOOKUP($X482,$AN:AP,COLUMN(AP:AP)-COLUMN($AN:$AN)+1,FALSE),"")</f>
        <v>132.41</v>
      </c>
      <c r="AA482" s="1" t="str" cm="1">
        <f t="array" ref="AA482">IFERROR(VLOOKUP($X482,$AN:AQ,COLUMN(AQ:AQ)-COLUMN($AN:$AN)+1,FALSE),"")</f>
        <v>1.25 GAL</v>
      </c>
      <c r="AC482" s="1" t="str" cm="1">
        <f t="array" ref="AC482">IFERROR(VLOOKUP($X482,$AN:AS,COLUMN(AS:AS)-COLUMN($AN:$AN)+1,FALSE),"")</f>
        <v>LIGHT GRAY</v>
      </c>
      <c r="AD482" s="1" t="s">
        <v>19</v>
      </c>
      <c r="AF482" s="1">
        <f>Table1[[#This Row],[C:C]]*1.1</f>
        <v>0</v>
      </c>
      <c r="AI482" s="1">
        <f>IFERROR(VLOOKUP(X482,#REF!,8,FALSE),0)</f>
        <v>0</v>
      </c>
      <c r="AN482" s="1" t="str">
        <f>PROD_ID_TABLE[[#This Row],[PROD ID]]</f>
        <v xml:space="preserve"> QUARTZNETE40</v>
      </c>
      <c r="AO482" s="1" t="str">
        <f t="shared" si="107"/>
        <v>HPF COLOR QUARTZNEW GRANITE40 MESH</v>
      </c>
      <c r="AP482" s="3">
        <f t="shared" si="102"/>
        <v>27.5</v>
      </c>
      <c r="AQ482" s="1" t="str">
        <f t="shared" si="108"/>
        <v>40 MESH</v>
      </c>
      <c r="AR482" s="1" t="str">
        <f>_xlfn.CONCAT(BD482:BE482)</f>
        <v>HPF COLOR QUARTZNEW GRANITE</v>
      </c>
      <c r="AS482" s="1" t="str">
        <f t="shared" si="109"/>
        <v>NEW GRANITE</v>
      </c>
      <c r="AY482" s="63" t="str">
        <f t="shared" si="114"/>
        <v xml:space="preserve"> QUARTZNETE40</v>
      </c>
      <c r="AZ482" s="63" t="str">
        <f t="shared" si="110"/>
        <v xml:space="preserve"> QUARTZ</v>
      </c>
      <c r="BA482" s="63" t="str">
        <f t="shared" si="111"/>
        <v>NETE</v>
      </c>
      <c r="BB482" s="63" t="str">
        <f t="shared" si="112"/>
        <v>40</v>
      </c>
      <c r="BC482" s="135">
        <f t="shared" si="113"/>
        <v>27.5</v>
      </c>
      <c r="BD482" s="1" t="s">
        <v>792</v>
      </c>
      <c r="BE482" s="1" t="s">
        <v>834</v>
      </c>
      <c r="BF482" s="63" t="s">
        <v>794</v>
      </c>
      <c r="BG482" s="1" t="s">
        <v>390</v>
      </c>
      <c r="BH482" s="1" t="str">
        <f t="shared" si="104"/>
        <v>NEW GRANITE</v>
      </c>
    </row>
    <row r="483" spans="22:61" x14ac:dyDescent="0.35">
      <c r="V483" s="1" t="str">
        <v>AQUA 4410 BLCK5 G</v>
      </c>
      <c r="X483" s="1" t="str">
        <f t="shared" si="106"/>
        <v>AQUA 4410 MEAY1.2</v>
      </c>
      <c r="Y483" s="1" t="str" cm="1">
        <f t="array" ref="Y483">IFERROR(VLOOKUP($X483,$AN:AO,COLUMN(AO:AO)-COLUMN($AN:$AN)+1,FALSE),"")</f>
        <v>RESUTILE AQUA 4410 WB ALIPHATIC URETHANE - COLORMEDIUM GRAY1.25 GAL</v>
      </c>
      <c r="Z483" s="63" cm="1">
        <f t="array" ref="Z483">IFERROR(VLOOKUP($X483,$AN:AP,COLUMN(AP:AP)-COLUMN($AN:$AN)+1,FALSE),"")</f>
        <v>132.41</v>
      </c>
      <c r="AA483" s="1" t="str" cm="1">
        <f t="array" ref="AA483">IFERROR(VLOOKUP($X483,$AN:AQ,COLUMN(AQ:AQ)-COLUMN($AN:$AN)+1,FALSE),"")</f>
        <v>1.25 GAL</v>
      </c>
      <c r="AC483" s="1" t="str" cm="1">
        <f t="array" ref="AC483">IFERROR(VLOOKUP($X483,$AN:AS,COLUMN(AS:AS)-COLUMN($AN:$AN)+1,FALSE),"")</f>
        <v>MEDIUM GRAY</v>
      </c>
      <c r="AD483" s="1" t="s">
        <v>19</v>
      </c>
      <c r="AF483" s="1">
        <f>Table1[[#This Row],[C:C]]*1.1</f>
        <v>0</v>
      </c>
      <c r="AI483" s="1">
        <f>IFERROR(VLOOKUP(X483,#REF!,8,FALSE),0)</f>
        <v>0</v>
      </c>
      <c r="AN483" s="1" t="str">
        <f>PROD_ID_TABLE[[#This Row],[PROD ID]]</f>
        <v xml:space="preserve"> QUARTZNIKY40</v>
      </c>
      <c r="AO483" s="1" t="str">
        <f t="shared" si="107"/>
        <v>HPF COLOR QUARTZNIGHT SKY40 MESH</v>
      </c>
      <c r="AP483" s="3">
        <f t="shared" si="102"/>
        <v>27.5</v>
      </c>
      <c r="AQ483" s="1" t="str">
        <f t="shared" si="108"/>
        <v>40 MESH</v>
      </c>
      <c r="AR483" s="1" t="str">
        <f t="shared" si="103"/>
        <v>HPF COLOR QUARTZNIGHT SKY40 MESH</v>
      </c>
      <c r="AS483" s="1" t="str">
        <f t="shared" si="109"/>
        <v>NIGHT SKY</v>
      </c>
      <c r="AY483" s="63" t="str">
        <f t="shared" si="114"/>
        <v xml:space="preserve"> QUARTZNIKY40</v>
      </c>
      <c r="AZ483" s="63" t="str">
        <f t="shared" si="110"/>
        <v xml:space="preserve"> QUARTZ</v>
      </c>
      <c r="BA483" s="63" t="str">
        <f t="shared" si="111"/>
        <v>NIKY</v>
      </c>
      <c r="BB483" s="63" t="str">
        <f t="shared" si="112"/>
        <v>40</v>
      </c>
      <c r="BC483" s="135">
        <f t="shared" si="113"/>
        <v>27.5</v>
      </c>
      <c r="BD483" s="1" t="s">
        <v>792</v>
      </c>
      <c r="BE483" s="1" t="s">
        <v>833</v>
      </c>
      <c r="BF483" s="63" t="s">
        <v>794</v>
      </c>
      <c r="BG483" s="1" t="s">
        <v>390</v>
      </c>
      <c r="BH483" s="1" t="str">
        <f t="shared" si="104"/>
        <v>NIGHT SKY</v>
      </c>
    </row>
    <row r="484" spans="22:61" x14ac:dyDescent="0.35">
      <c r="V484" s="1" t="str">
        <v>AQUA 4410 BOTE5 G</v>
      </c>
      <c r="X484" s="1" t="str">
        <f t="shared" si="106"/>
        <v>AQUA 4410 PANT1.2</v>
      </c>
      <c r="Y484" s="1" t="str" cm="1">
        <f t="array" ref="Y484">IFERROR(VLOOKUP($X484,$AN:AO,COLUMN(AO:AO)-COLUMN($AN:$AN)+1,FALSE),"")</f>
        <v>RESUTILE AQUA 4410 WB ALIPHATIC URETHANE - COLORPARCHMENT1.25 GAL</v>
      </c>
      <c r="Z484" s="63" cm="1">
        <f t="array" ref="Z484">IFERROR(VLOOKUP($X484,$AN:AP,COLUMN(AP:AP)-COLUMN($AN:$AN)+1,FALSE),"")</f>
        <v>132.41</v>
      </c>
      <c r="AA484" s="1" t="str" cm="1">
        <f t="array" ref="AA484">IFERROR(VLOOKUP($X484,$AN:AQ,COLUMN(AQ:AQ)-COLUMN($AN:$AN)+1,FALSE),"")</f>
        <v>1.25 GAL</v>
      </c>
      <c r="AC484" s="1" t="str" cm="1">
        <f t="array" ref="AC484">IFERROR(VLOOKUP($X484,$AN:AS,COLUMN(AS:AS)-COLUMN($AN:$AN)+1,FALSE),"")</f>
        <v>PARCHMENT</v>
      </c>
      <c r="AD484" s="1" t="s">
        <v>19</v>
      </c>
      <c r="AF484" s="1">
        <f>Table1[[#This Row],[C:C]]*1.1</f>
        <v>0</v>
      </c>
      <c r="AI484" s="1">
        <f>IFERROR(VLOOKUP(X484,#REF!,8,FALSE),0)</f>
        <v>0</v>
      </c>
      <c r="AN484" s="1" t="str">
        <f>PROD_ID_TABLE[[#This Row],[PROD ID]]</f>
        <v xml:space="preserve"> QUARTZREOD40</v>
      </c>
      <c r="AO484" s="1" t="str">
        <f t="shared" si="107"/>
        <v>HPF COLOR QUARTZREDWOOD40 MESH</v>
      </c>
      <c r="AP484" s="3">
        <f t="shared" si="102"/>
        <v>27.5</v>
      </c>
      <c r="AQ484" s="1" t="str">
        <f t="shared" si="108"/>
        <v>40 MESH</v>
      </c>
      <c r="AR484" s="1" t="str">
        <f>_xlfn.CONCAT(BD484:BE484)</f>
        <v>HPF COLOR QUARTZREDWOOD</v>
      </c>
      <c r="AS484" s="1" t="str">
        <f t="shared" si="109"/>
        <v>REDWOOD</v>
      </c>
      <c r="AY484" s="63" t="str">
        <f t="shared" si="114"/>
        <v xml:space="preserve"> QUARTZREOD40</v>
      </c>
      <c r="AZ484" s="63" t="str">
        <f t="shared" si="110"/>
        <v xml:space="preserve"> QUARTZ</v>
      </c>
      <c r="BA484" s="63" t="str">
        <f t="shared" si="111"/>
        <v>REOD</v>
      </c>
      <c r="BB484" s="63" t="str">
        <f t="shared" si="112"/>
        <v>40</v>
      </c>
      <c r="BC484" s="135">
        <f t="shared" si="113"/>
        <v>27.5</v>
      </c>
      <c r="BD484" s="1" t="s">
        <v>792</v>
      </c>
      <c r="BE484" s="1" t="s">
        <v>841</v>
      </c>
      <c r="BF484" s="63" t="s">
        <v>794</v>
      </c>
      <c r="BG484" s="1" t="s">
        <v>390</v>
      </c>
      <c r="BH484" s="1" t="str">
        <f t="shared" si="104"/>
        <v>REDWOOD</v>
      </c>
    </row>
    <row r="485" spans="22:61" x14ac:dyDescent="0.35">
      <c r="V485" s="1" t="str">
        <v>AQUA 4410 CAAY5 G</v>
      </c>
      <c r="X485" s="1" t="str">
        <f t="shared" si="106"/>
        <v>AQUA 4410 PEER1.2</v>
      </c>
      <c r="Y485" s="1" t="str" cm="1">
        <f t="array" ref="Y485">IFERROR(VLOOKUP($X485,$AN:AO,COLUMN(AO:AO)-COLUMN($AN:$AN)+1,FALSE),"")</f>
        <v>RESUTILE AQUA 4410 WB ALIPHATIC URETHANE - COLORPEWTER1.25 GAL</v>
      </c>
      <c r="Z485" s="63" cm="1">
        <f t="array" ref="Z485">IFERROR(VLOOKUP($X485,$AN:AP,COLUMN(AP:AP)-COLUMN($AN:$AN)+1,FALSE),"")</f>
        <v>132.41</v>
      </c>
      <c r="AA485" s="1" t="str" cm="1">
        <f t="array" ref="AA485">IFERROR(VLOOKUP($X485,$AN:AQ,COLUMN(AQ:AQ)-COLUMN($AN:$AN)+1,FALSE),"")</f>
        <v>1.25 GAL</v>
      </c>
      <c r="AC485" s="1" t="str" cm="1">
        <f t="array" ref="AC485">IFERROR(VLOOKUP($X485,$AN:AS,COLUMN(AS:AS)-COLUMN($AN:$AN)+1,FALSE),"")</f>
        <v>PEWTER</v>
      </c>
      <c r="AD485" s="1" t="s">
        <v>19</v>
      </c>
      <c r="AF485" s="1">
        <f>Table1[[#This Row],[C:C]]*1.1</f>
        <v>0</v>
      </c>
      <c r="AI485" s="1">
        <f>IFERROR(VLOOKUP(X485,#REF!,8,FALSE),0)</f>
        <v>0</v>
      </c>
      <c r="AN485" s="1" t="str">
        <f>PROD_ID_TABLE[[#This Row],[PROD ID]]</f>
        <v xml:space="preserve"> QUARTZSEPE40</v>
      </c>
      <c r="AO485" s="1" t="str">
        <f t="shared" si="107"/>
        <v>HPF COLOR QUARTZSEASCAPE40 MESH</v>
      </c>
      <c r="AP485" s="3">
        <f t="shared" si="102"/>
        <v>27.5</v>
      </c>
      <c r="AQ485" s="1" t="str">
        <f t="shared" si="108"/>
        <v>40 MESH</v>
      </c>
      <c r="AR485" s="1" t="str">
        <f t="shared" si="103"/>
        <v>HPF COLOR QUARTZSEASCAPE40 MESH</v>
      </c>
      <c r="AS485" s="1" t="str">
        <f t="shared" si="109"/>
        <v>SEASCAPE</v>
      </c>
      <c r="AY485" s="63" t="str">
        <f t="shared" si="114"/>
        <v xml:space="preserve"> QUARTZSEPE40</v>
      </c>
      <c r="AZ485" s="63" t="str">
        <f t="shared" si="110"/>
        <v xml:space="preserve"> QUARTZ</v>
      </c>
      <c r="BA485" s="63" t="str">
        <f t="shared" si="111"/>
        <v>SEPE</v>
      </c>
      <c r="BB485" s="63" t="str">
        <f t="shared" si="112"/>
        <v>40</v>
      </c>
      <c r="BC485" s="135">
        <f t="shared" si="113"/>
        <v>27.5</v>
      </c>
      <c r="BD485" s="1" t="s">
        <v>792</v>
      </c>
      <c r="BE485" s="1" t="s">
        <v>840</v>
      </c>
      <c r="BF485" s="63" t="s">
        <v>794</v>
      </c>
      <c r="BG485" s="1" t="s">
        <v>390</v>
      </c>
      <c r="BH485" s="1" t="str">
        <f t="shared" si="104"/>
        <v>SEASCAPE</v>
      </c>
    </row>
    <row r="486" spans="22:61" x14ac:dyDescent="0.35">
      <c r="V486" s="1" t="str">
        <v>AQUA 4410 CAEL5 G</v>
      </c>
      <c r="X486" s="1" t="str">
        <f t="shared" si="106"/>
        <v>AQUA 4410 ROUE1.2</v>
      </c>
      <c r="Y486" s="1" t="str" cm="1">
        <f t="array" ref="Y486">IFERROR(VLOOKUP($X486,$AN:AO,COLUMN(AO:AO)-COLUMN($AN:$AN)+1,FALSE),"")</f>
        <v>RESUTILE AQUA 4410 WB ALIPHATIC URETHANE - COLORROYAL BLUE1.25 GAL</v>
      </c>
      <c r="Z486" s="63" cm="1">
        <f t="array" ref="Z486">IFERROR(VLOOKUP($X486,$AN:AP,COLUMN(AP:AP)-COLUMN($AN:$AN)+1,FALSE),"")</f>
        <v>132.41</v>
      </c>
      <c r="AA486" s="1" t="str" cm="1">
        <f t="array" ref="AA486">IFERROR(VLOOKUP($X486,$AN:AQ,COLUMN(AQ:AQ)-COLUMN($AN:$AN)+1,FALSE),"")</f>
        <v>1.25 GAL</v>
      </c>
      <c r="AC486" s="1" t="str" cm="1">
        <f t="array" ref="AC486">IFERROR(VLOOKUP($X486,$AN:AS,COLUMN(AS:AS)-COLUMN($AN:$AN)+1,FALSE),"")</f>
        <v>ROYAL BLUE</v>
      </c>
      <c r="AD486" s="1" t="s">
        <v>19</v>
      </c>
      <c r="AF486" s="1">
        <f>Table1[[#This Row],[C:C]]*1.1</f>
        <v>0</v>
      </c>
      <c r="AI486" s="1">
        <f>IFERROR(VLOOKUP(X486,#REF!,8,FALSE),0)</f>
        <v>0</v>
      </c>
      <c r="AN486" s="1" t="str">
        <f>PROD_ID_TABLE[[#This Row],[PROD ID]]</f>
        <v xml:space="preserve"> QUARTZWHER40</v>
      </c>
      <c r="AO486" s="1" t="str">
        <f t="shared" si="107"/>
        <v>HPF COLOR QUARTZWHITE PEPPER40 MESH</v>
      </c>
      <c r="AP486" s="3">
        <f t="shared" si="102"/>
        <v>27.5</v>
      </c>
      <c r="AQ486" s="1" t="str">
        <f t="shared" si="108"/>
        <v>40 MESH</v>
      </c>
      <c r="AR486" s="1" t="str">
        <f>_xlfn.CONCAT(BD486:BE486)</f>
        <v>HPF COLOR QUARTZWHITE PEPPER</v>
      </c>
      <c r="AS486" s="1" t="str">
        <f t="shared" si="109"/>
        <v>WHITE PEPPER</v>
      </c>
      <c r="AY486" s="63" t="str">
        <f t="shared" si="114"/>
        <v xml:space="preserve"> QUARTZWHER40</v>
      </c>
      <c r="AZ486" s="63" t="str">
        <f t="shared" si="110"/>
        <v xml:space="preserve"> QUARTZ</v>
      </c>
      <c r="BA486" s="63" t="str">
        <f t="shared" si="111"/>
        <v>WHER</v>
      </c>
      <c r="BB486" s="63" t="str">
        <f t="shared" si="112"/>
        <v>40</v>
      </c>
      <c r="BC486" s="135">
        <f t="shared" si="113"/>
        <v>27.5</v>
      </c>
      <c r="BD486" s="1" t="s">
        <v>792</v>
      </c>
      <c r="BE486" s="1" t="s">
        <v>846</v>
      </c>
      <c r="BF486" s="63" t="s">
        <v>794</v>
      </c>
      <c r="BG486" s="1" t="s">
        <v>390</v>
      </c>
      <c r="BH486" s="1" t="str">
        <f t="shared" si="104"/>
        <v>WHITE PEPPER</v>
      </c>
    </row>
    <row r="487" spans="22:61" x14ac:dyDescent="0.35">
      <c r="V487" s="1" t="str">
        <v>AQUA 4410 CHAL5 G</v>
      </c>
      <c r="X487" s="1" t="str">
        <f t="shared" si="106"/>
        <v>AQUA 4410 SAED1.2</v>
      </c>
      <c r="Y487" s="1" t="str" cm="1">
        <f t="array" ref="Y487">IFERROR(VLOOKUP($X487,$AN:AO,COLUMN(AO:AO)-COLUMN($AN:$AN)+1,FALSE),"")</f>
        <v>RESUTILE AQUA 4410 WB ALIPHATIC URETHANE - COLORSAFETY RED1.25 GAL</v>
      </c>
      <c r="Z487" s="63" cm="1">
        <f t="array" ref="Z487">IFERROR(VLOOKUP($X487,$AN:AP,COLUMN(AP:AP)-COLUMN($AN:$AN)+1,FALSE),"")</f>
        <v>132.41</v>
      </c>
      <c r="AA487" s="1" t="str" cm="1">
        <f t="array" ref="AA487">IFERROR(VLOOKUP($X487,$AN:AQ,COLUMN(AQ:AQ)-COLUMN($AN:$AN)+1,FALSE),"")</f>
        <v>1.25 GAL</v>
      </c>
      <c r="AC487" s="1" t="str" cm="1">
        <f t="array" ref="AC487">IFERROR(VLOOKUP($X487,$AN:AS,COLUMN(AS:AS)-COLUMN($AN:$AN)+1,FALSE),"")</f>
        <v>SAFETY RED</v>
      </c>
      <c r="AD487" s="1" t="s">
        <v>19</v>
      </c>
      <c r="AF487" s="1">
        <f>Table1[[#This Row],[C:C]]*1.1</f>
        <v>0</v>
      </c>
      <c r="AI487" s="1">
        <f>IFERROR(VLOOKUP(X487,#REF!,8,FALSE),0)</f>
        <v>0</v>
      </c>
      <c r="AN487" s="1" t="str">
        <f>PROD_ID_TABLE[[#This Row],[PROD ID]]</f>
        <v>CO FLAKE  AGVE40</v>
      </c>
      <c r="AO487" s="1" t="str">
        <f t="shared" si="107"/>
        <v>1-16IN DECO FLAKE  - 40LB BAGAGAVE40LB BAG</v>
      </c>
      <c r="AP487" s="3">
        <f t="shared" si="102"/>
        <v>143</v>
      </c>
      <c r="AQ487" s="1" t="str">
        <f t="shared" si="108"/>
        <v>40LB BAG</v>
      </c>
      <c r="AR487" s="1" t="str">
        <f t="shared" si="103"/>
        <v>1-16IN DECO FLAKE  - 40LB BAGAGAVE40LB BAG</v>
      </c>
      <c r="AS487" s="1" t="str">
        <f t="shared" si="109"/>
        <v>AGAVE</v>
      </c>
      <c r="AY487" s="63" t="str">
        <f t="shared" si="114"/>
        <v>CO FLAKE  AGVE40</v>
      </c>
      <c r="AZ487" s="63" t="str">
        <f t="shared" si="110"/>
        <v xml:space="preserve">CO FLAKE  </v>
      </c>
      <c r="BA487" s="63" t="str">
        <f t="shared" si="111"/>
        <v>AGVE</v>
      </c>
      <c r="BB487" s="63" t="str">
        <f t="shared" si="112"/>
        <v>40</v>
      </c>
      <c r="BC487" s="135">
        <f t="shared" si="113"/>
        <v>143</v>
      </c>
      <c r="BD487" s="1" t="s">
        <v>723</v>
      </c>
      <c r="BE487" s="1" t="s">
        <v>827</v>
      </c>
      <c r="BF487" s="1" t="s">
        <v>414</v>
      </c>
      <c r="BG487" s="1" t="s">
        <v>390</v>
      </c>
      <c r="BI487" s="1" t="str" cm="1">
        <f t="array" ref="BI487:BI503">_xlfn.SWITCH(BD463,P!$BL$44,P!$BH$197,P!$BL$45,P!$BH$198,P!$BL$46,P!$BH$199,P!$BL47,P!$BE$453:$BE$469,P!$BL$41,P!$BE$384:BE416,P!$BL$40,P!$BE$384:$BE$416,P!$BL$39,P!$BE$384:$BE$416,P!$BE$200)</f>
        <v>AMERICANO</v>
      </c>
    </row>
    <row r="488" spans="22:61" x14ac:dyDescent="0.35">
      <c r="V488" s="1" t="str">
        <v>AQUA 4410 CLLE5 G</v>
      </c>
      <c r="X488" s="1" t="str">
        <f t="shared" si="106"/>
        <v>AQUA 4410 SAOW1.2</v>
      </c>
      <c r="Y488" s="1" t="str" cm="1">
        <f t="array" ref="Y488">IFERROR(VLOOKUP($X488,$AN:AO,COLUMN(AO:AO)-COLUMN($AN:$AN)+1,FALSE),"")</f>
        <v>RESUTILE AQUA 4410 WB ALIPHATIC URETHANE - COLORSAFETY YELLOW1.25 GAL</v>
      </c>
      <c r="Z488" s="63" cm="1">
        <f t="array" ref="Z488">IFERROR(VLOOKUP($X488,$AN:AP,COLUMN(AP:AP)-COLUMN($AN:$AN)+1,FALSE),"")</f>
        <v>132.41</v>
      </c>
      <c r="AA488" s="1" t="str" cm="1">
        <f t="array" ref="AA488">IFERROR(VLOOKUP($X488,$AN:AQ,COLUMN(AQ:AQ)-COLUMN($AN:$AN)+1,FALSE),"")</f>
        <v>1.25 GAL</v>
      </c>
      <c r="AC488" s="1" t="str" cm="1">
        <f t="array" ref="AC488">IFERROR(VLOOKUP($X488,$AN:AS,COLUMN(AS:AS)-COLUMN($AN:$AN)+1,FALSE),"")</f>
        <v>SAFETY YELLOW</v>
      </c>
      <c r="AD488" s="1" t="s">
        <v>19</v>
      </c>
      <c r="AF488" s="1">
        <f>Table1[[#This Row],[C:C]]*1.1</f>
        <v>0</v>
      </c>
      <c r="AI488" s="1">
        <f>IFERROR(VLOOKUP(X488,#REF!,8,FALSE),0)</f>
        <v>0</v>
      </c>
      <c r="AN488" s="1" t="str">
        <f>PROD_ID_TABLE[[#This Row],[PROD ID]]</f>
        <v>CO FLAKE  ALLK40</v>
      </c>
      <c r="AO488" s="1" t="str">
        <f t="shared" si="107"/>
        <v>1-16IN DECO FLAKE  - 40LB BAGALMOND MILK40LB BAG</v>
      </c>
      <c r="AP488" s="3">
        <f t="shared" si="102"/>
        <v>143</v>
      </c>
      <c r="AQ488" s="1" t="str">
        <f t="shared" si="108"/>
        <v>40LB BAG</v>
      </c>
      <c r="AR488" s="1" t="str">
        <f t="shared" si="103"/>
        <v>1-16IN DECO FLAKE  - 40LB BAGALMOND MILK40LB BAG</v>
      </c>
      <c r="AS488" s="1" t="str">
        <f t="shared" si="109"/>
        <v>ALMOND MILK</v>
      </c>
      <c r="AY488" s="63" t="str">
        <f t="shared" si="114"/>
        <v>CO FLAKE  ALLK40</v>
      </c>
      <c r="AZ488" s="63" t="str">
        <f t="shared" si="110"/>
        <v xml:space="preserve">CO FLAKE  </v>
      </c>
      <c r="BA488" s="63" t="str">
        <f t="shared" si="111"/>
        <v>ALLK</v>
      </c>
      <c r="BB488" s="63" t="str">
        <f t="shared" si="112"/>
        <v>40</v>
      </c>
      <c r="BC488" s="135">
        <f t="shared" si="113"/>
        <v>143</v>
      </c>
      <c r="BD488" s="1" t="s">
        <v>723</v>
      </c>
      <c r="BE488" s="1" t="s">
        <v>799</v>
      </c>
      <c r="BF488" s="1" t="s">
        <v>414</v>
      </c>
      <c r="BG488" s="1" t="s">
        <v>390</v>
      </c>
      <c r="BI488" s="1" t="str">
        <v>ANVIL</v>
      </c>
    </row>
    <row r="489" spans="22:61" x14ac:dyDescent="0.35">
      <c r="V489" s="1" t="str">
        <v>AQUA 4410 GRAY5 G</v>
      </c>
      <c r="X489" s="1" t="str">
        <f t="shared" si="106"/>
        <v>AQUA 4410 SIAY1.2</v>
      </c>
      <c r="Y489" s="1" t="str" cm="1">
        <f t="array" ref="Y489">IFERROR(VLOOKUP($X489,$AN:AO,COLUMN(AO:AO)-COLUMN($AN:$AN)+1,FALSE),"")</f>
        <v>RESUTILE AQUA 4410 WB ALIPHATIC URETHANE - COLORSILVER GRAY1.25 GAL</v>
      </c>
      <c r="Z489" s="63" cm="1">
        <f t="array" ref="Z489">IFERROR(VLOOKUP($X489,$AN:AP,COLUMN(AP:AP)-COLUMN($AN:$AN)+1,FALSE),"")</f>
        <v>132.41</v>
      </c>
      <c r="AA489" s="1" t="str" cm="1">
        <f t="array" ref="AA489">IFERROR(VLOOKUP($X489,$AN:AQ,COLUMN(AQ:AQ)-COLUMN($AN:$AN)+1,FALSE),"")</f>
        <v>1.25 GAL</v>
      </c>
      <c r="AC489" s="1" t="str" cm="1">
        <f t="array" ref="AC489">IFERROR(VLOOKUP($X489,$AN:AS,COLUMN(AS:AS)-COLUMN($AN:$AN)+1,FALSE),"")</f>
        <v>SILVER GRAY</v>
      </c>
      <c r="AD489" s="1" t="s">
        <v>19</v>
      </c>
      <c r="AF489" s="1">
        <f>Table1[[#This Row],[C:C]]*1.1</f>
        <v>0</v>
      </c>
      <c r="AI489" s="1">
        <f>IFERROR(VLOOKUP(X489,#REF!,8,FALSE),0)</f>
        <v>0</v>
      </c>
      <c r="AN489" s="1" t="str">
        <f>PROD_ID_TABLE[[#This Row],[PROD ID]]</f>
        <v>CO FLAKE  ASSH40</v>
      </c>
      <c r="AO489" s="1" t="str">
        <f t="shared" si="107"/>
        <v>1-16IN DECO FLAKE  - 40LB BAGASH40LB BAG</v>
      </c>
      <c r="AP489" s="3">
        <f t="shared" si="102"/>
        <v>143</v>
      </c>
      <c r="AQ489" s="1" t="str">
        <f t="shared" si="108"/>
        <v>40LB BAG</v>
      </c>
      <c r="AR489" s="1" t="str">
        <f t="shared" si="103"/>
        <v>1-16IN DECO FLAKE  - 40LB BAGASH40LB BAG</v>
      </c>
      <c r="AS489" s="1" t="str">
        <f t="shared" si="109"/>
        <v>ASH</v>
      </c>
      <c r="AY489" s="63" t="str">
        <f t="shared" si="114"/>
        <v>CO FLAKE  ASSH40</v>
      </c>
      <c r="AZ489" s="63" t="str">
        <f t="shared" si="110"/>
        <v xml:space="preserve">CO FLAKE  </v>
      </c>
      <c r="BA489" s="63" t="str">
        <f t="shared" si="111"/>
        <v>ASSH</v>
      </c>
      <c r="BB489" s="63" t="str">
        <f t="shared" si="112"/>
        <v>40</v>
      </c>
      <c r="BC489" s="135">
        <f t="shared" si="113"/>
        <v>143</v>
      </c>
      <c r="BD489" s="1" t="s">
        <v>723</v>
      </c>
      <c r="BE489" s="1" t="s">
        <v>417</v>
      </c>
      <c r="BF489" s="1" t="s">
        <v>414</v>
      </c>
      <c r="BG489" s="1" t="s">
        <v>390</v>
      </c>
      <c r="BI489" s="1" t="str">
        <v>AUTUMN SPICE</v>
      </c>
    </row>
    <row r="490" spans="22:61" x14ac:dyDescent="0.35">
      <c r="V490" s="1" t="str">
        <v>AQUA 4410 LIAY5 G</v>
      </c>
      <c r="X490" s="1" t="str">
        <f t="shared" si="106"/>
        <v>AQUA 4410 STAY1.2</v>
      </c>
      <c r="Y490" s="1" t="str" cm="1">
        <f t="array" ref="Y490">IFERROR(VLOOKUP($X490,$AN:AO,COLUMN(AO:AO)-COLUMN($AN:$AN)+1,FALSE),"")</f>
        <v>RESUTILE AQUA 4410 WB ALIPHATIC URETHANE - COLORSTEEL GRAY1.25 GAL</v>
      </c>
      <c r="Z490" s="63" cm="1">
        <f t="array" ref="Z490">IFERROR(VLOOKUP($X490,$AN:AP,COLUMN(AP:AP)-COLUMN($AN:$AN)+1,FALSE),"")</f>
        <v>132.41</v>
      </c>
      <c r="AA490" s="1" t="str" cm="1">
        <f t="array" ref="AA490">IFERROR(VLOOKUP($X490,$AN:AQ,COLUMN(AQ:AQ)-COLUMN($AN:$AN)+1,FALSE),"")</f>
        <v>1.25 GAL</v>
      </c>
      <c r="AC490" s="1" t="str" cm="1">
        <f t="array" ref="AC490">IFERROR(VLOOKUP($X490,$AN:AS,COLUMN(AS:AS)-COLUMN($AN:$AN)+1,FALSE),"")</f>
        <v>STEEL GRAY</v>
      </c>
      <c r="AD490" s="1" t="s">
        <v>19</v>
      </c>
      <c r="AF490" s="1">
        <f>Table1[[#This Row],[C:C]]*1.1</f>
        <v>0</v>
      </c>
      <c r="AI490" s="1">
        <f>IFERROR(VLOOKUP(X490,#REF!,8,FALSE),0)</f>
        <v>0</v>
      </c>
      <c r="AN490" s="1" t="str">
        <f>PROD_ID_TABLE[[#This Row],[PROD ID]]</f>
        <v>CO FLAKE  BLAN40</v>
      </c>
      <c r="AO490" s="1" t="str">
        <f t="shared" si="107"/>
        <v>1-16IN DECO FLAKE  - 40LB BAGBLACK BEAN40LB BAG</v>
      </c>
      <c r="AP490" s="3">
        <f t="shared" si="102"/>
        <v>143</v>
      </c>
      <c r="AQ490" s="1" t="str">
        <f t="shared" si="108"/>
        <v>40LB BAG</v>
      </c>
      <c r="AR490" s="1" t="str">
        <f t="shared" si="103"/>
        <v>1-16IN DECO FLAKE  - 40LB BAGBLACK BEAN40LB BAG</v>
      </c>
      <c r="AS490" s="1" t="str">
        <f t="shared" si="109"/>
        <v>BLACK BEAN</v>
      </c>
      <c r="AY490" s="63" t="str">
        <f t="shared" si="114"/>
        <v>CO FLAKE  BLAN40</v>
      </c>
      <c r="AZ490" s="63" t="str">
        <f t="shared" si="110"/>
        <v xml:space="preserve">CO FLAKE  </v>
      </c>
      <c r="BA490" s="63" t="str">
        <f t="shared" si="111"/>
        <v>BLAN</v>
      </c>
      <c r="BB490" s="63" t="str">
        <f t="shared" si="112"/>
        <v>40</v>
      </c>
      <c r="BC490" s="135">
        <f t="shared" si="113"/>
        <v>143</v>
      </c>
      <c r="BD490" s="1" t="s">
        <v>723</v>
      </c>
      <c r="BE490" s="1" t="s">
        <v>818</v>
      </c>
      <c r="BF490" s="1" t="s">
        <v>414</v>
      </c>
      <c r="BG490" s="1" t="s">
        <v>390</v>
      </c>
      <c r="BI490" s="1" t="str">
        <v xml:space="preserve">BLUE SLATE </v>
      </c>
    </row>
    <row r="491" spans="22:61" x14ac:dyDescent="0.35">
      <c r="V491" s="1" t="str">
        <v>AQUA 4410 MEAY5 G</v>
      </c>
      <c r="X491" s="1" t="str">
        <f t="shared" si="106"/>
        <v>AQUA 4410 ULSE1.2</v>
      </c>
      <c r="Y491" s="1" t="str" cm="1">
        <f t="array" ref="Y491">IFERROR(VLOOKUP($X491,$AN:AO,COLUMN(AO:AO)-COLUMN($AN:$AN)+1,FALSE),"")</f>
        <v>RESUTILE AQUA 4410 WB ALIPHATIC URETHANE - COLORULTRA DEEP BASE1.25 GAL</v>
      </c>
      <c r="Z491" s="63" cm="1">
        <f t="array" ref="Z491">IFERROR(VLOOKUP($X491,$AN:AP,COLUMN(AP:AP)-COLUMN($AN:$AN)+1,FALSE),"")</f>
        <v>132.41</v>
      </c>
      <c r="AA491" s="1" t="str" cm="1">
        <f t="array" ref="AA491">IFERROR(VLOOKUP($X491,$AN:AQ,COLUMN(AQ:AQ)-COLUMN($AN:$AN)+1,FALSE),"")</f>
        <v>1.25 GAL</v>
      </c>
      <c r="AC491" s="1" t="str" cm="1">
        <f t="array" ref="AC491">IFERROR(VLOOKUP($X491,$AN:AS,COLUMN(AS:AS)-COLUMN($AN:$AN)+1,FALSE),"")</f>
        <v>ULTRA DEEP BASE</v>
      </c>
      <c r="AD491" s="1" t="s">
        <v>19</v>
      </c>
      <c r="AF491" s="1">
        <f>Table1[[#This Row],[C:C]]*1.1</f>
        <v>0</v>
      </c>
      <c r="AI491" s="1">
        <f>IFERROR(VLOOKUP(X491,#REF!,8,FALSE),0)</f>
        <v>0</v>
      </c>
      <c r="AN491" s="1" t="str">
        <f>PROD_ID_TABLE[[#This Row],[PROD ID]]</f>
        <v>CO FLAKE  BLND40</v>
      </c>
      <c r="AO491" s="1" t="str">
        <f t="shared" si="107"/>
        <v>1-16IN DECO FLAKE  - 40LB BAGBLACK DIAMOND40LB BAG</v>
      </c>
      <c r="AP491" s="3">
        <f t="shared" si="102"/>
        <v>143</v>
      </c>
      <c r="AQ491" s="1" t="str">
        <f t="shared" si="108"/>
        <v>40LB BAG</v>
      </c>
      <c r="AR491" s="1" t="str">
        <f t="shared" si="103"/>
        <v>1-16IN DECO FLAKE  - 40LB BAGBLACK DIAMOND40LB BAG</v>
      </c>
      <c r="AS491" s="1" t="str">
        <f t="shared" si="109"/>
        <v>BLACK DIAMOND</v>
      </c>
      <c r="AY491" s="63" t="str">
        <f t="shared" si="114"/>
        <v>CO FLAKE  BLND40</v>
      </c>
      <c r="AZ491" s="63" t="str">
        <f t="shared" si="110"/>
        <v xml:space="preserve">CO FLAKE  </v>
      </c>
      <c r="BA491" s="63" t="str">
        <f t="shared" si="111"/>
        <v>BLND</v>
      </c>
      <c r="BB491" s="63" t="str">
        <f t="shared" si="112"/>
        <v>40</v>
      </c>
      <c r="BC491" s="135">
        <f t="shared" si="113"/>
        <v>143</v>
      </c>
      <c r="BD491" s="1" t="s">
        <v>723</v>
      </c>
      <c r="BE491" s="1" t="s">
        <v>813</v>
      </c>
      <c r="BF491" s="1" t="s">
        <v>414</v>
      </c>
      <c r="BG491" s="1" t="s">
        <v>390</v>
      </c>
      <c r="BI491" s="1" t="str">
        <v>BRINDLE</v>
      </c>
    </row>
    <row r="492" spans="22:61" x14ac:dyDescent="0.35">
      <c r="V492" s="1" t="str">
        <v>AQUA 4410 PANT5 G</v>
      </c>
      <c r="X492" s="1" t="str">
        <f t="shared" si="106"/>
        <v>AQUA 4410 WHSE1.2</v>
      </c>
      <c r="Y492" s="1" t="str" cm="1">
        <f t="array" ref="Y492">IFERROR(VLOOKUP($X492,$AN:AO,COLUMN(AO:AO)-COLUMN($AN:$AN)+1,FALSE),"")</f>
        <v>RESUTILE AQUA 4410 WB ALIPHATIC URETHANE - COLORWHITE TINT BASE1.25 GAL</v>
      </c>
      <c r="Z492" s="63" cm="1">
        <f t="array" ref="Z492">IFERROR(VLOOKUP($X492,$AN:AP,COLUMN(AP:AP)-COLUMN($AN:$AN)+1,FALSE),"")</f>
        <v>132.41</v>
      </c>
      <c r="AA492" s="1" t="str" cm="1">
        <f t="array" ref="AA492">IFERROR(VLOOKUP($X492,$AN:AQ,COLUMN(AQ:AQ)-COLUMN($AN:$AN)+1,FALSE),"")</f>
        <v>1.25 GAL</v>
      </c>
      <c r="AC492" s="1" t="str" cm="1">
        <f t="array" ref="AC492">IFERROR(VLOOKUP($X492,$AN:AS,COLUMN(AS:AS)-COLUMN($AN:$AN)+1,FALSE),"")</f>
        <v>WHITE TINT BASE</v>
      </c>
      <c r="AD492" s="1" t="s">
        <v>19</v>
      </c>
      <c r="AF492" s="1">
        <f>Table1[[#This Row],[C:C]]*1.1</f>
        <v>0</v>
      </c>
      <c r="AI492" s="1">
        <f>IFERROR(VLOOKUP(X492,#REF!,8,FALSE),0)</f>
        <v>0</v>
      </c>
      <c r="AN492" s="1" t="str">
        <f>PROD_ID_TABLE[[#This Row],[PROD ID]]</f>
        <v>CO FLAKE  BLOA40</v>
      </c>
      <c r="AO492" s="1" t="str">
        <f t="shared" si="107"/>
        <v>1-16IN DECO FLAKE  - 40LB BAGBLACK QUINOA40LB BAG</v>
      </c>
      <c r="AP492" s="3">
        <f t="shared" si="102"/>
        <v>143</v>
      </c>
      <c r="AQ492" s="1" t="str">
        <f t="shared" si="108"/>
        <v>40LB BAG</v>
      </c>
      <c r="AR492" s="1" t="str">
        <f t="shared" si="103"/>
        <v>1-16IN DECO FLAKE  - 40LB BAGBLACK QUINOA40LB BAG</v>
      </c>
      <c r="AS492" s="1" t="str">
        <f t="shared" si="109"/>
        <v>BLACK QUINOA</v>
      </c>
      <c r="AY492" s="63" t="str">
        <f t="shared" si="114"/>
        <v>CO FLAKE  BLOA40</v>
      </c>
      <c r="AZ492" s="63" t="str">
        <f t="shared" si="110"/>
        <v xml:space="preserve">CO FLAKE  </v>
      </c>
      <c r="BA492" s="63" t="str">
        <f t="shared" si="111"/>
        <v>BLOA</v>
      </c>
      <c r="BB492" s="63" t="str">
        <f t="shared" si="112"/>
        <v>40</v>
      </c>
      <c r="BC492" s="135">
        <f t="shared" si="113"/>
        <v>143</v>
      </c>
      <c r="BD492" s="1" t="s">
        <v>723</v>
      </c>
      <c r="BE492" s="1" t="s">
        <v>822</v>
      </c>
      <c r="BF492" s="1" t="s">
        <v>414</v>
      </c>
      <c r="BG492" s="1" t="s">
        <v>390</v>
      </c>
      <c r="BI492" s="1" t="str">
        <v>BRISKET</v>
      </c>
    </row>
    <row r="493" spans="22:61" x14ac:dyDescent="0.35">
      <c r="V493" s="1" t="str">
        <v>AQUA 4410 PEER5 G</v>
      </c>
      <c r="X493" s="1" t="str">
        <f t="shared" si="106"/>
        <v>AQUA 4410 CUOM5 G</v>
      </c>
      <c r="Y493" s="1" t="str" cm="1">
        <f t="array" ref="Y493">IFERROR(VLOOKUP($X493,$AN:AO,COLUMN(AO:AO)-COLUMN($AN:$AN)+1,FALSE),"")</f>
        <v>RESUTILE AQUA 4410 WB ALIPHATIC URETHANE - COLORCUSTOM5 GAL</v>
      </c>
      <c r="Z493" s="63" cm="1">
        <f t="array" ref="Z493">IFERROR(VLOOKUP($X493,$AN:AP,COLUMN(AP:AP)-COLUMN($AN:$AN)+1,FALSE),"")</f>
        <v>497.28</v>
      </c>
      <c r="AA493" s="1" t="str" cm="1">
        <f t="array" ref="AA493">IFERROR(VLOOKUP($X493,$AN:AQ,COLUMN(AQ:AQ)-COLUMN($AN:$AN)+1,FALSE),"")</f>
        <v>5 GAL</v>
      </c>
      <c r="AC493" s="1" t="str" cm="1">
        <f t="array" ref="AC493">IFERROR(VLOOKUP($X493,$AN:AS,COLUMN(AS:AS)-COLUMN($AN:$AN)+1,FALSE),"")</f>
        <v>CUSTOM</v>
      </c>
      <c r="AD493" s="1" t="s">
        <v>19</v>
      </c>
      <c r="AF493" s="1">
        <f>Table1[[#This Row],[C:C]]*1.1</f>
        <v>0</v>
      </c>
      <c r="AI493" s="1">
        <f>IFERROR(VLOOKUP(X493,#REF!,8,FALSE),0)</f>
        <v>0</v>
      </c>
      <c r="AN493" s="1" t="str">
        <f>PROD_ID_TABLE[[#This Row],[PROD ID]]</f>
        <v>CO FLAKE  BOSE40</v>
      </c>
      <c r="AO493" s="1" t="str">
        <f t="shared" si="107"/>
        <v>1-16IN DECO FLAKE  - 40LB BAGBOTTLENOSE40LB BAG</v>
      </c>
      <c r="AP493" s="3">
        <f t="shared" si="102"/>
        <v>143</v>
      </c>
      <c r="AQ493" s="1" t="str">
        <f t="shared" si="108"/>
        <v>40LB BAG</v>
      </c>
      <c r="AR493" s="1" t="str">
        <f t="shared" si="103"/>
        <v>1-16IN DECO FLAKE  - 40LB BAGBOTTLENOSE40LB BAG</v>
      </c>
      <c r="AS493" s="1" t="str">
        <f t="shared" si="109"/>
        <v>BOTTLENOSE</v>
      </c>
      <c r="AY493" s="63" t="str">
        <f t="shared" si="114"/>
        <v>CO FLAKE  BOSE40</v>
      </c>
      <c r="AZ493" s="63" t="str">
        <f t="shared" si="110"/>
        <v xml:space="preserve">CO FLAKE  </v>
      </c>
      <c r="BA493" s="63" t="str">
        <f t="shared" si="111"/>
        <v>BOSE</v>
      </c>
      <c r="BB493" s="63" t="str">
        <f t="shared" si="112"/>
        <v>40</v>
      </c>
      <c r="BC493" s="135">
        <f t="shared" si="113"/>
        <v>143</v>
      </c>
      <c r="BD493" s="1" t="s">
        <v>723</v>
      </c>
      <c r="BE493" s="1" t="s">
        <v>823</v>
      </c>
      <c r="BF493" s="1" t="s">
        <v>414</v>
      </c>
      <c r="BG493" s="1" t="s">
        <v>390</v>
      </c>
      <c r="BI493" s="1" t="str">
        <v>CATERPILLAR</v>
      </c>
    </row>
    <row r="494" spans="22:61" x14ac:dyDescent="0.35">
      <c r="V494" s="1" t="str">
        <v>AQUA 4410 ROUE5 G</v>
      </c>
      <c r="X494" s="1" t="str">
        <f t="shared" si="106"/>
        <v>AQUA 4410 WHTE5 G</v>
      </c>
      <c r="Y494" s="1" t="str" cm="1">
        <f t="array" ref="Y494">IFERROR(VLOOKUP($X494,$AN:AO,COLUMN(AO:AO)-COLUMN($AN:$AN)+1,FALSE),"")</f>
        <v>RESUTILE AQUA 4410 WB ALIPHATIC URETHANE - COLORWHITE5 GAL</v>
      </c>
      <c r="Z494" s="63" cm="1">
        <f t="array" ref="Z494">IFERROR(VLOOKUP($X494,$AN:AP,COLUMN(AP:AP)-COLUMN($AN:$AN)+1,FALSE),"")</f>
        <v>497.28</v>
      </c>
      <c r="AA494" s="1" t="str" cm="1">
        <f t="array" ref="AA494">IFERROR(VLOOKUP($X494,$AN:AQ,COLUMN(AQ:AQ)-COLUMN($AN:$AN)+1,FALSE),"")</f>
        <v>5 GAL</v>
      </c>
      <c r="AC494" s="1" t="str" cm="1">
        <f t="array" ref="AC494">IFERROR(VLOOKUP($X494,$AN:AS,COLUMN(AS:AS)-COLUMN($AN:$AN)+1,FALSE),"")</f>
        <v>WHITE</v>
      </c>
      <c r="AD494" s="1" t="s">
        <v>19</v>
      </c>
      <c r="AF494" s="1">
        <f>Table1[[#This Row],[C:C]]*1.1</f>
        <v>0</v>
      </c>
      <c r="AI494" s="1">
        <f>IFERROR(VLOOKUP(X494,#REF!,8,FALSE),0)</f>
        <v>0</v>
      </c>
      <c r="AN494" s="1" t="str">
        <f>PROD_ID_TABLE[[#This Row],[PROD ID]]</f>
        <v>CO FLAKE  BUOD40</v>
      </c>
      <c r="AO494" s="1" t="str">
        <f t="shared" si="107"/>
        <v>1-16IN DECO FLAKE  - 40LB BAGBURNT WOOD40LB BAG</v>
      </c>
      <c r="AP494" s="3">
        <f t="shared" si="102"/>
        <v>143</v>
      </c>
      <c r="AQ494" s="1" t="str">
        <f t="shared" si="108"/>
        <v>40LB BAG</v>
      </c>
      <c r="AR494" s="1" t="str">
        <f t="shared" si="103"/>
        <v>1-16IN DECO FLAKE  - 40LB BAGBURNT WOOD40LB BAG</v>
      </c>
      <c r="AS494" s="1" t="str">
        <f t="shared" si="109"/>
        <v>BURNT WOOD</v>
      </c>
      <c r="AY494" s="63" t="str">
        <f t="shared" si="114"/>
        <v>CO FLAKE  BUOD40</v>
      </c>
      <c r="AZ494" s="63" t="str">
        <f t="shared" si="110"/>
        <v xml:space="preserve">CO FLAKE  </v>
      </c>
      <c r="BA494" s="63" t="str">
        <f t="shared" si="111"/>
        <v>BUOD</v>
      </c>
      <c r="BB494" s="63" t="str">
        <f t="shared" si="112"/>
        <v>40</v>
      </c>
      <c r="BC494" s="135">
        <f t="shared" si="113"/>
        <v>143</v>
      </c>
      <c r="BD494" s="1" t="s">
        <v>723</v>
      </c>
      <c r="BE494" s="1" t="s">
        <v>802</v>
      </c>
      <c r="BF494" s="1" t="s">
        <v>414</v>
      </c>
      <c r="BG494" s="1" t="s">
        <v>390</v>
      </c>
      <c r="BI494" s="1" t="str">
        <v>CUSTOM BLEND</v>
      </c>
    </row>
    <row r="495" spans="22:61" x14ac:dyDescent="0.35">
      <c r="V495" s="1" t="str">
        <v>AQUA 4410 SAED5 G</v>
      </c>
      <c r="X495" s="1" t="str">
        <f t="shared" si="106"/>
        <v>AQUA 4410 BLCK5 G</v>
      </c>
      <c r="Y495" s="1" t="str" cm="1">
        <f t="array" ref="Y495">IFERROR(VLOOKUP($X495,$AN:AO,COLUMN(AO:AO)-COLUMN($AN:$AN)+1,FALSE),"")</f>
        <v>RESUTILE AQUA 4410 WB ALIPHATIC URETHANE - COLORBLACK5 GAL</v>
      </c>
      <c r="Z495" s="63" cm="1">
        <f t="array" ref="Z495">IFERROR(VLOOKUP($X495,$AN:AP,COLUMN(AP:AP)-COLUMN($AN:$AN)+1,FALSE),"")</f>
        <v>497.28</v>
      </c>
      <c r="AA495" s="1" t="str" cm="1">
        <f t="array" ref="AA495">IFERROR(VLOOKUP($X495,$AN:AQ,COLUMN(AQ:AQ)-COLUMN($AN:$AN)+1,FALSE),"")</f>
        <v>5 GAL</v>
      </c>
      <c r="AC495" s="1" t="str" cm="1">
        <f t="array" ref="AC495">IFERROR(VLOOKUP($X495,$AN:AS,COLUMN(AS:AS)-COLUMN($AN:$AN)+1,FALSE),"")</f>
        <v>BLACK</v>
      </c>
      <c r="AD495" s="1" t="s">
        <v>19</v>
      </c>
      <c r="AF495" s="1">
        <f>Table1[[#This Row],[C:C]]*1.1</f>
        <v>0</v>
      </c>
      <c r="AI495" s="1">
        <f>IFERROR(VLOOKUP(X495,#REF!,8,FALSE),0)</f>
        <v>0</v>
      </c>
      <c r="AN495" s="1" t="str">
        <f>PROD_ID_TABLE[[#This Row],[PROD ID]]</f>
        <v>CO FLAKE  CACK40</v>
      </c>
      <c r="AO495" s="1" t="str">
        <f t="shared" si="107"/>
        <v>1-16IN DECO FLAKE  - 40LB BAGCASTLEROCK40LB BAG</v>
      </c>
      <c r="AP495" s="3">
        <f t="shared" si="102"/>
        <v>143</v>
      </c>
      <c r="AQ495" s="1" t="str">
        <f t="shared" si="108"/>
        <v>40LB BAG</v>
      </c>
      <c r="AR495" s="1" t="str">
        <f t="shared" si="103"/>
        <v>1-16IN DECO FLAKE  - 40LB BAGCASTLEROCK40LB BAG</v>
      </c>
      <c r="AS495" s="1" t="str">
        <f t="shared" si="109"/>
        <v>CASTLEROCK</v>
      </c>
      <c r="AY495" s="63" t="str">
        <f t="shared" si="114"/>
        <v>CO FLAKE  CACK40</v>
      </c>
      <c r="AZ495" s="63" t="str">
        <f t="shared" si="110"/>
        <v xml:space="preserve">CO FLAKE  </v>
      </c>
      <c r="BA495" s="63" t="str">
        <f t="shared" si="111"/>
        <v>CACK</v>
      </c>
      <c r="BB495" s="63" t="str">
        <f t="shared" si="112"/>
        <v>40</v>
      </c>
      <c r="BC495" s="135">
        <f t="shared" si="113"/>
        <v>143</v>
      </c>
      <c r="BD495" s="1" t="s">
        <v>723</v>
      </c>
      <c r="BE495" s="1" t="s">
        <v>814</v>
      </c>
      <c r="BF495" s="1" t="s">
        <v>414</v>
      </c>
      <c r="BG495" s="1" t="s">
        <v>390</v>
      </c>
      <c r="BI495" s="1" t="str">
        <v>GRASSLAND</v>
      </c>
    </row>
    <row r="496" spans="22:61" x14ac:dyDescent="0.35">
      <c r="V496" s="1" t="str">
        <v>AQUA 4410 SAOW5 G</v>
      </c>
      <c r="X496" s="1" t="str">
        <f t="shared" si="106"/>
        <v>AQUA 4410 BOTE5 G</v>
      </c>
      <c r="Y496" s="1" t="str" cm="1">
        <f t="array" ref="Y496">IFERROR(VLOOKUP($X496,$AN:AO,COLUMN(AO:AO)-COLUMN($AN:$AN)+1,FALSE),"")</f>
        <v>RESUTILE AQUA 4410 WB ALIPHATIC URETHANE - COLORBONE WHITE5 GAL</v>
      </c>
      <c r="Z496" s="63" cm="1">
        <f t="array" ref="Z496">IFERROR(VLOOKUP($X496,$AN:AP,COLUMN(AP:AP)-COLUMN($AN:$AN)+1,FALSE),"")</f>
        <v>497.28</v>
      </c>
      <c r="AA496" s="1" t="str" cm="1">
        <f t="array" ref="AA496">IFERROR(VLOOKUP($X496,$AN:AQ,COLUMN(AQ:AQ)-COLUMN($AN:$AN)+1,FALSE),"")</f>
        <v>5 GAL</v>
      </c>
      <c r="AC496" s="1" t="str" cm="1">
        <f t="array" ref="AC496">IFERROR(VLOOKUP($X496,$AN:AS,COLUMN(AS:AS)-COLUMN($AN:$AN)+1,FALSE),"")</f>
        <v>BONE WHITE</v>
      </c>
      <c r="AD496" s="1" t="s">
        <v>19</v>
      </c>
      <c r="AF496" s="1">
        <f>Table1[[#This Row],[C:C]]*1.1</f>
        <v>0</v>
      </c>
      <c r="AI496" s="1">
        <f>IFERROR(VLOOKUP(X496,#REF!,8,FALSE),0)</f>
        <v>0</v>
      </c>
      <c r="AN496" s="1" t="str">
        <f>PROD_ID_TABLE[[#This Row],[PROD ID]]</f>
        <v>CO FLAKE  CHAL40</v>
      </c>
      <c r="AO496" s="1" t="str">
        <f t="shared" ref="AO496:AO522" si="115">_xlfn.CONCAT(BD496:BF496)</f>
        <v>1-16IN DECO FLAKE  - 40LB BAGCHERRY CORDIAL40LB BAG</v>
      </c>
      <c r="AP496" s="3">
        <f t="shared" si="102"/>
        <v>143</v>
      </c>
      <c r="AQ496" s="1" t="str">
        <f t="shared" ref="AQ496:AQ522" si="116">BF496</f>
        <v>40LB BAG</v>
      </c>
      <c r="AR496" s="1" t="str">
        <f t="shared" si="103"/>
        <v>1-16IN DECO FLAKE  - 40LB BAGCHERRY CORDIAL40LB BAG</v>
      </c>
      <c r="AS496" s="1" t="str">
        <f t="shared" ref="AS496:AS522" si="117">BE496</f>
        <v>CHERRY CORDIAL</v>
      </c>
      <c r="AY496" s="63" t="str">
        <f t="shared" si="114"/>
        <v>CO FLAKE  CHAL40</v>
      </c>
      <c r="AZ496" s="63" t="str">
        <f t="shared" ref="AZ496:AZ522" si="118">MID(BD496,10,10)</f>
        <v xml:space="preserve">CO FLAKE  </v>
      </c>
      <c r="BA496" s="63" t="str">
        <f t="shared" ref="BA496:BA522" si="119">LEFT(BE496,2)&amp;RIGHT(BE496,2)</f>
        <v>CHAL</v>
      </c>
      <c r="BB496" s="63" t="str">
        <f t="shared" ref="BB496:BB522" si="120">LEFT(BF496,2)</f>
        <v>40</v>
      </c>
      <c r="BC496" s="135">
        <f t="shared" si="113"/>
        <v>143</v>
      </c>
      <c r="BD496" s="1" t="s">
        <v>723</v>
      </c>
      <c r="BE496" s="1" t="s">
        <v>819</v>
      </c>
      <c r="BF496" s="1" t="s">
        <v>414</v>
      </c>
      <c r="BG496" s="1" t="s">
        <v>390</v>
      </c>
      <c r="BI496" s="1" t="str">
        <v>LAGOON</v>
      </c>
    </row>
    <row r="497" spans="22:61" x14ac:dyDescent="0.35">
      <c r="V497" s="1" t="str">
        <v>AQUA 4410 SIAY5 G</v>
      </c>
      <c r="X497" s="1" t="str">
        <f t="shared" si="106"/>
        <v>AQUA 4410 CAAY5 G</v>
      </c>
      <c r="Y497" s="1" t="str" cm="1">
        <f t="array" ref="Y497">IFERROR(VLOOKUP($X497,$AN:AO,COLUMN(AO:AO)-COLUMN($AN:$AN)+1,FALSE),"")</f>
        <v>RESUTILE AQUA 4410 WB ALIPHATIC URETHANE - COLORCANADA GRAY5 GAL</v>
      </c>
      <c r="Z497" s="63" cm="1">
        <f t="array" ref="Z497">IFERROR(VLOOKUP($X497,$AN:AP,COLUMN(AP:AP)-COLUMN($AN:$AN)+1,FALSE),"")</f>
        <v>497.28</v>
      </c>
      <c r="AA497" s="1" t="str" cm="1">
        <f t="array" ref="AA497">IFERROR(VLOOKUP($X497,$AN:AQ,COLUMN(AQ:AQ)-COLUMN($AN:$AN)+1,FALSE),"")</f>
        <v>5 GAL</v>
      </c>
      <c r="AC497" s="1" t="str" cm="1">
        <f t="array" ref="AC497">IFERROR(VLOOKUP($X497,$AN:AS,COLUMN(AS:AS)-COLUMN($AN:$AN)+1,FALSE),"")</f>
        <v>CANADA GRAY</v>
      </c>
      <c r="AD497" s="1" t="s">
        <v>19</v>
      </c>
      <c r="AF497" s="1">
        <f>Table1[[#This Row],[C:C]]*1.1</f>
        <v>0</v>
      </c>
      <c r="AI497" s="1">
        <f>IFERROR(VLOOKUP(X497,#REF!,8,FALSE),0)</f>
        <v>0</v>
      </c>
      <c r="AN497" s="1" t="str">
        <f>PROD_ID_TABLE[[#This Row],[PROD ID]]</f>
        <v>CO FLAKE  CHLA40</v>
      </c>
      <c r="AO497" s="1" t="str">
        <f t="shared" si="115"/>
        <v>1-16IN DECO FLAKE  - 40LB BAGCHINCHILLA40LB BAG</v>
      </c>
      <c r="AP497" s="3">
        <f t="shared" si="102"/>
        <v>143</v>
      </c>
      <c r="AQ497" s="1" t="str">
        <f t="shared" si="116"/>
        <v>40LB BAG</v>
      </c>
      <c r="AR497" s="1" t="str">
        <f t="shared" si="103"/>
        <v>1-16IN DECO FLAKE  - 40LB BAGCHINCHILLA40LB BAG</v>
      </c>
      <c r="AS497" s="1" t="str">
        <f t="shared" si="117"/>
        <v>CHINCHILLA</v>
      </c>
      <c r="AY497" s="63" t="str">
        <f t="shared" si="114"/>
        <v>CO FLAKE  CHLA40</v>
      </c>
      <c r="AZ497" s="63" t="str">
        <f t="shared" si="118"/>
        <v xml:space="preserve">CO FLAKE  </v>
      </c>
      <c r="BA497" s="63" t="str">
        <f t="shared" si="119"/>
        <v>CHLA</v>
      </c>
      <c r="BB497" s="63" t="str">
        <f t="shared" si="120"/>
        <v>40</v>
      </c>
      <c r="BC497" s="135">
        <f t="shared" si="113"/>
        <v>143</v>
      </c>
      <c r="BD497" s="1" t="s">
        <v>723</v>
      </c>
      <c r="BE497" s="1" t="s">
        <v>809</v>
      </c>
      <c r="BF497" s="1" t="s">
        <v>414</v>
      </c>
      <c r="BG497" s="1" t="s">
        <v>390</v>
      </c>
      <c r="BI497" s="1" t="str">
        <v>MOJAVE</v>
      </c>
    </row>
    <row r="498" spans="22:61" x14ac:dyDescent="0.35">
      <c r="V498" s="1" t="str">
        <v>AQUA 4410 STAY5 G</v>
      </c>
      <c r="X498" s="1" t="str">
        <f t="shared" si="106"/>
        <v>AQUA 4410 CAEL5 G</v>
      </c>
      <c r="Y498" s="1" t="str" cm="1">
        <f t="array" ref="Y498">IFERROR(VLOOKUP($X498,$AN:AO,COLUMN(AO:AO)-COLUMN($AN:$AN)+1,FALSE),"")</f>
        <v>RESUTILE AQUA 4410 WB ALIPHATIC URETHANE - COLORCARAMEL5 GAL</v>
      </c>
      <c r="Z498" s="63" cm="1">
        <f t="array" ref="Z498">IFERROR(VLOOKUP($X498,$AN:AP,COLUMN(AP:AP)-COLUMN($AN:$AN)+1,FALSE),"")</f>
        <v>497.28</v>
      </c>
      <c r="AA498" s="1" t="str" cm="1">
        <f t="array" ref="AA498">IFERROR(VLOOKUP($X498,$AN:AQ,COLUMN(AQ:AQ)-COLUMN($AN:$AN)+1,FALSE),"")</f>
        <v>5 GAL</v>
      </c>
      <c r="AC498" s="1" t="str" cm="1">
        <f t="array" ref="AC498">IFERROR(VLOOKUP($X498,$AN:AS,COLUMN(AS:AS)-COLUMN($AN:$AN)+1,FALSE),"")</f>
        <v>CARAMEL</v>
      </c>
      <c r="AD498" s="1" t="s">
        <v>19</v>
      </c>
      <c r="AF498" s="1">
        <f>Table1[[#This Row],[C:C]]*1.1</f>
        <v>0</v>
      </c>
      <c r="AI498" s="1">
        <f>IFERROR(VLOOKUP(X498,#REF!,8,FALSE),0)</f>
        <v>0</v>
      </c>
      <c r="AN498" s="1" t="str">
        <f>PROD_ID_TABLE[[#This Row],[PROD ID]]</f>
        <v>CO FLAKE  CUOM40</v>
      </c>
      <c r="AO498" s="1" t="str">
        <f t="shared" si="115"/>
        <v>1-16IN DECO FLAKE  - 40LB BAGCUSTOM40LB BAG</v>
      </c>
      <c r="AP498" s="3">
        <f t="shared" si="102"/>
        <v>143</v>
      </c>
      <c r="AQ498" s="1" t="str">
        <f t="shared" si="116"/>
        <v>40LB BAG</v>
      </c>
      <c r="AR498" s="1" t="str">
        <f t="shared" si="103"/>
        <v>1-16IN DECO FLAKE  - 40LB BAGCUSTOM40LB BAG</v>
      </c>
      <c r="AS498" s="1" t="str">
        <f t="shared" si="117"/>
        <v>CUSTOM</v>
      </c>
      <c r="AY498" s="63" t="str">
        <f t="shared" si="114"/>
        <v>CO FLAKE  CUOM40</v>
      </c>
      <c r="AZ498" s="63" t="str">
        <f t="shared" si="118"/>
        <v xml:space="preserve">CO FLAKE  </v>
      </c>
      <c r="BA498" s="63" t="str">
        <f t="shared" si="119"/>
        <v>CUOM</v>
      </c>
      <c r="BB498" s="63" t="str">
        <f t="shared" si="120"/>
        <v>40</v>
      </c>
      <c r="BC498" s="135">
        <f t="shared" si="113"/>
        <v>143</v>
      </c>
      <c r="BD498" s="1" t="s">
        <v>723</v>
      </c>
      <c r="BE498" s="1" t="s">
        <v>316</v>
      </c>
      <c r="BF498" s="1" t="s">
        <v>414</v>
      </c>
      <c r="BG498" s="1" t="s">
        <v>390</v>
      </c>
      <c r="BI498" s="1" t="str">
        <v>MUD PIE</v>
      </c>
    </row>
    <row r="499" spans="22:61" x14ac:dyDescent="0.35">
      <c r="V499" s="1" t="str">
        <v>AQUA 4410 ULSE5 G</v>
      </c>
      <c r="X499" s="1" t="str">
        <f t="shared" si="106"/>
        <v>AQUA 4410 CHAL5 G</v>
      </c>
      <c r="Y499" s="1" t="str" cm="1">
        <f t="array" ref="Y499">IFERROR(VLOOKUP($X499,$AN:AO,COLUMN(AO:AO)-COLUMN($AN:$AN)+1,FALSE),"")</f>
        <v>RESUTILE AQUA 4410 WB ALIPHATIC URETHANE - COLORCHARCOAL5 GAL</v>
      </c>
      <c r="Z499" s="63" cm="1">
        <f t="array" ref="Z499">IFERROR(VLOOKUP($X499,$AN:AP,COLUMN(AP:AP)-COLUMN($AN:$AN)+1,FALSE),"")</f>
        <v>497.28</v>
      </c>
      <c r="AA499" s="1" t="str" cm="1">
        <f t="array" ref="AA499">IFERROR(VLOOKUP($X499,$AN:AQ,COLUMN(AQ:AQ)-COLUMN($AN:$AN)+1,FALSE),"")</f>
        <v>5 GAL</v>
      </c>
      <c r="AC499" s="1" t="str" cm="1">
        <f t="array" ref="AC499">IFERROR(VLOOKUP($X499,$AN:AS,COLUMN(AS:AS)-COLUMN($AN:$AN)+1,FALSE),"")</f>
        <v>CHARCOAL</v>
      </c>
      <c r="AD499" s="1" t="s">
        <v>19</v>
      </c>
      <c r="AF499" s="1">
        <f>Table1[[#This Row],[C:C]]*1.1</f>
        <v>0</v>
      </c>
      <c r="AI499" s="1">
        <f>IFERROR(VLOOKUP(X499,#REF!,8,FALSE),0)</f>
        <v>0</v>
      </c>
      <c r="AN499" s="1" t="str">
        <f>PROD_ID_TABLE[[#This Row],[PROD ID]]</f>
        <v>CO FLAKE  FLED40</v>
      </c>
      <c r="AO499" s="1" t="str">
        <f t="shared" si="115"/>
        <v>1-16IN DECO FLAKE  - 40LB BAGFLAXSEED40LB BAG</v>
      </c>
      <c r="AP499" s="3">
        <f t="shared" si="102"/>
        <v>143</v>
      </c>
      <c r="AQ499" s="1" t="str">
        <f t="shared" si="116"/>
        <v>40LB BAG</v>
      </c>
      <c r="AR499" s="1" t="str">
        <f t="shared" si="103"/>
        <v>1-16IN DECO FLAKE  - 40LB BAGFLAXSEED40LB BAG</v>
      </c>
      <c r="AS499" s="1" t="str">
        <f t="shared" si="117"/>
        <v>FLAXSEED</v>
      </c>
      <c r="AY499" s="63" t="str">
        <f t="shared" si="114"/>
        <v>CO FLAKE  FLED40</v>
      </c>
      <c r="AZ499" s="63" t="str">
        <f t="shared" si="118"/>
        <v xml:space="preserve">CO FLAKE  </v>
      </c>
      <c r="BA499" s="63" t="str">
        <f t="shared" si="119"/>
        <v>FLED</v>
      </c>
      <c r="BB499" s="63" t="str">
        <f t="shared" si="120"/>
        <v>40</v>
      </c>
      <c r="BC499" s="135">
        <f t="shared" si="113"/>
        <v>143</v>
      </c>
      <c r="BD499" s="1" t="s">
        <v>723</v>
      </c>
      <c r="BE499" s="1" t="s">
        <v>803</v>
      </c>
      <c r="BF499" s="1" t="s">
        <v>414</v>
      </c>
      <c r="BG499" s="1" t="s">
        <v>390</v>
      </c>
      <c r="BI499" s="1" t="str">
        <v>NEW GRANITE</v>
      </c>
    </row>
    <row r="500" spans="22:61" x14ac:dyDescent="0.35">
      <c r="V500" s="1" t="str">
        <v>AQUA 4410 WHSE5 G</v>
      </c>
      <c r="X500" s="1" t="str">
        <f t="shared" si="106"/>
        <v>AQUA 4410 CLLE5 G</v>
      </c>
      <c r="Y500" s="1" t="str" cm="1">
        <f t="array" ref="Y500">IFERROR(VLOOKUP($X500,$AN:AO,COLUMN(AO:AO)-COLUMN($AN:$AN)+1,FALSE),"")</f>
        <v>RESUTILE AQUA 4410 WB ALIPHATIC URETHANE - COLORCLASIC RED TILE5 GAL</v>
      </c>
      <c r="Z500" s="63" cm="1">
        <f t="array" ref="Z500">IFERROR(VLOOKUP($X500,$AN:AP,COLUMN(AP:AP)-COLUMN($AN:$AN)+1,FALSE),"")</f>
        <v>497.28</v>
      </c>
      <c r="AA500" s="1" t="str" cm="1">
        <f t="array" ref="AA500">IFERROR(VLOOKUP($X500,$AN:AQ,COLUMN(AQ:AQ)-COLUMN($AN:$AN)+1,FALSE),"")</f>
        <v>5 GAL</v>
      </c>
      <c r="AC500" s="1" t="str" cm="1">
        <f t="array" ref="AC500">IFERROR(VLOOKUP($X500,$AN:AS,COLUMN(AS:AS)-COLUMN($AN:$AN)+1,FALSE),"")</f>
        <v>CLASIC RED TILE</v>
      </c>
      <c r="AD500" s="1" t="s">
        <v>19</v>
      </c>
      <c r="AF500" s="1">
        <f>Table1[[#This Row],[C:C]]*1.1</f>
        <v>0</v>
      </c>
      <c r="AI500" s="1">
        <f>IFERROR(VLOOKUP(X500,#REF!,8,FALSE),0)</f>
        <v>0</v>
      </c>
      <c r="AN500" s="1" t="str">
        <f>PROD_ID_TABLE[[#This Row],[PROD ID]]</f>
        <v>CO FLAKE  FONG40</v>
      </c>
      <c r="AO500" s="1" t="str">
        <f t="shared" si="115"/>
        <v>1-16IN DECO FLAKE  - 40LB BAGFOGGY MORNING40LB BAG</v>
      </c>
      <c r="AP500" s="3">
        <f t="shared" si="102"/>
        <v>143</v>
      </c>
      <c r="AQ500" s="1" t="str">
        <f t="shared" si="116"/>
        <v>40LB BAG</v>
      </c>
      <c r="AR500" s="1" t="str">
        <f t="shared" si="103"/>
        <v>1-16IN DECO FLAKE  - 40LB BAGFOGGY MORNING40LB BAG</v>
      </c>
      <c r="AS500" s="1" t="str">
        <f t="shared" si="117"/>
        <v>FOGGY MORNING</v>
      </c>
      <c r="AY500" s="63" t="str">
        <f t="shared" si="114"/>
        <v>CO FLAKE  FONG40</v>
      </c>
      <c r="AZ500" s="63" t="str">
        <f t="shared" si="118"/>
        <v xml:space="preserve">CO FLAKE  </v>
      </c>
      <c r="BA500" s="63" t="str">
        <f t="shared" si="119"/>
        <v>FONG</v>
      </c>
      <c r="BB500" s="63" t="str">
        <f t="shared" si="120"/>
        <v>40</v>
      </c>
      <c r="BC500" s="135">
        <f t="shared" si="113"/>
        <v>143</v>
      </c>
      <c r="BD500" s="1" t="s">
        <v>723</v>
      </c>
      <c r="BE500" s="1" t="s">
        <v>418</v>
      </c>
      <c r="BF500" s="1" t="s">
        <v>414</v>
      </c>
      <c r="BG500" s="1" t="s">
        <v>390</v>
      </c>
      <c r="BI500" s="1" t="str">
        <v>NIGHT SKY</v>
      </c>
    </row>
    <row r="501" spans="22:61" x14ac:dyDescent="0.35">
      <c r="V501" s="1" t="str">
        <v>EXT SMALL CLAR0.2</v>
      </c>
      <c r="X501" s="1" t="str">
        <f t="shared" si="106"/>
        <v>AQUA 4410 GRAY5 G</v>
      </c>
      <c r="Y501" s="1" t="str" cm="1">
        <f t="array" ref="Y501">IFERROR(VLOOKUP($X501,$AN:AO,COLUMN(AO:AO)-COLUMN($AN:$AN)+1,FALSE),"")</f>
        <v>RESUTILE AQUA 4410 WB ALIPHATIC URETHANE - COLORGRAY5 GAL</v>
      </c>
      <c r="Z501" s="63" cm="1">
        <f t="array" ref="Z501">IFERROR(VLOOKUP($X501,$AN:AP,COLUMN(AP:AP)-COLUMN($AN:$AN)+1,FALSE),"")</f>
        <v>497.28</v>
      </c>
      <c r="AA501" s="1" t="str" cm="1">
        <f t="array" ref="AA501">IFERROR(VLOOKUP($X501,$AN:AQ,COLUMN(AQ:AQ)-COLUMN($AN:$AN)+1,FALSE),"")</f>
        <v>5 GAL</v>
      </c>
      <c r="AC501" s="1" t="str" cm="1">
        <f t="array" ref="AC501">IFERROR(VLOOKUP($X501,$AN:AS,COLUMN(AS:AS)-COLUMN($AN:$AN)+1,FALSE),"")</f>
        <v>GRAY</v>
      </c>
      <c r="AD501" s="1" t="s">
        <v>19</v>
      </c>
      <c r="AF501" s="1">
        <f>Table1[[#This Row],[C:C]]*1.1</f>
        <v>0</v>
      </c>
      <c r="AI501" s="1">
        <f>IFERROR(VLOOKUP(X501,#REF!,8,FALSE),0)</f>
        <v>0</v>
      </c>
      <c r="AN501" s="1" t="str">
        <f>PROD_ID_TABLE[[#This Row],[PROD ID]]</f>
        <v>CO FLAKE  GNSS40</v>
      </c>
      <c r="AO501" s="1" t="str">
        <f t="shared" si="115"/>
        <v>1-16IN DECO FLAKE  - 40LB BAGGNEISS40LB BAG</v>
      </c>
      <c r="AP501" s="3">
        <f t="shared" si="102"/>
        <v>143</v>
      </c>
      <c r="AQ501" s="1" t="str">
        <f t="shared" si="116"/>
        <v>40LB BAG</v>
      </c>
      <c r="AR501" s="1" t="str">
        <f t="shared" si="103"/>
        <v>1-16IN DECO FLAKE  - 40LB BAGGNEISS40LB BAG</v>
      </c>
      <c r="AS501" s="1" t="str">
        <f t="shared" si="117"/>
        <v>GNEISS</v>
      </c>
      <c r="AY501" s="63" t="str">
        <f t="shared" si="114"/>
        <v>CO FLAKE  GNSS40</v>
      </c>
      <c r="AZ501" s="63" t="str">
        <f t="shared" si="118"/>
        <v xml:space="preserve">CO FLAKE  </v>
      </c>
      <c r="BA501" s="63" t="str">
        <f t="shared" si="119"/>
        <v>GNSS</v>
      </c>
      <c r="BB501" s="63" t="str">
        <f t="shared" si="120"/>
        <v>40</v>
      </c>
      <c r="BC501" s="135">
        <f t="shared" si="113"/>
        <v>143</v>
      </c>
      <c r="BD501" s="1" t="s">
        <v>723</v>
      </c>
      <c r="BE501" s="1" t="s">
        <v>824</v>
      </c>
      <c r="BF501" s="1" t="s">
        <v>414</v>
      </c>
      <c r="BG501" s="1" t="s">
        <v>390</v>
      </c>
      <c r="BI501" s="1" t="str">
        <v>REDWOOD</v>
      </c>
    </row>
    <row r="502" spans="22:61" x14ac:dyDescent="0.35">
      <c r="V502" s="1" t="str">
        <v>EXT SMALL CUOM0.2</v>
      </c>
      <c r="X502" s="1" t="str">
        <f t="shared" si="106"/>
        <v>AQUA 4410 LIAY5 G</v>
      </c>
      <c r="Y502" s="1" t="str" cm="1">
        <f t="array" ref="Y502">IFERROR(VLOOKUP($X502,$AN:AO,COLUMN(AO:AO)-COLUMN($AN:$AN)+1,FALSE),"")</f>
        <v>RESUTILE AQUA 4410 WB ALIPHATIC URETHANE - COLORLIGHT GRAY5 GAL</v>
      </c>
      <c r="Z502" s="63" cm="1">
        <f t="array" ref="Z502">IFERROR(VLOOKUP($X502,$AN:AP,COLUMN(AP:AP)-COLUMN($AN:$AN)+1,FALSE),"")</f>
        <v>497.28</v>
      </c>
      <c r="AA502" s="1" t="str" cm="1">
        <f t="array" ref="AA502">IFERROR(VLOOKUP($X502,$AN:AQ,COLUMN(AQ:AQ)-COLUMN($AN:$AN)+1,FALSE),"")</f>
        <v>5 GAL</v>
      </c>
      <c r="AC502" s="1" t="str" cm="1">
        <f t="array" ref="AC502">IFERROR(VLOOKUP($X502,$AN:AS,COLUMN(AS:AS)-COLUMN($AN:$AN)+1,FALSE),"")</f>
        <v>LIGHT GRAY</v>
      </c>
      <c r="AD502" s="1" t="s">
        <v>19</v>
      </c>
      <c r="AF502" s="1">
        <f>Table1[[#This Row],[C:C]]*1.1</f>
        <v>0</v>
      </c>
      <c r="AI502" s="1">
        <f>IFERROR(VLOOKUP(X502,#REF!,8,FALSE),0)</f>
        <v>0</v>
      </c>
      <c r="AN502" s="1" t="str">
        <f>PROD_ID_TABLE[[#This Row],[PROD ID]]</f>
        <v>CO FLAKE  GROT40</v>
      </c>
      <c r="AO502" s="1" t="str">
        <f t="shared" si="115"/>
        <v>1-16IN DECO FLAKE  - 40LB BAGGRAY PARROT40LB BAG</v>
      </c>
      <c r="AP502" s="3">
        <f t="shared" si="102"/>
        <v>143</v>
      </c>
      <c r="AQ502" s="1" t="str">
        <f t="shared" si="116"/>
        <v>40LB BAG</v>
      </c>
      <c r="AR502" s="1" t="str">
        <f t="shared" si="103"/>
        <v>1-16IN DECO FLAKE  - 40LB BAGGRAY PARROT40LB BAG</v>
      </c>
      <c r="AS502" s="1" t="str">
        <f t="shared" si="117"/>
        <v>GRAY PARROT</v>
      </c>
      <c r="AY502" s="63" t="str">
        <f t="shared" si="114"/>
        <v>CO FLAKE  GROT40</v>
      </c>
      <c r="AZ502" s="63" t="str">
        <f t="shared" si="118"/>
        <v xml:space="preserve">CO FLAKE  </v>
      </c>
      <c r="BA502" s="63" t="str">
        <f t="shared" si="119"/>
        <v>GROT</v>
      </c>
      <c r="BB502" s="63" t="str">
        <f t="shared" si="120"/>
        <v>40</v>
      </c>
      <c r="BC502" s="135">
        <f t="shared" si="113"/>
        <v>143</v>
      </c>
      <c r="BD502" s="1" t="s">
        <v>723</v>
      </c>
      <c r="BE502" s="1" t="s">
        <v>812</v>
      </c>
      <c r="BF502" s="1" t="s">
        <v>414</v>
      </c>
      <c r="BG502" s="1" t="s">
        <v>390</v>
      </c>
      <c r="BI502" s="1" t="str">
        <v>SEASCAPE</v>
      </c>
    </row>
    <row r="503" spans="22:61" x14ac:dyDescent="0.35">
      <c r="V503" s="1" t="str">
        <v>EXT SMALL MEAY0.2</v>
      </c>
      <c r="X503" s="1" t="str">
        <f t="shared" si="106"/>
        <v>AQUA 4410 MEAY5 G</v>
      </c>
      <c r="Y503" s="1" t="str" cm="1">
        <f t="array" ref="Y503">IFERROR(VLOOKUP($X503,$AN:AO,COLUMN(AO:AO)-COLUMN($AN:$AN)+1,FALSE),"")</f>
        <v>RESUTILE AQUA 4410 WB ALIPHATIC URETHANE - COLORMEDIUM GRAY5 GAL</v>
      </c>
      <c r="Z503" s="63" cm="1">
        <f t="array" ref="Z503">IFERROR(VLOOKUP($X503,$AN:AP,COLUMN(AP:AP)-COLUMN($AN:$AN)+1,FALSE),"")</f>
        <v>497.28</v>
      </c>
      <c r="AA503" s="1" t="str" cm="1">
        <f t="array" ref="AA503">IFERROR(VLOOKUP($X503,$AN:AQ,COLUMN(AQ:AQ)-COLUMN($AN:$AN)+1,FALSE),"")</f>
        <v>5 GAL</v>
      </c>
      <c r="AC503" s="1" t="str" cm="1">
        <f t="array" ref="AC503">IFERROR(VLOOKUP($X503,$AN:AS,COLUMN(AS:AS)-COLUMN($AN:$AN)+1,FALSE),"")</f>
        <v>MEDIUM GRAY</v>
      </c>
      <c r="AD503" s="1" t="s">
        <v>19</v>
      </c>
      <c r="AF503" s="1">
        <f>Table1[[#This Row],[C:C]]*1.1</f>
        <v>0</v>
      </c>
      <c r="AI503" s="1">
        <f>IFERROR(VLOOKUP(X503,#REF!,8,FALSE),0)</f>
        <v>0</v>
      </c>
      <c r="AN503" s="1" t="str">
        <f>PROD_ID_TABLE[[#This Row],[PROD ID]]</f>
        <v>CO FLAKE  GREL40</v>
      </c>
      <c r="AO503" s="1" t="str">
        <f t="shared" si="115"/>
        <v>1-16IN DECO FLAKE  - 40LB BAGGRAY SQUIRREL40LB BAG</v>
      </c>
      <c r="AP503" s="3">
        <f t="shared" si="102"/>
        <v>143</v>
      </c>
      <c r="AQ503" s="1" t="str">
        <f t="shared" si="116"/>
        <v>40LB BAG</v>
      </c>
      <c r="AR503" s="1" t="str">
        <f t="shared" si="103"/>
        <v>1-16IN DECO FLAKE  - 40LB BAGGRAY SQUIRREL40LB BAG</v>
      </c>
      <c r="AS503" s="1" t="str">
        <f t="shared" si="117"/>
        <v>GRAY SQUIRREL</v>
      </c>
      <c r="AY503" s="63" t="str">
        <f t="shared" si="114"/>
        <v>CO FLAKE  GREL40</v>
      </c>
      <c r="AZ503" s="63" t="str">
        <f t="shared" si="118"/>
        <v xml:space="preserve">CO FLAKE  </v>
      </c>
      <c r="BA503" s="63" t="str">
        <f t="shared" si="119"/>
        <v>GREL</v>
      </c>
      <c r="BB503" s="63" t="str">
        <f t="shared" si="120"/>
        <v>40</v>
      </c>
      <c r="BC503" s="135">
        <f t="shared" si="113"/>
        <v>143</v>
      </c>
      <c r="BD503" s="1" t="s">
        <v>723</v>
      </c>
      <c r="BE503" s="1" t="s">
        <v>815</v>
      </c>
      <c r="BF503" s="1" t="s">
        <v>414</v>
      </c>
      <c r="BG503" s="1" t="s">
        <v>390</v>
      </c>
      <c r="BI503" s="1" t="str">
        <v>WHITE PEPPER</v>
      </c>
    </row>
    <row r="504" spans="22:61" x14ac:dyDescent="0.35">
      <c r="V504" s="1" t="str">
        <v>EXT SMALL CAAY0.2</v>
      </c>
      <c r="X504" s="1" t="str">
        <f t="shared" si="106"/>
        <v>AQUA 4410 PANT5 G</v>
      </c>
      <c r="Y504" s="1" t="str" cm="1">
        <f t="array" ref="Y504">IFERROR(VLOOKUP($X504,$AN:AO,COLUMN(AO:AO)-COLUMN($AN:$AN)+1,FALSE),"")</f>
        <v>RESUTILE AQUA 4410 WB ALIPHATIC URETHANE - COLORPARCHMENT5 GAL</v>
      </c>
      <c r="Z504" s="63" cm="1">
        <f t="array" ref="Z504">IFERROR(VLOOKUP($X504,$AN:AP,COLUMN(AP:AP)-COLUMN($AN:$AN)+1,FALSE),"")</f>
        <v>497.28</v>
      </c>
      <c r="AA504" s="1" t="str" cm="1">
        <f t="array" ref="AA504">IFERROR(VLOOKUP($X504,$AN:AQ,COLUMN(AQ:AQ)-COLUMN($AN:$AN)+1,FALSE),"")</f>
        <v>5 GAL</v>
      </c>
      <c r="AC504" s="1" t="str" cm="1">
        <f t="array" ref="AC504">IFERROR(VLOOKUP($X504,$AN:AS,COLUMN(AS:AS)-COLUMN($AN:$AN)+1,FALSE),"")</f>
        <v>PARCHMENT</v>
      </c>
      <c r="AD504" s="1" t="s">
        <v>19</v>
      </c>
      <c r="AF504" s="1">
        <f>Table1[[#This Row],[C:C]]*1.1</f>
        <v>0</v>
      </c>
      <c r="AI504" s="1">
        <f>IFERROR(VLOOKUP(X504,#REF!,8,FALSE),0)</f>
        <v>0</v>
      </c>
      <c r="AN504" s="1" t="str">
        <f>PROD_ID_TABLE[[#This Row],[PROD ID]]</f>
        <v>CO FLAKE  GRND40</v>
      </c>
      <c r="AO504" s="1" t="str">
        <f t="shared" si="115"/>
        <v>1-16IN DECO FLAKE  - 40LB BAGGREYHOUND40LB BAG</v>
      </c>
      <c r="AP504" s="3">
        <f t="shared" si="102"/>
        <v>143</v>
      </c>
      <c r="AQ504" s="1" t="str">
        <f t="shared" si="116"/>
        <v>40LB BAG</v>
      </c>
      <c r="AR504" s="1" t="str">
        <f t="shared" si="103"/>
        <v>1-16IN DECO FLAKE  - 40LB BAGGREYHOUND40LB BAG</v>
      </c>
      <c r="AS504" s="1" t="str">
        <f t="shared" si="117"/>
        <v>GREYHOUND</v>
      </c>
      <c r="AY504" s="63" t="str">
        <f t="shared" si="114"/>
        <v>CO FLAKE  GRND40</v>
      </c>
      <c r="AZ504" s="63" t="str">
        <f t="shared" si="118"/>
        <v xml:space="preserve">CO FLAKE  </v>
      </c>
      <c r="BA504" s="63" t="str">
        <f t="shared" si="119"/>
        <v>GRND</v>
      </c>
      <c r="BB504" s="63" t="str">
        <f t="shared" si="120"/>
        <v>40</v>
      </c>
      <c r="BC504" s="135">
        <f t="shared" si="113"/>
        <v>143</v>
      </c>
      <c r="BD504" s="1" t="s">
        <v>723</v>
      </c>
      <c r="BE504" s="1" t="s">
        <v>817</v>
      </c>
      <c r="BF504" s="1" t="s">
        <v>414</v>
      </c>
      <c r="BG504" s="1" t="s">
        <v>390</v>
      </c>
    </row>
    <row r="505" spans="22:61" x14ac:dyDescent="0.35">
      <c r="V505" s="1" t="str">
        <v>EXT SMALL CHAL0.2</v>
      </c>
      <c r="X505" s="1" t="str">
        <f t="shared" si="106"/>
        <v>AQUA 4410 PEER5 G</v>
      </c>
      <c r="Y505" s="1" t="str" cm="1">
        <f t="array" ref="Y505">IFERROR(VLOOKUP($X505,$AN:AO,COLUMN(AO:AO)-COLUMN($AN:$AN)+1,FALSE),"")</f>
        <v>RESUTILE AQUA 4410 WB ALIPHATIC URETHANE - COLORPEWTER5 GAL</v>
      </c>
      <c r="Z505" s="63" cm="1">
        <f t="array" ref="Z505">IFERROR(VLOOKUP($X505,$AN:AP,COLUMN(AP:AP)-COLUMN($AN:$AN)+1,FALSE),"")</f>
        <v>497.28</v>
      </c>
      <c r="AA505" s="1" t="str" cm="1">
        <f t="array" ref="AA505">IFERROR(VLOOKUP($X505,$AN:AQ,COLUMN(AQ:AQ)-COLUMN($AN:$AN)+1,FALSE),"")</f>
        <v>5 GAL</v>
      </c>
      <c r="AC505" s="1" t="str" cm="1">
        <f t="array" ref="AC505">IFERROR(VLOOKUP($X505,$AN:AS,COLUMN(AS:AS)-COLUMN($AN:$AN)+1,FALSE),"")</f>
        <v>PEWTER</v>
      </c>
      <c r="AD505" s="1" t="s">
        <v>19</v>
      </c>
      <c r="AF505" s="1">
        <f>Table1[[#This Row],[C:C]]*1.1</f>
        <v>0</v>
      </c>
      <c r="AI505" s="1">
        <f>IFERROR(VLOOKUP(X505,#REF!,8,FALSE),0)</f>
        <v>0</v>
      </c>
      <c r="AN505" s="1" t="str">
        <f>PROD_ID_TABLE[[#This Row],[PROD ID]]</f>
        <v>CO FLAKE  HUAY40</v>
      </c>
      <c r="AO505" s="1" t="str">
        <f t="shared" si="115"/>
        <v>1-16IN DECO FLAKE  - 40LB BAGHUSKY GRAY40LB BAG</v>
      </c>
      <c r="AP505" s="3">
        <f t="shared" si="102"/>
        <v>143</v>
      </c>
      <c r="AQ505" s="1" t="str">
        <f t="shared" si="116"/>
        <v>40LB BAG</v>
      </c>
      <c r="AR505" s="1" t="str">
        <f t="shared" si="103"/>
        <v>1-16IN DECO FLAKE  - 40LB BAGHUSKY GRAY40LB BAG</v>
      </c>
      <c r="AS505" s="1" t="str">
        <f t="shared" si="117"/>
        <v>HUSKY GRAY</v>
      </c>
      <c r="AY505" s="63" t="str">
        <f t="shared" si="114"/>
        <v>CO FLAKE  HUAY40</v>
      </c>
      <c r="AZ505" s="63" t="str">
        <f t="shared" si="118"/>
        <v xml:space="preserve">CO FLAKE  </v>
      </c>
      <c r="BA505" s="63" t="str">
        <f t="shared" si="119"/>
        <v>HUAY</v>
      </c>
      <c r="BB505" s="63" t="str">
        <f t="shared" si="120"/>
        <v>40</v>
      </c>
      <c r="BC505" s="135">
        <f t="shared" si="113"/>
        <v>143</v>
      </c>
      <c r="BD505" s="1" t="s">
        <v>723</v>
      </c>
      <c r="BE505" s="1" t="s">
        <v>811</v>
      </c>
      <c r="BF505" s="1" t="s">
        <v>414</v>
      </c>
      <c r="BG505" s="1" t="s">
        <v>390</v>
      </c>
    </row>
    <row r="506" spans="22:61" x14ac:dyDescent="0.35">
      <c r="V506" s="1" t="str">
        <v>EXT SMALL STAY0.2</v>
      </c>
      <c r="X506" s="1" t="str">
        <f t="shared" si="106"/>
        <v>AQUA 4410 ROUE5 G</v>
      </c>
      <c r="Y506" s="1" t="str" cm="1">
        <f t="array" ref="Y506">IFERROR(VLOOKUP($X506,$AN:AO,COLUMN(AO:AO)-COLUMN($AN:$AN)+1,FALSE),"")</f>
        <v>RESUTILE AQUA 4410 WB ALIPHATIC URETHANE - COLORROYAL BLUE5 GAL</v>
      </c>
      <c r="Z506" s="63" cm="1">
        <f t="array" ref="Z506">IFERROR(VLOOKUP($X506,$AN:AP,COLUMN(AP:AP)-COLUMN($AN:$AN)+1,FALSE),"")</f>
        <v>497.28</v>
      </c>
      <c r="AA506" s="1" t="str" cm="1">
        <f t="array" ref="AA506">IFERROR(VLOOKUP($X506,$AN:AQ,COLUMN(AQ:AQ)-COLUMN($AN:$AN)+1,FALSE),"")</f>
        <v>5 GAL</v>
      </c>
      <c r="AC506" s="1" t="str" cm="1">
        <f t="array" ref="AC506">IFERROR(VLOOKUP($X506,$AN:AS,COLUMN(AS:AS)-COLUMN($AN:$AN)+1,FALSE),"")</f>
        <v>ROYAL BLUE</v>
      </c>
      <c r="AD506" s="1" t="s">
        <v>19</v>
      </c>
      <c r="AF506" s="1">
        <f>Table1[[#This Row],[C:C]]*1.1</f>
        <v>0</v>
      </c>
      <c r="AI506" s="1">
        <f>IFERROR(VLOOKUP(X506,#REF!,8,FALSE),0)</f>
        <v>0</v>
      </c>
      <c r="AN506" s="1" t="str">
        <f>PROD_ID_TABLE[[#This Row],[PROD ID]]</f>
        <v>CO FLAKE  KIKE40</v>
      </c>
      <c r="AO506" s="1" t="str">
        <f t="shared" si="115"/>
        <v>1-16IN DECO FLAKE  - 40LB BAGKINGSNAKE40LB BAG</v>
      </c>
      <c r="AP506" s="3">
        <f t="shared" si="102"/>
        <v>143</v>
      </c>
      <c r="AQ506" s="1" t="str">
        <f t="shared" si="116"/>
        <v>40LB BAG</v>
      </c>
      <c r="AR506" s="1" t="str">
        <f t="shared" si="103"/>
        <v>1-16IN DECO FLAKE  - 40LB BAGKINGSNAKE40LB BAG</v>
      </c>
      <c r="AS506" s="1" t="str">
        <f t="shared" si="117"/>
        <v>KINGSNAKE</v>
      </c>
      <c r="AY506" s="63" t="str">
        <f t="shared" si="114"/>
        <v>CO FLAKE  KIKE40</v>
      </c>
      <c r="AZ506" s="63" t="str">
        <f t="shared" si="118"/>
        <v xml:space="preserve">CO FLAKE  </v>
      </c>
      <c r="BA506" s="63" t="str">
        <f t="shared" si="119"/>
        <v>KIKE</v>
      </c>
      <c r="BB506" s="63" t="str">
        <f t="shared" si="120"/>
        <v>40</v>
      </c>
      <c r="BC506" s="135">
        <f t="shared" si="113"/>
        <v>143</v>
      </c>
      <c r="BD506" s="1" t="s">
        <v>723</v>
      </c>
      <c r="BE506" s="1" t="s">
        <v>820</v>
      </c>
      <c r="BF506" s="1" t="s">
        <v>414</v>
      </c>
      <c r="BG506" s="1" t="s">
        <v>390</v>
      </c>
      <c r="BI506" s="1" t="str" cm="1">
        <f t="array" ref="BI506">_xlfn.SWITCH(M52,P!$BL$44,P!$BH$197,P!$BL$45,P!$BH$198,P!$BL$46,P!$BH$199,P!$BL$47,P!$BE$453:BE474,P!$BL$41,P!$BE$384:BE421,P!$BL$40,P!$BE$384:$BE$416,P!$BL$39,P!$BE$384:$BE$416,P!$BE$200)</f>
        <v>N/A</v>
      </c>
    </row>
    <row r="507" spans="22:61" x14ac:dyDescent="0.35">
      <c r="V507" s="1" t="str">
        <v>EXT SMALL BOTE0.2</v>
      </c>
      <c r="X507" s="1" t="str">
        <f t="shared" si="106"/>
        <v>AQUA 4410 SAED5 G</v>
      </c>
      <c r="Y507" s="1" t="str" cm="1">
        <f t="array" ref="Y507">IFERROR(VLOOKUP($X507,$AN:AO,COLUMN(AO:AO)-COLUMN($AN:$AN)+1,FALSE),"")</f>
        <v>RESUTILE AQUA 4410 WB ALIPHATIC URETHANE - COLORSAFETY RED5 GAL</v>
      </c>
      <c r="Z507" s="63" cm="1">
        <f t="array" ref="Z507">IFERROR(VLOOKUP($X507,$AN:AP,COLUMN(AP:AP)-COLUMN($AN:$AN)+1,FALSE),"")</f>
        <v>497.28</v>
      </c>
      <c r="AA507" s="1" t="str" cm="1">
        <f t="array" ref="AA507">IFERROR(VLOOKUP($X507,$AN:AQ,COLUMN(AQ:AQ)-COLUMN($AN:$AN)+1,FALSE),"")</f>
        <v>5 GAL</v>
      </c>
      <c r="AC507" s="1" t="str" cm="1">
        <f t="array" ref="AC507">IFERROR(VLOOKUP($X507,$AN:AS,COLUMN(AS:AS)-COLUMN($AN:$AN)+1,FALSE),"")</f>
        <v>SAFETY RED</v>
      </c>
      <c r="AD507" s="1" t="s">
        <v>19</v>
      </c>
      <c r="AF507" s="1">
        <f>Table1[[#This Row],[C:C]]*1.1</f>
        <v>0</v>
      </c>
      <c r="AI507" s="1">
        <f>IFERROR(VLOOKUP(X507,#REF!,8,FALSE),0)</f>
        <v>0</v>
      </c>
      <c r="AN507" s="1" t="str">
        <f>PROD_ID_TABLE[[#This Row],[PROD ID]]</f>
        <v>CO FLAKE  KIIN40</v>
      </c>
      <c r="AO507" s="1" t="str">
        <f t="shared" si="115"/>
        <v>1-16IN DECO FLAKE  - 40LB BAGKIWI SKIN40LB BAG</v>
      </c>
      <c r="AP507" s="3">
        <f t="shared" si="102"/>
        <v>143</v>
      </c>
      <c r="AQ507" s="1" t="str">
        <f t="shared" si="116"/>
        <v>40LB BAG</v>
      </c>
      <c r="AR507" s="1" t="str">
        <f t="shared" si="103"/>
        <v>1-16IN DECO FLAKE  - 40LB BAGKIWI SKIN40LB BAG</v>
      </c>
      <c r="AS507" s="1" t="str">
        <f t="shared" si="117"/>
        <v>KIWI SKIN</v>
      </c>
      <c r="AY507" s="63" t="str">
        <f t="shared" ref="AY507:AY522" si="121">_xlfn.CONCAT(AZ507:BB507)</f>
        <v>CO FLAKE  KIIN40</v>
      </c>
      <c r="AZ507" s="63" t="str">
        <f t="shared" si="118"/>
        <v xml:space="preserve">CO FLAKE  </v>
      </c>
      <c r="BA507" s="63" t="str">
        <f t="shared" si="119"/>
        <v>KIIN</v>
      </c>
      <c r="BB507" s="63" t="str">
        <f t="shared" si="120"/>
        <v>40</v>
      </c>
      <c r="BC507" s="135">
        <f t="shared" si="113"/>
        <v>143</v>
      </c>
      <c r="BD507" s="1" t="s">
        <v>723</v>
      </c>
      <c r="BE507" s="1" t="s">
        <v>806</v>
      </c>
      <c r="BF507" s="1" t="s">
        <v>414</v>
      </c>
      <c r="BG507" s="1" t="s">
        <v>390</v>
      </c>
      <c r="BI507" s="1" t="str" cm="1">
        <f t="array" ref="BI507">_xlfn.SWITCH(M52,P!$BL$44,P!$BH$197,P!$BL$45,P!$BH$198,P!$BL$46,P!$BH$199,P!$BL$47,P!$BE$453:$BE$469,P!$BL$41,P!$BE$384:$BE$416,P!$BL$40,P!$BE$384:$BE$416,P!$BL$39,P!$BE$384:$BE$416,P!$BE$200)</f>
        <v>N/A</v>
      </c>
    </row>
    <row r="508" spans="22:61" x14ac:dyDescent="0.35">
      <c r="V508" s="1" t="str">
        <v>EXT SMALL SIAY0.2</v>
      </c>
      <c r="X508" s="1" t="str">
        <f t="shared" si="106"/>
        <v>AQUA 4410 SAOW5 G</v>
      </c>
      <c r="Y508" s="1" t="str" cm="1">
        <f t="array" ref="Y508">IFERROR(VLOOKUP($X508,$AN:AO,COLUMN(AO:AO)-COLUMN($AN:$AN)+1,FALSE),"")</f>
        <v>RESUTILE AQUA 4410 WB ALIPHATIC URETHANE - COLORSAFETY YELLOW5 GAL</v>
      </c>
      <c r="Z508" s="63" cm="1">
        <f t="array" ref="Z508">IFERROR(VLOOKUP($X508,$AN:AP,COLUMN(AP:AP)-COLUMN($AN:$AN)+1,FALSE),"")</f>
        <v>497.28</v>
      </c>
      <c r="AA508" s="1" t="str" cm="1">
        <f t="array" ref="AA508">IFERROR(VLOOKUP($X508,$AN:AQ,COLUMN(AQ:AQ)-COLUMN($AN:$AN)+1,FALSE),"")</f>
        <v>5 GAL</v>
      </c>
      <c r="AC508" s="1" t="str" cm="1">
        <f t="array" ref="AC508">IFERROR(VLOOKUP($X508,$AN:AS,COLUMN(AS:AS)-COLUMN($AN:$AN)+1,FALSE),"")</f>
        <v>SAFETY YELLOW</v>
      </c>
      <c r="AD508" s="1" t="s">
        <v>19</v>
      </c>
      <c r="AF508" s="1">
        <f>Table1[[#This Row],[C:C]]*1.1</f>
        <v>0</v>
      </c>
      <c r="AI508" s="1">
        <f>IFERROR(VLOOKUP(X508,#REF!,8,FALSE),0)</f>
        <v>0</v>
      </c>
      <c r="AN508" s="1" t="str">
        <f>PROD_ID_TABLE[[#This Row],[PROD ID]]</f>
        <v>CO FLAKE  KOAT40</v>
      </c>
      <c r="AO508" s="1" t="str">
        <f t="shared" si="115"/>
        <v>1-16IN DECO FLAKE  - 40LB BAGKORAT40LB BAG</v>
      </c>
      <c r="AP508" s="3">
        <f t="shared" si="102"/>
        <v>143</v>
      </c>
      <c r="AQ508" s="1" t="str">
        <f t="shared" si="116"/>
        <v>40LB BAG</v>
      </c>
      <c r="AR508" s="1" t="str">
        <f t="shared" si="103"/>
        <v>1-16IN DECO FLAKE  - 40LB BAGKORAT40LB BAG</v>
      </c>
      <c r="AS508" s="1" t="str">
        <f t="shared" si="117"/>
        <v>KORAT</v>
      </c>
      <c r="AY508" s="63" t="str">
        <f t="shared" si="121"/>
        <v>CO FLAKE  KOAT40</v>
      </c>
      <c r="AZ508" s="63" t="str">
        <f t="shared" si="118"/>
        <v xml:space="preserve">CO FLAKE  </v>
      </c>
      <c r="BA508" s="63" t="str">
        <f t="shared" si="119"/>
        <v>KOAT</v>
      </c>
      <c r="BB508" s="63" t="str">
        <f t="shared" si="120"/>
        <v>40</v>
      </c>
      <c r="BC508" s="135">
        <f t="shared" si="113"/>
        <v>143</v>
      </c>
      <c r="BD508" s="1" t="s">
        <v>723</v>
      </c>
      <c r="BE508" s="1" t="s">
        <v>829</v>
      </c>
      <c r="BF508" s="1" t="s">
        <v>414</v>
      </c>
      <c r="BG508" s="1" t="s">
        <v>390</v>
      </c>
    </row>
    <row r="509" spans="22:61" x14ac:dyDescent="0.35">
      <c r="V509" s="1" t="str">
        <v>EXT SMALL WHTE0.2</v>
      </c>
      <c r="X509" s="1" t="str">
        <f t="shared" si="106"/>
        <v>AQUA 4410 SIAY5 G</v>
      </c>
      <c r="Y509" s="1" t="str" cm="1">
        <f t="array" ref="Y509">IFERROR(VLOOKUP($X509,$AN:AO,COLUMN(AO:AO)-COLUMN($AN:$AN)+1,FALSE),"")</f>
        <v>RESUTILE AQUA 4410 WB ALIPHATIC URETHANE - COLORSILVER GRAY5 GAL</v>
      </c>
      <c r="Z509" s="63" cm="1">
        <f t="array" ref="Z509">IFERROR(VLOOKUP($X509,$AN:AP,COLUMN(AP:AP)-COLUMN($AN:$AN)+1,FALSE),"")</f>
        <v>497.28</v>
      </c>
      <c r="AA509" s="1" t="str" cm="1">
        <f t="array" ref="AA509">IFERROR(VLOOKUP($X509,$AN:AQ,COLUMN(AQ:AQ)-COLUMN($AN:$AN)+1,FALSE),"")</f>
        <v>5 GAL</v>
      </c>
      <c r="AC509" s="1" t="str" cm="1">
        <f t="array" ref="AC509">IFERROR(VLOOKUP($X509,$AN:AS,COLUMN(AS:AS)-COLUMN($AN:$AN)+1,FALSE),"")</f>
        <v>SILVER GRAY</v>
      </c>
      <c r="AD509" s="1" t="s">
        <v>19</v>
      </c>
      <c r="AF509" s="1">
        <f>Table1[[#This Row],[C:C]]*1.1</f>
        <v>0</v>
      </c>
      <c r="AI509" s="1">
        <f>IFERROR(VLOOKUP(X509,#REF!,8,FALSE),0)</f>
        <v>0</v>
      </c>
      <c r="AN509" s="1" t="str">
        <f>PROD_ID_TABLE[[#This Row],[PROD ID]]</f>
        <v>CO FLAKE  LINE40</v>
      </c>
      <c r="AO509" s="1" t="str">
        <f t="shared" si="115"/>
        <v>1-16IN DECO FLAKE  - 40LB BAGLIMESTONE40LB BAG</v>
      </c>
      <c r="AP509" s="3">
        <f t="shared" si="102"/>
        <v>143</v>
      </c>
      <c r="AQ509" s="1" t="str">
        <f t="shared" si="116"/>
        <v>40LB BAG</v>
      </c>
      <c r="AR509" s="1" t="str">
        <f t="shared" si="103"/>
        <v>1-16IN DECO FLAKE  - 40LB BAGLIMESTONE40LB BAG</v>
      </c>
      <c r="AS509" s="1" t="str">
        <f t="shared" si="117"/>
        <v>LIMESTONE</v>
      </c>
      <c r="AY509" s="63" t="str">
        <f t="shared" si="121"/>
        <v>CO FLAKE  LINE40</v>
      </c>
      <c r="AZ509" s="63" t="str">
        <f t="shared" si="118"/>
        <v xml:space="preserve">CO FLAKE  </v>
      </c>
      <c r="BA509" s="63" t="str">
        <f t="shared" si="119"/>
        <v>LINE</v>
      </c>
      <c r="BB509" s="63" t="str">
        <f t="shared" si="120"/>
        <v>40</v>
      </c>
      <c r="BC509" s="135">
        <f t="shared" si="113"/>
        <v>143</v>
      </c>
      <c r="BD509" s="1" t="s">
        <v>723</v>
      </c>
      <c r="BE509" s="1" t="s">
        <v>808</v>
      </c>
      <c r="BF509" s="1" t="s">
        <v>414</v>
      </c>
      <c r="BG509" s="1" t="s">
        <v>390</v>
      </c>
    </row>
    <row r="510" spans="22:61" x14ac:dyDescent="0.35">
      <c r="V510" s="1" t="str">
        <v>EXT SMALL BLCK0.2</v>
      </c>
      <c r="X510" s="1" t="str">
        <f t="shared" si="106"/>
        <v>AQUA 4410 STAY5 G</v>
      </c>
      <c r="Y510" s="1" t="str" cm="1">
        <f t="array" ref="Y510">IFERROR(VLOOKUP($X510,$AN:AO,COLUMN(AO:AO)-COLUMN($AN:$AN)+1,FALSE),"")</f>
        <v>RESUTILE AQUA 4410 WB ALIPHATIC URETHANE - COLORSTEEL GRAY5 GAL</v>
      </c>
      <c r="Z510" s="63" cm="1">
        <f t="array" ref="Z510">IFERROR(VLOOKUP($X510,$AN:AP,COLUMN(AP:AP)-COLUMN($AN:$AN)+1,FALSE),"")</f>
        <v>497.28</v>
      </c>
      <c r="AA510" s="1" t="str" cm="1">
        <f t="array" ref="AA510">IFERROR(VLOOKUP($X510,$AN:AQ,COLUMN(AQ:AQ)-COLUMN($AN:$AN)+1,FALSE),"")</f>
        <v>5 GAL</v>
      </c>
      <c r="AC510" s="1" t="str" cm="1">
        <f t="array" ref="AC510">IFERROR(VLOOKUP($X510,$AN:AS,COLUMN(AS:AS)-COLUMN($AN:$AN)+1,FALSE),"")</f>
        <v>STEEL GRAY</v>
      </c>
      <c r="AD510" s="1" t="s">
        <v>19</v>
      </c>
      <c r="AF510" s="1">
        <f>Table1[[#This Row],[C:C]]*1.1</f>
        <v>0</v>
      </c>
      <c r="AI510" s="1">
        <f>IFERROR(VLOOKUP(X510,#REF!,8,FALSE),0)</f>
        <v>0</v>
      </c>
      <c r="AN510" s="1" t="str">
        <f>PROD_ID_TABLE[[#This Row],[PROD ID]]</f>
        <v>CO FLAKE  MAEL40</v>
      </c>
      <c r="AO510" s="1" t="str">
        <f t="shared" si="115"/>
        <v>1-16IN DECO FLAKE  - 40LB BAGMACKEREL40LB BAG</v>
      </c>
      <c r="AP510" s="3">
        <f t="shared" si="102"/>
        <v>143</v>
      </c>
      <c r="AQ510" s="1" t="str">
        <f t="shared" si="116"/>
        <v>40LB BAG</v>
      </c>
      <c r="AR510" s="1" t="str">
        <f t="shared" si="103"/>
        <v>1-16IN DECO FLAKE  - 40LB BAGMACKEREL40LB BAG</v>
      </c>
      <c r="AS510" s="1" t="str">
        <f t="shared" si="117"/>
        <v>MACKEREL</v>
      </c>
      <c r="AY510" s="63" t="str">
        <f t="shared" si="121"/>
        <v>CO FLAKE  MAEL40</v>
      </c>
      <c r="AZ510" s="63" t="str">
        <f t="shared" si="118"/>
        <v xml:space="preserve">CO FLAKE  </v>
      </c>
      <c r="BA510" s="63" t="str">
        <f t="shared" si="119"/>
        <v>MAEL</v>
      </c>
      <c r="BB510" s="63" t="str">
        <f t="shared" si="120"/>
        <v>40</v>
      </c>
      <c r="BC510" s="135">
        <f t="shared" si="113"/>
        <v>143</v>
      </c>
      <c r="BD510" s="1" t="s">
        <v>723</v>
      </c>
      <c r="BE510" s="1" t="s">
        <v>816</v>
      </c>
      <c r="BF510" s="1" t="s">
        <v>414</v>
      </c>
      <c r="BG510" s="1" t="s">
        <v>390</v>
      </c>
    </row>
    <row r="511" spans="22:61" x14ac:dyDescent="0.35">
      <c r="V511" s="1" t="str">
        <v>EXT SMALL PANT0.2</v>
      </c>
      <c r="X511" s="1" t="str">
        <f t="shared" si="106"/>
        <v>AQUA 4410 ULSE5 G</v>
      </c>
      <c r="Y511" s="1" t="str" cm="1">
        <f t="array" ref="Y511">IFERROR(VLOOKUP($X511,$AN:AO,COLUMN(AO:AO)-COLUMN($AN:$AN)+1,FALSE),"")</f>
        <v>RESUTILE AQUA 4410 WB ALIPHATIC URETHANE - COLORULTRA DEEP BASE5 GAL</v>
      </c>
      <c r="Z511" s="63" cm="1">
        <f t="array" ref="Z511">IFERROR(VLOOKUP($X511,$AN:AP,COLUMN(AP:AP)-COLUMN($AN:$AN)+1,FALSE),"")</f>
        <v>497.28</v>
      </c>
      <c r="AA511" s="1" t="str" cm="1">
        <f t="array" ref="AA511">IFERROR(VLOOKUP($X511,$AN:AQ,COLUMN(AQ:AQ)-COLUMN($AN:$AN)+1,FALSE),"")</f>
        <v>5 GAL</v>
      </c>
      <c r="AC511" s="1" t="str" cm="1">
        <f t="array" ref="AC511">IFERROR(VLOOKUP($X511,$AN:AS,COLUMN(AS:AS)-COLUMN($AN:$AN)+1,FALSE),"")</f>
        <v>ULTRA DEEP BASE</v>
      </c>
      <c r="AD511" s="1" t="s">
        <v>19</v>
      </c>
      <c r="AF511" s="1">
        <f>Table1[[#This Row],[C:C]]*1.1</f>
        <v>0</v>
      </c>
      <c r="AI511" s="1">
        <f>IFERROR(VLOOKUP(X511,#REF!,8,FALSE),0)</f>
        <v>0</v>
      </c>
      <c r="AN511" s="1" t="str">
        <f>PROD_ID_TABLE[[#This Row],[PROD ID]]</f>
        <v>CO FLAKE  METE40</v>
      </c>
      <c r="AO511" s="1" t="str">
        <f t="shared" si="115"/>
        <v>1-16IN DECO FLAKE  - 40LB BAGMETEORITE40LB BAG</v>
      </c>
      <c r="AP511" s="3">
        <f t="shared" si="102"/>
        <v>143</v>
      </c>
      <c r="AQ511" s="1" t="str">
        <f t="shared" si="116"/>
        <v>40LB BAG</v>
      </c>
      <c r="AR511" s="1" t="str">
        <f t="shared" si="103"/>
        <v>1-16IN DECO FLAKE  - 40LB BAGMETEORITE40LB BAG</v>
      </c>
      <c r="AS511" s="1" t="str">
        <f t="shared" si="117"/>
        <v>METEORITE</v>
      </c>
      <c r="AY511" s="63" t="str">
        <f t="shared" si="121"/>
        <v>CO FLAKE  METE40</v>
      </c>
      <c r="AZ511" s="63" t="str">
        <f t="shared" si="118"/>
        <v xml:space="preserve">CO FLAKE  </v>
      </c>
      <c r="BA511" s="63" t="str">
        <f t="shared" si="119"/>
        <v>METE</v>
      </c>
      <c r="BB511" s="63" t="str">
        <f t="shared" si="120"/>
        <v>40</v>
      </c>
      <c r="BC511" s="135">
        <f t="shared" si="113"/>
        <v>143</v>
      </c>
      <c r="BD511" s="1" t="s">
        <v>723</v>
      </c>
      <c r="BE511" s="1" t="s">
        <v>825</v>
      </c>
      <c r="BF511" s="1" t="s">
        <v>414</v>
      </c>
      <c r="BG511" s="1" t="s">
        <v>390</v>
      </c>
    </row>
    <row r="512" spans="22:61" x14ac:dyDescent="0.35">
      <c r="V512" s="1" t="str">
        <v>EXT SMALL SAED0.2</v>
      </c>
      <c r="X512" s="1" t="str">
        <f t="shared" si="106"/>
        <v>AQUA 4410 WHSE5 G</v>
      </c>
      <c r="Y512" s="1" t="str" cm="1">
        <f t="array" ref="Y512">IFERROR(VLOOKUP($X512,$AN:AO,COLUMN(AO:AO)-COLUMN($AN:$AN)+1,FALSE),"")</f>
        <v>RESUTILE AQUA 4410 WB ALIPHATIC URETHANE - COLORWHITE TINT BASE5 GAL</v>
      </c>
      <c r="Z512" s="63" cm="1">
        <f t="array" ref="Z512">IFERROR(VLOOKUP($X512,$AN:AP,COLUMN(AP:AP)-COLUMN($AN:$AN)+1,FALSE),"")</f>
        <v>497.28</v>
      </c>
      <c r="AA512" s="1" t="str" cm="1">
        <f t="array" ref="AA512">IFERROR(VLOOKUP($X512,$AN:AQ,COLUMN(AQ:AQ)-COLUMN($AN:$AN)+1,FALSE),"")</f>
        <v>5 GAL</v>
      </c>
      <c r="AC512" s="1" t="str" cm="1">
        <f t="array" ref="AC512">IFERROR(VLOOKUP($X512,$AN:AS,COLUMN(AS:AS)-COLUMN($AN:$AN)+1,FALSE),"")</f>
        <v>WHITE TINT BASE</v>
      </c>
      <c r="AD512" s="1" t="s">
        <v>19</v>
      </c>
      <c r="AF512" s="1">
        <f>Table1[[#This Row],[C:C]]*1.1</f>
        <v>0</v>
      </c>
      <c r="AI512" s="1">
        <f>IFERROR(VLOOKUP(X512,#REF!,8,FALSE),0)</f>
        <v>0</v>
      </c>
      <c r="AN512" s="1" t="str">
        <f>PROD_ID_TABLE[[#This Row],[PROD ID]]</f>
        <v>CO FLAKE  MOON40</v>
      </c>
      <c r="AO512" s="1" t="str">
        <f t="shared" si="115"/>
        <v>1-16IN DECO FLAKE  - 40LB BAGMOON40LB BAG</v>
      </c>
      <c r="AP512" s="3">
        <f t="shared" si="102"/>
        <v>143</v>
      </c>
      <c r="AQ512" s="1" t="str">
        <f t="shared" si="116"/>
        <v>40LB BAG</v>
      </c>
      <c r="AR512" s="1" t="str">
        <f t="shared" si="103"/>
        <v>1-16IN DECO FLAKE  - 40LB BAGMOON40LB BAG</v>
      </c>
      <c r="AS512" s="1" t="str">
        <f t="shared" si="117"/>
        <v>MOON</v>
      </c>
      <c r="AY512" s="63" t="str">
        <f t="shared" si="121"/>
        <v>CO FLAKE  MOON40</v>
      </c>
      <c r="AZ512" s="63" t="str">
        <f t="shared" si="118"/>
        <v xml:space="preserve">CO FLAKE  </v>
      </c>
      <c r="BA512" s="63" t="str">
        <f t="shared" si="119"/>
        <v>MOON</v>
      </c>
      <c r="BB512" s="63" t="str">
        <f t="shared" si="120"/>
        <v>40</v>
      </c>
      <c r="BC512" s="135">
        <f t="shared" si="113"/>
        <v>143</v>
      </c>
      <c r="BD512" s="1" t="s">
        <v>723</v>
      </c>
      <c r="BE512" s="1" t="s">
        <v>807</v>
      </c>
      <c r="BF512" s="1" t="s">
        <v>414</v>
      </c>
      <c r="BG512" s="1" t="s">
        <v>390</v>
      </c>
    </row>
    <row r="513" spans="22:59" x14ac:dyDescent="0.35">
      <c r="V513" s="1" t="str">
        <v>EXT SMALL SAOW0.2</v>
      </c>
      <c r="X513" s="1" t="str">
        <f t="shared" si="106"/>
        <v>EXT SMALL CLAR0.2</v>
      </c>
      <c r="Y513" s="1" t="str" cm="1">
        <f t="array" ref="Y513">IFERROR(VLOOKUP($X513,$AN:AO,COLUMN(AO:AO)-COLUMN($AN:$AN)+1,FALSE),"")</f>
        <v>ACCELERA EXT SMALL 1R:1HCLEAR0.25 GAL</v>
      </c>
      <c r="Z513" s="63" cm="1">
        <f t="array" ref="Z513">IFERROR(VLOOKUP($X513,$AN:AP,COLUMN(AP:AP)-COLUMN($AN:$AN)+1,FALSE),"")</f>
        <v>53.55</v>
      </c>
      <c r="AA513" s="1" t="str" cm="1">
        <f t="array" ref="AA513">IFERROR(VLOOKUP($X513,$AN:AQ,COLUMN(AQ:AQ)-COLUMN($AN:$AN)+1,FALSE),"")</f>
        <v>0.25 GAL</v>
      </c>
      <c r="AC513" s="1" t="str" cm="1">
        <f t="array" ref="AC513">IFERROR(VLOOKUP($X513,$AN:AS,COLUMN(AS:AS)-COLUMN($AN:$AN)+1,FALSE),"")</f>
        <v>CLEAR</v>
      </c>
      <c r="AD513" s="1" t="s">
        <v>19</v>
      </c>
      <c r="AF513" s="1">
        <f>Table1[[#This Row],[C:C]]*1.1</f>
        <v>0</v>
      </c>
      <c r="AI513" s="1">
        <f>IFERROR(VLOOKUP(X513,#REF!,8,FALSE),0)</f>
        <v>0</v>
      </c>
      <c r="AN513" s="1" t="str">
        <f>PROD_ID_TABLE[[#This Row],[PROD ID]]</f>
        <v>CO FLAKE  MOSE40</v>
      </c>
      <c r="AO513" s="1" t="str">
        <f t="shared" si="115"/>
        <v>1-16IN DECO FLAKE  - 40LB BAGMOOSE40LB BAG</v>
      </c>
      <c r="AP513" s="3">
        <f t="shared" si="102"/>
        <v>143</v>
      </c>
      <c r="AQ513" s="1" t="str">
        <f t="shared" si="116"/>
        <v>40LB BAG</v>
      </c>
      <c r="AR513" s="1" t="str">
        <f t="shared" si="103"/>
        <v>1-16IN DECO FLAKE  - 40LB BAGMOOSE40LB BAG</v>
      </c>
      <c r="AS513" s="1" t="str">
        <f t="shared" si="117"/>
        <v>MOOSE</v>
      </c>
      <c r="AY513" s="63" t="str">
        <f t="shared" si="121"/>
        <v>CO FLAKE  MOSE40</v>
      </c>
      <c r="AZ513" s="63" t="str">
        <f t="shared" si="118"/>
        <v xml:space="preserve">CO FLAKE  </v>
      </c>
      <c r="BA513" s="63" t="str">
        <f t="shared" si="119"/>
        <v>MOSE</v>
      </c>
      <c r="BB513" s="63" t="str">
        <f t="shared" si="120"/>
        <v>40</v>
      </c>
      <c r="BC513" s="135">
        <f t="shared" si="113"/>
        <v>143</v>
      </c>
      <c r="BD513" s="1" t="s">
        <v>723</v>
      </c>
      <c r="BE513" s="1" t="s">
        <v>804</v>
      </c>
      <c r="BF513" s="1" t="s">
        <v>414</v>
      </c>
      <c r="BG513" s="1" t="s">
        <v>390</v>
      </c>
    </row>
    <row r="514" spans="22:59" x14ac:dyDescent="0.35">
      <c r="V514" s="1" t="str">
        <v>EXT SMALL ROUE0.2</v>
      </c>
      <c r="X514" s="1" t="str">
        <f t="shared" si="106"/>
        <v>EXT SMALL CUOM0.2</v>
      </c>
      <c r="Y514" s="1" t="str" cm="1">
        <f t="array" ref="Y514">IFERROR(VLOOKUP($X514,$AN:AO,COLUMN(AO:AO)-COLUMN($AN:$AN)+1,FALSE),"")</f>
        <v>ACCELERA EXT SMALL 1R:1HCUSTOM0.25 GAL</v>
      </c>
      <c r="Z514" s="63" cm="1">
        <f t="array" ref="Z514">IFERROR(VLOOKUP($X514,$AN:AP,COLUMN(AP:AP)-COLUMN($AN:$AN)+1,FALSE),"")</f>
        <v>53.55</v>
      </c>
      <c r="AA514" s="1" t="str" cm="1">
        <f t="array" ref="AA514">IFERROR(VLOOKUP($X514,$AN:AQ,COLUMN(AQ:AQ)-COLUMN($AN:$AN)+1,FALSE),"")</f>
        <v>0.25 GAL</v>
      </c>
      <c r="AC514" s="1" t="str" cm="1">
        <f t="array" ref="AC514">IFERROR(VLOOKUP($X514,$AN:AS,COLUMN(AS:AS)-COLUMN($AN:$AN)+1,FALSE),"")</f>
        <v>CUSTOM</v>
      </c>
      <c r="AD514" s="1" t="s">
        <v>19</v>
      </c>
      <c r="AF514" s="1">
        <f>Table1[[#This Row],[C:C]]*1.1</f>
        <v>0</v>
      </c>
      <c r="AI514" s="1">
        <f>IFERROR(VLOOKUP(X514,#REF!,8,FALSE),0)</f>
        <v>0</v>
      </c>
      <c r="AN514" s="1" t="str">
        <f>PROD_ID_TABLE[[#This Row],[PROD ID]]</f>
        <v>CO FLAKE  MOOG40</v>
      </c>
      <c r="AO514" s="1" t="str">
        <f t="shared" si="115"/>
        <v>1-16IN DECO FLAKE  - 40LB BAGMOUNTAIN FOG40LB BAG</v>
      </c>
      <c r="AP514" s="3">
        <f t="shared" si="102"/>
        <v>143</v>
      </c>
      <c r="AQ514" s="1" t="str">
        <f t="shared" si="116"/>
        <v>40LB BAG</v>
      </c>
      <c r="AR514" s="1" t="str">
        <f t="shared" si="103"/>
        <v>1-16IN DECO FLAKE  - 40LB BAGMOUNTAIN FOG40LB BAG</v>
      </c>
      <c r="AS514" s="1" t="str">
        <f t="shared" si="117"/>
        <v>MOUNTAIN FOG</v>
      </c>
      <c r="AY514" s="63" t="str">
        <f t="shared" si="121"/>
        <v>CO FLAKE  MOOG40</v>
      </c>
      <c r="AZ514" s="63" t="str">
        <f t="shared" si="118"/>
        <v xml:space="preserve">CO FLAKE  </v>
      </c>
      <c r="BA514" s="63" t="str">
        <f t="shared" si="119"/>
        <v>MOOG</v>
      </c>
      <c r="BB514" s="63" t="str">
        <f t="shared" si="120"/>
        <v>40</v>
      </c>
      <c r="BC514" s="135">
        <f t="shared" si="113"/>
        <v>143</v>
      </c>
      <c r="BD514" s="1" t="s">
        <v>723</v>
      </c>
      <c r="BE514" s="1" t="s">
        <v>810</v>
      </c>
      <c r="BF514" s="1" t="s">
        <v>414</v>
      </c>
      <c r="BG514" s="1" t="s">
        <v>390</v>
      </c>
    </row>
    <row r="515" spans="22:59" x14ac:dyDescent="0.35">
      <c r="V515" s="1" t="str">
        <v>EXT SMALL PEER0.2</v>
      </c>
      <c r="X515" s="1" t="str">
        <f t="shared" si="106"/>
        <v>EXT SMALL MEAY0.2</v>
      </c>
      <c r="Y515" s="1" t="str" cm="1">
        <f t="array" ref="Y515">IFERROR(VLOOKUP($X515,$AN:AO,COLUMN(AO:AO)-COLUMN($AN:$AN)+1,FALSE),"")</f>
        <v>ACCELERA EXT SMALL 1R:1HMEDIUM GRAY0.25 GAL</v>
      </c>
      <c r="Z515" s="63" cm="1">
        <f t="array" ref="Z515">IFERROR(VLOOKUP($X515,$AN:AP,COLUMN(AP:AP)-COLUMN($AN:$AN)+1,FALSE),"")</f>
        <v>53.55</v>
      </c>
      <c r="AA515" s="1" t="str" cm="1">
        <f t="array" ref="AA515">IFERROR(VLOOKUP($X515,$AN:AQ,COLUMN(AQ:AQ)-COLUMN($AN:$AN)+1,FALSE),"")</f>
        <v>0.25 GAL</v>
      </c>
      <c r="AC515" s="1" t="str" cm="1">
        <f t="array" ref="AC515">IFERROR(VLOOKUP($X515,$AN:AS,COLUMN(AS:AS)-COLUMN($AN:$AN)+1,FALSE),"")</f>
        <v>MEDIUM GRAY</v>
      </c>
      <c r="AD515" s="1" t="s">
        <v>19</v>
      </c>
      <c r="AF515" s="1">
        <f>Table1[[#This Row],[C:C]]*1.1</f>
        <v>0</v>
      </c>
      <c r="AI515" s="1">
        <f>IFERROR(VLOOKUP(X515,#REF!,8,FALSE),0)</f>
        <v>0</v>
      </c>
      <c r="AN515" s="1" t="str">
        <f>PROD_ID_TABLE[[#This Row],[PROD ID]]</f>
        <v>CO FLAKE  OCOT40</v>
      </c>
      <c r="AO515" s="1" t="str">
        <f t="shared" si="115"/>
        <v>1-16IN DECO FLAKE  - 40LB BAGOCELOT40LB BAG</v>
      </c>
      <c r="AP515" s="3">
        <f t="shared" ref="AP515:AP553" si="122">BC515</f>
        <v>143</v>
      </c>
      <c r="AQ515" s="1" t="str">
        <f t="shared" si="116"/>
        <v>40LB BAG</v>
      </c>
      <c r="AR515" s="1" t="str">
        <f t="shared" ref="AR515:AR572" si="123">_xlfn.CONCAT(BD515:BF515)</f>
        <v>1-16IN DECO FLAKE  - 40LB BAGOCELOT40LB BAG</v>
      </c>
      <c r="AS515" s="1" t="str">
        <f t="shared" si="117"/>
        <v>OCELOT</v>
      </c>
      <c r="AY515" s="63" t="str">
        <f t="shared" si="121"/>
        <v>CO FLAKE  OCOT40</v>
      </c>
      <c r="AZ515" s="63" t="str">
        <f t="shared" si="118"/>
        <v xml:space="preserve">CO FLAKE  </v>
      </c>
      <c r="BA515" s="63" t="str">
        <f t="shared" si="119"/>
        <v>OCOT</v>
      </c>
      <c r="BB515" s="63" t="str">
        <f t="shared" si="120"/>
        <v>40</v>
      </c>
      <c r="BC515" s="135">
        <f t="shared" si="113"/>
        <v>143</v>
      </c>
      <c r="BD515" s="1" t="s">
        <v>723</v>
      </c>
      <c r="BE515" s="1" t="s">
        <v>801</v>
      </c>
      <c r="BF515" s="1" t="s">
        <v>414</v>
      </c>
      <c r="BG515" s="1" t="s">
        <v>390</v>
      </c>
    </row>
    <row r="516" spans="22:59" x14ac:dyDescent="0.35">
      <c r="V516" s="1" t="str">
        <v>EXT SMALL CLLE0.2</v>
      </c>
      <c r="X516" s="1" t="str">
        <f t="shared" si="106"/>
        <v>EXT SMALL CAAY0.2</v>
      </c>
      <c r="Y516" s="1" t="str" cm="1">
        <f t="array" ref="Y516">IFERROR(VLOOKUP($X516,$AN:AO,COLUMN(AO:AO)-COLUMN($AN:$AN)+1,FALSE),"")</f>
        <v>ACCELERA EXT SMALL 1R:1HCANADA GRAY0.25 GAL</v>
      </c>
      <c r="Z516" s="63" cm="1">
        <f t="array" ref="Z516">IFERROR(VLOOKUP($X516,$AN:AP,COLUMN(AP:AP)-COLUMN($AN:$AN)+1,FALSE),"")</f>
        <v>53.55</v>
      </c>
      <c r="AA516" s="1" t="str" cm="1">
        <f t="array" ref="AA516">IFERROR(VLOOKUP($X516,$AN:AQ,COLUMN(AQ:AQ)-COLUMN($AN:$AN)+1,FALSE),"")</f>
        <v>0.25 GAL</v>
      </c>
      <c r="AC516" s="1" t="str" cm="1">
        <f t="array" ref="AC516">IFERROR(VLOOKUP($X516,$AN:AS,COLUMN(AS:AS)-COLUMN($AN:$AN)+1,FALSE),"")</f>
        <v>CANADA GRAY</v>
      </c>
      <c r="AD516" s="1" t="s">
        <v>19</v>
      </c>
      <c r="AF516" s="1">
        <f>Table1[[#This Row],[C:C]]*1.1</f>
        <v>0</v>
      </c>
      <c r="AI516" s="1">
        <f>IFERROR(VLOOKUP(X516,#REF!,8,FALSE),0)</f>
        <v>0</v>
      </c>
      <c r="AN516" s="1" t="str">
        <f>PROD_ID_TABLE[[#This Row],[PROD ID]]</f>
        <v>CO FLAKE  PLER40</v>
      </c>
      <c r="AO516" s="1" t="str">
        <f t="shared" si="115"/>
        <v>1-16IN DECO FLAKE  - 40LB BAGPLOVER40LB BAG</v>
      </c>
      <c r="AP516" s="3">
        <f t="shared" si="122"/>
        <v>143</v>
      </c>
      <c r="AQ516" s="1" t="str">
        <f t="shared" si="116"/>
        <v>40LB BAG</v>
      </c>
      <c r="AR516" s="1" t="str">
        <f t="shared" si="123"/>
        <v>1-16IN DECO FLAKE  - 40LB BAGPLOVER40LB BAG</v>
      </c>
      <c r="AS516" s="1" t="str">
        <f t="shared" si="117"/>
        <v>PLOVER</v>
      </c>
      <c r="AY516" s="63" t="str">
        <f t="shared" si="121"/>
        <v>CO FLAKE  PLER40</v>
      </c>
      <c r="AZ516" s="63" t="str">
        <f t="shared" si="118"/>
        <v xml:space="preserve">CO FLAKE  </v>
      </c>
      <c r="BA516" s="63" t="str">
        <f t="shared" si="119"/>
        <v>PLER</v>
      </c>
      <c r="BB516" s="63" t="str">
        <f t="shared" si="120"/>
        <v>40</v>
      </c>
      <c r="BC516" s="135">
        <f t="shared" si="113"/>
        <v>143</v>
      </c>
      <c r="BD516" s="1" t="s">
        <v>723</v>
      </c>
      <c r="BE516" s="1" t="s">
        <v>800</v>
      </c>
      <c r="BF516" s="1" t="s">
        <v>414</v>
      </c>
      <c r="BG516" s="1" t="s">
        <v>390</v>
      </c>
    </row>
    <row r="517" spans="22:59" x14ac:dyDescent="0.35">
      <c r="V517" s="1" t="str">
        <v>EXT SMALL CAEL0.2</v>
      </c>
      <c r="X517" s="1" t="str">
        <f t="shared" si="106"/>
        <v>EXT SMALL CHAL0.2</v>
      </c>
      <c r="Y517" s="1" t="str" cm="1">
        <f t="array" ref="Y517">IFERROR(VLOOKUP($X517,$AN:AO,COLUMN(AO:AO)-COLUMN($AN:$AN)+1,FALSE),"")</f>
        <v>ACCELERA EXT SMALL 1R:1HCHARCOAL0.25 GAL</v>
      </c>
      <c r="Z517" s="63" cm="1">
        <f t="array" ref="Z517">IFERROR(VLOOKUP($X517,$AN:AP,COLUMN(AP:AP)-COLUMN($AN:$AN)+1,FALSE),"")</f>
        <v>53.55</v>
      </c>
      <c r="AA517" s="1" t="str" cm="1">
        <f t="array" ref="AA517">IFERROR(VLOOKUP($X517,$AN:AQ,COLUMN(AQ:AQ)-COLUMN($AN:$AN)+1,FALSE),"")</f>
        <v>0.25 GAL</v>
      </c>
      <c r="AC517" s="1" t="str" cm="1">
        <f t="array" ref="AC517">IFERROR(VLOOKUP($X517,$AN:AS,COLUMN(AS:AS)-COLUMN($AN:$AN)+1,FALSE),"")</f>
        <v>CHARCOAL</v>
      </c>
      <c r="AD517" s="1" t="s">
        <v>19</v>
      </c>
      <c r="AF517" s="1">
        <f>Table1[[#This Row],[C:C]]*1.1</f>
        <v>0</v>
      </c>
      <c r="AI517" s="1">
        <f>IFERROR(VLOOKUP(X517,#REF!,8,FALSE),0)</f>
        <v>0</v>
      </c>
      <c r="AN517" s="1" t="str">
        <f>PROD_ID_TABLE[[#This Row],[PROD ID]]</f>
        <v>CO FLAKE  PREL40</v>
      </c>
      <c r="AO517" s="1" t="str">
        <f t="shared" si="115"/>
        <v>1-16IN DECO FLAKE  - 40LB BAGPRETZEL40LB BAG</v>
      </c>
      <c r="AP517" s="3">
        <f t="shared" si="122"/>
        <v>143</v>
      </c>
      <c r="AQ517" s="1" t="str">
        <f t="shared" si="116"/>
        <v>40LB BAG</v>
      </c>
      <c r="AR517" s="1" t="str">
        <f t="shared" si="123"/>
        <v>1-16IN DECO FLAKE  - 40LB BAGPRETZEL40LB BAG</v>
      </c>
      <c r="AS517" s="1" t="str">
        <f t="shared" si="117"/>
        <v>PRETZEL</v>
      </c>
      <c r="AY517" s="63" t="str">
        <f t="shared" si="121"/>
        <v>CO FLAKE  PREL40</v>
      </c>
      <c r="AZ517" s="63" t="str">
        <f t="shared" si="118"/>
        <v xml:space="preserve">CO FLAKE  </v>
      </c>
      <c r="BA517" s="63" t="str">
        <f t="shared" si="119"/>
        <v>PREL</v>
      </c>
      <c r="BB517" s="63" t="str">
        <f t="shared" si="120"/>
        <v>40</v>
      </c>
      <c r="BC517" s="135">
        <f t="shared" si="113"/>
        <v>143</v>
      </c>
      <c r="BD517" s="1" t="s">
        <v>723</v>
      </c>
      <c r="BE517" s="1" t="s">
        <v>805</v>
      </c>
      <c r="BF517" s="1" t="s">
        <v>414</v>
      </c>
      <c r="BG517" s="1" t="s">
        <v>390</v>
      </c>
    </row>
    <row r="518" spans="22:59" x14ac:dyDescent="0.35">
      <c r="V518" s="1" t="str">
        <v>EXT SMALL ULSE0.2</v>
      </c>
      <c r="X518" s="1" t="str">
        <f t="shared" si="106"/>
        <v>EXT SMALL STAY0.2</v>
      </c>
      <c r="Y518" s="1" t="str" cm="1">
        <f t="array" ref="Y518">IFERROR(VLOOKUP($X518,$AN:AO,COLUMN(AO:AO)-COLUMN($AN:$AN)+1,FALSE),"")</f>
        <v>ACCELERA EXT SMALL 1R:1HSTEEL GRAY0.25 GAL</v>
      </c>
      <c r="Z518" s="63" cm="1">
        <f t="array" ref="Z518">IFERROR(VLOOKUP($X518,$AN:AP,COLUMN(AP:AP)-COLUMN($AN:$AN)+1,FALSE),"")</f>
        <v>53.55</v>
      </c>
      <c r="AA518" s="1" t="str" cm="1">
        <f t="array" ref="AA518">IFERROR(VLOOKUP($X518,$AN:AQ,COLUMN(AQ:AQ)-COLUMN($AN:$AN)+1,FALSE),"")</f>
        <v>0.25 GAL</v>
      </c>
      <c r="AC518" s="1" t="str" cm="1">
        <f t="array" ref="AC518">IFERROR(VLOOKUP($X518,$AN:AS,COLUMN(AS:AS)-COLUMN($AN:$AN)+1,FALSE),"")</f>
        <v>STEEL GRAY</v>
      </c>
      <c r="AD518" s="1" t="s">
        <v>19</v>
      </c>
      <c r="AF518" s="1">
        <f>Table1[[#This Row],[C:C]]*1.1</f>
        <v>0</v>
      </c>
      <c r="AI518" s="1">
        <f>IFERROR(VLOOKUP(X518,#REF!,8,FALSE),0)</f>
        <v>0</v>
      </c>
      <c r="AN518" s="1" t="str">
        <f>PROD_ID_TABLE[[#This Row],[PROD ID]]</f>
        <v>CO FLAKE  RHNO40</v>
      </c>
      <c r="AO518" s="1" t="str">
        <f t="shared" si="115"/>
        <v>1-16IN DECO FLAKE  - 40LB BAGRHINO40LB BAG</v>
      </c>
      <c r="AP518" s="3">
        <f t="shared" si="122"/>
        <v>143</v>
      </c>
      <c r="AQ518" s="1" t="str">
        <f t="shared" si="116"/>
        <v>40LB BAG</v>
      </c>
      <c r="AR518" s="1" t="str">
        <f t="shared" si="123"/>
        <v>1-16IN DECO FLAKE  - 40LB BAGRHINO40LB BAG</v>
      </c>
      <c r="AS518" s="1" t="str">
        <f t="shared" si="117"/>
        <v>RHINO</v>
      </c>
      <c r="AY518" s="63" t="str">
        <f t="shared" si="121"/>
        <v>CO FLAKE  RHNO40</v>
      </c>
      <c r="AZ518" s="63" t="str">
        <f t="shared" si="118"/>
        <v xml:space="preserve">CO FLAKE  </v>
      </c>
      <c r="BA518" s="63" t="str">
        <f t="shared" si="119"/>
        <v>RHNO</v>
      </c>
      <c r="BB518" s="63" t="str">
        <f t="shared" si="120"/>
        <v>40</v>
      </c>
      <c r="BC518" s="135">
        <f t="shared" si="113"/>
        <v>143</v>
      </c>
      <c r="BD518" s="1" t="s">
        <v>723</v>
      </c>
      <c r="BE518" s="1" t="s">
        <v>830</v>
      </c>
      <c r="BF518" s="1" t="s">
        <v>414</v>
      </c>
      <c r="BG518" s="1" t="s">
        <v>390</v>
      </c>
    </row>
    <row r="519" spans="22:59" x14ac:dyDescent="0.35">
      <c r="V519" s="1" t="str">
        <v>EXT SMALL WHSE0.2</v>
      </c>
      <c r="X519" s="1" t="str">
        <f t="shared" si="106"/>
        <v>EXT SMALL BOTE0.2</v>
      </c>
      <c r="Y519" s="1" t="str" cm="1">
        <f t="array" ref="Y519">IFERROR(VLOOKUP($X519,$AN:AO,COLUMN(AO:AO)-COLUMN($AN:$AN)+1,FALSE),"")</f>
        <v>ACCELERA EXT SMALL 1R:1HBONE WHITE0.25 GAL</v>
      </c>
      <c r="Z519" s="63" cm="1">
        <f t="array" ref="Z519">IFERROR(VLOOKUP($X519,$AN:AP,COLUMN(AP:AP)-COLUMN($AN:$AN)+1,FALSE),"")</f>
        <v>53.55</v>
      </c>
      <c r="AA519" s="1" t="str" cm="1">
        <f t="array" ref="AA519">IFERROR(VLOOKUP($X519,$AN:AQ,COLUMN(AQ:AQ)-COLUMN($AN:$AN)+1,FALSE),"")</f>
        <v>0.25 GAL</v>
      </c>
      <c r="AC519" s="1" t="str" cm="1">
        <f t="array" ref="AC519">IFERROR(VLOOKUP($X519,$AN:AS,COLUMN(AS:AS)-COLUMN($AN:$AN)+1,FALSE),"")</f>
        <v>BONE WHITE</v>
      </c>
      <c r="AD519" s="1" t="s">
        <v>19</v>
      </c>
      <c r="AF519" s="1">
        <f>Table1[[#This Row],[C:C]]*1.1</f>
        <v>0</v>
      </c>
      <c r="AI519" s="1">
        <f>IFERROR(VLOOKUP(X519,#REF!,8,FALSE),0)</f>
        <v>0</v>
      </c>
      <c r="AN519" s="1" t="str">
        <f>PROD_ID_TABLE[[#This Row],[PROD ID]]</f>
        <v>CO FLAKE  SINE40</v>
      </c>
      <c r="AO519" s="1" t="str">
        <f t="shared" si="115"/>
        <v>1-16IN DECO FLAKE  - 40LB BAGSILTSTONE40LB BAG</v>
      </c>
      <c r="AP519" s="3">
        <f t="shared" si="122"/>
        <v>143</v>
      </c>
      <c r="AQ519" s="1" t="str">
        <f t="shared" si="116"/>
        <v>40LB BAG</v>
      </c>
      <c r="AR519" s="1" t="str">
        <f t="shared" si="123"/>
        <v>1-16IN DECO FLAKE  - 40LB BAGSILTSTONE40LB BAG</v>
      </c>
      <c r="AS519" s="1" t="str">
        <f t="shared" si="117"/>
        <v>SILTSTONE</v>
      </c>
      <c r="AY519" s="63" t="str">
        <f t="shared" si="121"/>
        <v>CO FLAKE  SINE40</v>
      </c>
      <c r="AZ519" s="63" t="str">
        <f t="shared" si="118"/>
        <v xml:space="preserve">CO FLAKE  </v>
      </c>
      <c r="BA519" s="63" t="str">
        <f t="shared" si="119"/>
        <v>SINE</v>
      </c>
      <c r="BB519" s="63" t="str">
        <f t="shared" si="120"/>
        <v>40</v>
      </c>
      <c r="BC519" s="135">
        <f t="shared" si="113"/>
        <v>143</v>
      </c>
      <c r="BD519" s="1" t="s">
        <v>723</v>
      </c>
      <c r="BE519" s="1" t="s">
        <v>828</v>
      </c>
      <c r="BF519" s="1" t="s">
        <v>414</v>
      </c>
      <c r="BG519" s="1" t="s">
        <v>390</v>
      </c>
    </row>
    <row r="520" spans="22:59" x14ac:dyDescent="0.35">
      <c r="V520" s="1" t="str">
        <v>EXT SMALL CLAR0.7</v>
      </c>
      <c r="X520" s="1" t="str">
        <f t="shared" si="106"/>
        <v>EXT SMALL SIAY0.2</v>
      </c>
      <c r="Y520" s="1" t="str" cm="1">
        <f t="array" ref="Y520">IFERROR(VLOOKUP($X520,$AN:AO,COLUMN(AO:AO)-COLUMN($AN:$AN)+1,FALSE),"")</f>
        <v>ACCELERA EXT SMALL 1R:1HSILVER GRAY0.25 GAL</v>
      </c>
      <c r="Z520" s="63" cm="1">
        <f t="array" ref="Z520">IFERROR(VLOOKUP($X520,$AN:AP,COLUMN(AP:AP)-COLUMN($AN:$AN)+1,FALSE),"")</f>
        <v>53.55</v>
      </c>
      <c r="AA520" s="1" t="str" cm="1">
        <f t="array" ref="AA520">IFERROR(VLOOKUP($X520,$AN:AQ,COLUMN(AQ:AQ)-COLUMN($AN:$AN)+1,FALSE),"")</f>
        <v>0.25 GAL</v>
      </c>
      <c r="AC520" s="1" t="str" cm="1">
        <f t="array" ref="AC520">IFERROR(VLOOKUP($X520,$AN:AS,COLUMN(AS:AS)-COLUMN($AN:$AN)+1,FALSE),"")</f>
        <v>SILVER GRAY</v>
      </c>
      <c r="AD520" s="1" t="s">
        <v>19</v>
      </c>
      <c r="AF520" s="1">
        <f>Table1[[#This Row],[C:C]]*1.1</f>
        <v>0</v>
      </c>
      <c r="AI520" s="1">
        <f>IFERROR(VLOOKUP(X520,#REF!,8,FALSE),0)</f>
        <v>0</v>
      </c>
      <c r="AN520" s="1" t="str">
        <f>PROD_ID_TABLE[[#This Row],[PROD ID]]</f>
        <v>CO FLAKE  SPSH40</v>
      </c>
      <c r="AO520" s="1" t="str">
        <f t="shared" si="115"/>
        <v>1-16IN DECO FLAKE  - 40LB BAGSPECKLED ASH40LB BAG</v>
      </c>
      <c r="AP520" s="3">
        <f t="shared" si="122"/>
        <v>143</v>
      </c>
      <c r="AQ520" s="1" t="str">
        <f t="shared" si="116"/>
        <v>40LB BAG</v>
      </c>
      <c r="AR520" s="1" t="str">
        <f t="shared" si="123"/>
        <v>1-16IN DECO FLAKE  - 40LB BAGSPECKLED ASH40LB BAG</v>
      </c>
      <c r="AS520" s="1" t="str">
        <f t="shared" si="117"/>
        <v>SPECKLED ASH</v>
      </c>
      <c r="AY520" s="63" t="str">
        <f t="shared" si="121"/>
        <v>CO FLAKE  SPSH40</v>
      </c>
      <c r="AZ520" s="63" t="str">
        <f t="shared" si="118"/>
        <v xml:space="preserve">CO FLAKE  </v>
      </c>
      <c r="BA520" s="63" t="str">
        <f t="shared" si="119"/>
        <v>SPSH</v>
      </c>
      <c r="BB520" s="63" t="str">
        <f t="shared" si="120"/>
        <v>40</v>
      </c>
      <c r="BC520" s="135">
        <f t="shared" si="113"/>
        <v>143</v>
      </c>
      <c r="BD520" s="1" t="s">
        <v>723</v>
      </c>
      <c r="BE520" s="1" t="s">
        <v>821</v>
      </c>
      <c r="BF520" s="1" t="s">
        <v>414</v>
      </c>
      <c r="BG520" s="1" t="s">
        <v>390</v>
      </c>
    </row>
    <row r="521" spans="22:59" x14ac:dyDescent="0.35">
      <c r="V521" s="1" t="str">
        <v>EXT SMALL CUOM0.7</v>
      </c>
      <c r="X521" s="1" t="str">
        <f t="shared" si="106"/>
        <v>EXT SMALL WHTE0.2</v>
      </c>
      <c r="Y521" s="1" t="str" cm="1">
        <f t="array" ref="Y521">IFERROR(VLOOKUP($X521,$AN:AO,COLUMN(AO:AO)-COLUMN($AN:$AN)+1,FALSE),"")</f>
        <v>ACCELERA EXT SMALL 1R:1HWHITE0.25 GAL</v>
      </c>
      <c r="Z521" s="63" cm="1">
        <f t="array" ref="Z521">IFERROR(VLOOKUP($X521,$AN:AP,COLUMN(AP:AP)-COLUMN($AN:$AN)+1,FALSE),"")</f>
        <v>53.55</v>
      </c>
      <c r="AA521" s="1" t="str" cm="1">
        <f t="array" ref="AA521">IFERROR(VLOOKUP($X521,$AN:AQ,COLUMN(AQ:AQ)-COLUMN($AN:$AN)+1,FALSE),"")</f>
        <v>0.25 GAL</v>
      </c>
      <c r="AC521" s="1" t="str" cm="1">
        <f t="array" ref="AC521">IFERROR(VLOOKUP($X521,$AN:AS,COLUMN(AS:AS)-COLUMN($AN:$AN)+1,FALSE),"")</f>
        <v>WHITE</v>
      </c>
      <c r="AD521" s="1" t="s">
        <v>19</v>
      </c>
      <c r="AF521" s="1">
        <f>Table1[[#This Row],[C:C]]*1.1</f>
        <v>0</v>
      </c>
      <c r="AI521" s="1">
        <f>IFERROR(VLOOKUP(X521,#REF!,8,FALSE),0)</f>
        <v>0</v>
      </c>
      <c r="AN521" s="1" t="str">
        <f>PROD_ID_TABLE[[#This Row],[PROD ID]]</f>
        <v>CO FLAKE  TUEN40</v>
      </c>
      <c r="AO521" s="1" t="str">
        <f t="shared" si="115"/>
        <v>1-16IN DECO FLAKE  - 40LB BAGTUNGSTEN40LB BAG</v>
      </c>
      <c r="AP521" s="3">
        <f t="shared" si="122"/>
        <v>143</v>
      </c>
      <c r="AQ521" s="1" t="str">
        <f t="shared" si="116"/>
        <v>40LB BAG</v>
      </c>
      <c r="AR521" s="1" t="str">
        <f t="shared" si="123"/>
        <v>1-16IN DECO FLAKE  - 40LB BAGTUNGSTEN40LB BAG</v>
      </c>
      <c r="AS521" s="1" t="str">
        <f t="shared" si="117"/>
        <v>TUNGSTEN</v>
      </c>
      <c r="AY521" s="63" t="str">
        <f t="shared" si="121"/>
        <v>CO FLAKE  TUEN40</v>
      </c>
      <c r="AZ521" s="63" t="str">
        <f t="shared" si="118"/>
        <v xml:space="preserve">CO FLAKE  </v>
      </c>
      <c r="BA521" s="63" t="str">
        <f t="shared" si="119"/>
        <v>TUEN</v>
      </c>
      <c r="BB521" s="63" t="str">
        <f t="shared" si="120"/>
        <v>40</v>
      </c>
      <c r="BC521" s="135">
        <f t="shared" si="113"/>
        <v>143</v>
      </c>
      <c r="BD521" s="1" t="s">
        <v>723</v>
      </c>
      <c r="BE521" s="1" t="s">
        <v>826</v>
      </c>
      <c r="BF521" s="1" t="s">
        <v>414</v>
      </c>
      <c r="BG521" s="1" t="s">
        <v>390</v>
      </c>
    </row>
    <row r="522" spans="22:59" x14ac:dyDescent="0.35">
      <c r="V522" s="1" t="str">
        <v>EXT SMALL MEAY0.7</v>
      </c>
      <c r="X522" s="1" t="str">
        <f t="shared" si="106"/>
        <v>EXT SMALL BLCK0.2</v>
      </c>
      <c r="Y522" s="1" t="str" cm="1">
        <f t="array" ref="Y522">IFERROR(VLOOKUP($X522,$AN:AO,COLUMN(AO:AO)-COLUMN($AN:$AN)+1,FALSE),"")</f>
        <v>ACCELERA EXT SMALL 1R:1HBLACK0.25 GAL</v>
      </c>
      <c r="Z522" s="63" cm="1">
        <f t="array" ref="Z522">IFERROR(VLOOKUP($X522,$AN:AP,COLUMN(AP:AP)-COLUMN($AN:$AN)+1,FALSE),"")</f>
        <v>53.55</v>
      </c>
      <c r="AA522" s="1" t="str" cm="1">
        <f t="array" ref="AA522">IFERROR(VLOOKUP($X522,$AN:AQ,COLUMN(AQ:AQ)-COLUMN($AN:$AN)+1,FALSE),"")</f>
        <v>0.25 GAL</v>
      </c>
      <c r="AC522" s="1" t="str" cm="1">
        <f t="array" ref="AC522">IFERROR(VLOOKUP($X522,$AN:AS,COLUMN(AS:AS)-COLUMN($AN:$AN)+1,FALSE),"")</f>
        <v>BLACK</v>
      </c>
      <c r="AD522" s="1" t="s">
        <v>19</v>
      </c>
      <c r="AF522" s="1">
        <f>Table1[[#This Row],[C:C]]*1.1</f>
        <v>0</v>
      </c>
      <c r="AI522" s="1">
        <f>IFERROR(VLOOKUP(X522,#REF!,8,FALSE),0)</f>
        <v>0</v>
      </c>
      <c r="AN522" s="1" t="str">
        <f>PROD_ID_TABLE[[#This Row],[PROD ID]]</f>
        <v>CO FLAKE  WACH40</v>
      </c>
      <c r="AO522" s="1" t="str">
        <f t="shared" si="115"/>
        <v>1-16IN DECO FLAKE  - 40LB BAGWARM BEACH40LB BAG</v>
      </c>
      <c r="AP522" s="3">
        <f t="shared" si="122"/>
        <v>143</v>
      </c>
      <c r="AQ522" s="1" t="str">
        <f t="shared" si="116"/>
        <v>40LB BAG</v>
      </c>
      <c r="AR522" s="1" t="str">
        <f t="shared" si="123"/>
        <v>1-16IN DECO FLAKE  - 40LB BAGWARM BEACH40LB BAG</v>
      </c>
      <c r="AS522" s="1" t="str">
        <f t="shared" si="117"/>
        <v>WARM BEACH</v>
      </c>
      <c r="AY522" s="63" t="str">
        <f t="shared" si="121"/>
        <v>CO FLAKE  WACH40</v>
      </c>
      <c r="AZ522" s="63" t="str">
        <f t="shared" si="118"/>
        <v xml:space="preserve">CO FLAKE  </v>
      </c>
      <c r="BA522" s="63" t="str">
        <f t="shared" si="119"/>
        <v>WACH</v>
      </c>
      <c r="BB522" s="63" t="str">
        <f t="shared" si="120"/>
        <v>40</v>
      </c>
      <c r="BC522" s="135">
        <f t="shared" si="113"/>
        <v>143</v>
      </c>
      <c r="BD522" s="1" t="s">
        <v>723</v>
      </c>
      <c r="BE522" s="1" t="s">
        <v>419</v>
      </c>
      <c r="BF522" s="1" t="s">
        <v>414</v>
      </c>
      <c r="BG522" s="1" t="s">
        <v>390</v>
      </c>
    </row>
    <row r="523" spans="22:59" x14ac:dyDescent="0.35">
      <c r="V523" s="1" t="str">
        <v>EXT SMALL CAAY0.7</v>
      </c>
      <c r="X523" s="1" t="str">
        <f t="shared" si="106"/>
        <v>EXT SMALL PANT0.2</v>
      </c>
      <c r="Y523" s="1" t="str" cm="1">
        <f t="array" ref="Y523">IFERROR(VLOOKUP($X523,$AN:AO,COLUMN(AO:AO)-COLUMN($AN:$AN)+1,FALSE),"")</f>
        <v>ACCELERA EXT SMALL 1R:1HPARCHMENT0.25 GAL</v>
      </c>
      <c r="Z523" s="63" cm="1">
        <f t="array" ref="Z523">IFERROR(VLOOKUP($X523,$AN:AP,COLUMN(AP:AP)-COLUMN($AN:$AN)+1,FALSE),"")</f>
        <v>53.55</v>
      </c>
      <c r="AA523" s="1" t="str" cm="1">
        <f t="array" ref="AA523">IFERROR(VLOOKUP($X523,$AN:AQ,COLUMN(AQ:AQ)-COLUMN($AN:$AN)+1,FALSE),"")</f>
        <v>0.25 GAL</v>
      </c>
      <c r="AC523" s="1" t="str" cm="1">
        <f t="array" ref="AC523">IFERROR(VLOOKUP($X523,$AN:AS,COLUMN(AS:AS)-COLUMN($AN:$AN)+1,FALSE),"")</f>
        <v>PARCHMENT</v>
      </c>
      <c r="AD523" s="1" t="s">
        <v>19</v>
      </c>
      <c r="AF523" s="1">
        <f>Table1[[#This Row],[C:C]]*1.1</f>
        <v>0</v>
      </c>
      <c r="AI523" s="1">
        <f>IFERROR(VLOOKUP(X523,#REF!,8,FALSE),0)</f>
        <v>0</v>
      </c>
      <c r="AN523" s="1" t="str">
        <f>PROD_ID_TABLE[[#This Row],[PROD ID]]</f>
        <v>TUBES / CACHAYTU</v>
      </c>
      <c r="AO523" s="1" t="str">
        <f t="shared" ref="AO523:AO542" si="124">_xlfn.CONCAT(BD523:BF523)</f>
        <v>RS88 (12 TUBES / CASE)CHATEAU GRAYTUBE</v>
      </c>
      <c r="AP523" s="3">
        <f t="shared" si="122"/>
        <v>38.5</v>
      </c>
      <c r="AQ523" s="1" t="str">
        <f t="shared" ref="AQ523:AQ542" si="125">BF523</f>
        <v>TUBE</v>
      </c>
      <c r="AR523" s="1" t="str">
        <f t="shared" si="123"/>
        <v>RS88 (12 TUBES / CASE)CHATEAU GRAYTUBE</v>
      </c>
      <c r="AS523" s="1" t="str">
        <f t="shared" ref="AS523:AS572" si="126">BE523</f>
        <v>CHATEAU GRAY</v>
      </c>
      <c r="AY523" s="63" t="str">
        <f t="shared" ref="AY523:AY528" si="127">_xlfn.CONCAT(AZ523:BB523)</f>
        <v>TUBES / CACHAYTU</v>
      </c>
      <c r="AZ523" s="63" t="str">
        <f t="shared" ref="AZ523:AZ528" si="128">MID(BD523,10,10)</f>
        <v>TUBES / CA</v>
      </c>
      <c r="BA523" s="63" t="str">
        <f t="shared" ref="BA523:BA528" si="129">LEFT(BE523,2)&amp;RIGHT(BE523,2)</f>
        <v>CHAY</v>
      </c>
      <c r="BB523" s="63" t="str">
        <f t="shared" ref="BB523:BB528" si="130">LEFT(BF523,2)</f>
        <v>TU</v>
      </c>
      <c r="BC523" s="135">
        <f t="shared" si="113"/>
        <v>38.5</v>
      </c>
      <c r="BD523" s="1" t="s">
        <v>720</v>
      </c>
      <c r="BE523" s="1" t="s">
        <v>523</v>
      </c>
      <c r="BF523" s="1" t="s">
        <v>503</v>
      </c>
    </row>
    <row r="524" spans="22:59" x14ac:dyDescent="0.35">
      <c r="V524" s="1" t="str">
        <v>EXT SMALL CHAL0.7</v>
      </c>
      <c r="X524" s="1" t="str">
        <f t="shared" si="106"/>
        <v>EXT SMALL SAED0.2</v>
      </c>
      <c r="Y524" s="1" t="str" cm="1">
        <f t="array" ref="Y524">IFERROR(VLOOKUP($X524,$AN:AO,COLUMN(AO:AO)-COLUMN($AN:$AN)+1,FALSE),"")</f>
        <v>ACCELERA EXT SMALL 1R:1HSAFETY RED0.25 GAL</v>
      </c>
      <c r="Z524" s="63" cm="1">
        <f t="array" ref="Z524">IFERROR(VLOOKUP($X524,$AN:AP,COLUMN(AP:AP)-COLUMN($AN:$AN)+1,FALSE),"")</f>
        <v>53.55</v>
      </c>
      <c r="AA524" s="1" t="str" cm="1">
        <f t="array" ref="AA524">IFERROR(VLOOKUP($X524,$AN:AQ,COLUMN(AQ:AQ)-COLUMN($AN:$AN)+1,FALSE),"")</f>
        <v>0.25 GAL</v>
      </c>
      <c r="AC524" s="1" t="str" cm="1">
        <f t="array" ref="AC524">IFERROR(VLOOKUP($X524,$AN:AS,COLUMN(AS:AS)-COLUMN($AN:$AN)+1,FALSE),"")</f>
        <v>SAFETY RED</v>
      </c>
      <c r="AD524" s="1" t="s">
        <v>19</v>
      </c>
      <c r="AF524" s="1">
        <f>Table1[[#This Row],[C:C]]*1.1</f>
        <v>0</v>
      </c>
      <c r="AI524" s="1">
        <f>IFERROR(VLOOKUP(X524,#REF!,8,FALSE),0)</f>
        <v>0</v>
      </c>
      <c r="AN524" s="1" t="str">
        <f>PROD_ID_TABLE[[#This Row],[PROD ID]]</f>
        <v>TUBES / CASTAYTU</v>
      </c>
      <c r="AO524" s="1" t="str">
        <f t="shared" si="124"/>
        <v>RS88 (12 TUBES / CASE)STANDARD GRAYTUBE</v>
      </c>
      <c r="AP524" s="3">
        <f t="shared" si="122"/>
        <v>38.5</v>
      </c>
      <c r="AQ524" s="1" t="str">
        <f t="shared" si="125"/>
        <v>TUBE</v>
      </c>
      <c r="AR524" s="1" t="str">
        <f t="shared" si="123"/>
        <v>RS88 (12 TUBES / CASE)STANDARD GRAYTUBE</v>
      </c>
      <c r="AS524" s="1" t="str">
        <f t="shared" si="126"/>
        <v>STANDARD GRAY</v>
      </c>
      <c r="AY524" s="63" t="str">
        <f t="shared" si="127"/>
        <v>TUBES / CASTAYTU</v>
      </c>
      <c r="AZ524" s="63" t="str">
        <f t="shared" si="128"/>
        <v>TUBES / CA</v>
      </c>
      <c r="BA524" s="63" t="str">
        <f t="shared" si="129"/>
        <v>STAY</v>
      </c>
      <c r="BB524" s="63" t="str">
        <f t="shared" si="130"/>
        <v>TU</v>
      </c>
      <c r="BC524" s="135">
        <f t="shared" si="113"/>
        <v>38.5</v>
      </c>
      <c r="BD524" s="1" t="s">
        <v>720</v>
      </c>
      <c r="BE524" s="1" t="s">
        <v>521</v>
      </c>
      <c r="BF524" s="1" t="s">
        <v>503</v>
      </c>
    </row>
    <row r="525" spans="22:59" x14ac:dyDescent="0.35">
      <c r="V525" s="1" t="str">
        <v>EXT SMALL STAY0.7</v>
      </c>
      <c r="X525" s="1" t="str">
        <f t="shared" ref="X525:X588" si="131">V513</f>
        <v>EXT SMALL SAOW0.2</v>
      </c>
      <c r="Y525" s="1" t="str" cm="1">
        <f t="array" ref="Y525">IFERROR(VLOOKUP($X525,$AN:AO,COLUMN(AO:AO)-COLUMN($AN:$AN)+1,FALSE),"")</f>
        <v>ACCELERA EXT SMALL 1R:1HSAFETY YELLOW0.25 GAL</v>
      </c>
      <c r="Z525" s="63" cm="1">
        <f t="array" ref="Z525">IFERROR(VLOOKUP($X525,$AN:AP,COLUMN(AP:AP)-COLUMN($AN:$AN)+1,FALSE),"")</f>
        <v>53.55</v>
      </c>
      <c r="AA525" s="1" t="str" cm="1">
        <f t="array" ref="AA525">IFERROR(VLOOKUP($X525,$AN:AQ,COLUMN(AQ:AQ)-COLUMN($AN:$AN)+1,FALSE),"")</f>
        <v>0.25 GAL</v>
      </c>
      <c r="AC525" s="1" t="str" cm="1">
        <f t="array" ref="AC525">IFERROR(VLOOKUP($X525,$AN:AS,COLUMN(AS:AS)-COLUMN($AN:$AN)+1,FALSE),"")</f>
        <v>SAFETY YELLOW</v>
      </c>
      <c r="AD525" s="1" t="s">
        <v>19</v>
      </c>
      <c r="AF525" s="1">
        <f>Table1[[#This Row],[C:C]]*1.1</f>
        <v>0</v>
      </c>
      <c r="AI525" s="1">
        <f>IFERROR(VLOOKUP(X525,#REF!,8,FALSE),0)</f>
        <v>0</v>
      </c>
      <c r="AN525" s="1" t="str">
        <f>PROD_ID_TABLE[[#This Row],[PROD ID]]</f>
        <v>TUBES / CAGREATU</v>
      </c>
      <c r="AO525" s="1" t="str">
        <f t="shared" si="124"/>
        <v>RS88 (12 TUBES / CASE)GRAY AREATUBE</v>
      </c>
      <c r="AP525" s="3">
        <f t="shared" si="122"/>
        <v>38.5</v>
      </c>
      <c r="AQ525" s="1" t="str">
        <f t="shared" si="125"/>
        <v>TUBE</v>
      </c>
      <c r="AR525" s="1" t="str">
        <f t="shared" si="123"/>
        <v>RS88 (12 TUBES / CASE)GRAY AREATUBE</v>
      </c>
      <c r="AS525" s="1" t="str">
        <f t="shared" si="126"/>
        <v>GRAY AREA</v>
      </c>
      <c r="AY525" s="63" t="str">
        <f t="shared" si="127"/>
        <v>TUBES / CAGREATU</v>
      </c>
      <c r="AZ525" s="63" t="str">
        <f t="shared" si="128"/>
        <v>TUBES / CA</v>
      </c>
      <c r="BA525" s="63" t="str">
        <f t="shared" si="129"/>
        <v>GREA</v>
      </c>
      <c r="BB525" s="63" t="str">
        <f t="shared" si="130"/>
        <v>TU</v>
      </c>
      <c r="BC525" s="135">
        <f t="shared" si="113"/>
        <v>38.5</v>
      </c>
      <c r="BD525" s="1" t="s">
        <v>720</v>
      </c>
      <c r="BE525" s="1" t="s">
        <v>522</v>
      </c>
      <c r="BF525" s="1" t="s">
        <v>503</v>
      </c>
    </row>
    <row r="526" spans="22:59" x14ac:dyDescent="0.35">
      <c r="V526" s="1" t="str">
        <v>EXT SMALL BOTE0.7</v>
      </c>
      <c r="X526" s="1" t="str">
        <f t="shared" si="131"/>
        <v>EXT SMALL ROUE0.2</v>
      </c>
      <c r="Y526" s="1" t="str" cm="1">
        <f t="array" ref="Y526">IFERROR(VLOOKUP($X526,$AN:AO,COLUMN(AO:AO)-COLUMN($AN:$AN)+1,FALSE),"")</f>
        <v>ACCELERA EXT SMALL 1R:1HROYAL BLUE0.25 GAL</v>
      </c>
      <c r="Z526" s="63" cm="1">
        <f t="array" ref="Z526">IFERROR(VLOOKUP($X526,$AN:AP,COLUMN(AP:AP)-COLUMN($AN:$AN)+1,FALSE),"")</f>
        <v>53.55</v>
      </c>
      <c r="AA526" s="1" t="str" cm="1">
        <f t="array" ref="AA526">IFERROR(VLOOKUP($X526,$AN:AQ,COLUMN(AQ:AQ)-COLUMN($AN:$AN)+1,FALSE),"")</f>
        <v>0.25 GAL</v>
      </c>
      <c r="AC526" s="1" t="str" cm="1">
        <f t="array" ref="AC526">IFERROR(VLOOKUP($X526,$AN:AS,COLUMN(AS:AS)-COLUMN($AN:$AN)+1,FALSE),"")</f>
        <v>ROYAL BLUE</v>
      </c>
      <c r="AD526" s="1" t="s">
        <v>19</v>
      </c>
      <c r="AF526" s="1">
        <f>Table1[[#This Row],[C:C]]*1.1</f>
        <v>0</v>
      </c>
      <c r="AI526" s="1">
        <f>IFERROR(VLOOKUP(X526,#REF!,8,FALSE),0)</f>
        <v>0</v>
      </c>
      <c r="AN526" s="1" t="str">
        <f>PROD_ID_TABLE[[#This Row],[PROD ID]]</f>
        <v>TUBES / CACHAYCA</v>
      </c>
      <c r="AO526" s="1" t="str">
        <f t="shared" si="124"/>
        <v>RS88 (12 TUBES / CASE)CHATEAU GRAYCASE</v>
      </c>
      <c r="AP526" s="3">
        <f t="shared" si="122"/>
        <v>462</v>
      </c>
      <c r="AQ526" s="1" t="str">
        <f t="shared" si="125"/>
        <v>CASE</v>
      </c>
      <c r="AR526" s="1" t="str">
        <f t="shared" si="123"/>
        <v>RS88 (12 TUBES / CASE)CHATEAU GRAYCASE</v>
      </c>
      <c r="AS526" s="1" t="str">
        <f t="shared" si="126"/>
        <v>CHATEAU GRAY</v>
      </c>
      <c r="AY526" s="63" t="str">
        <f t="shared" si="127"/>
        <v>TUBES / CACHAYCA</v>
      </c>
      <c r="AZ526" s="63" t="str">
        <f t="shared" si="128"/>
        <v>TUBES / CA</v>
      </c>
      <c r="BA526" s="63" t="str">
        <f t="shared" si="129"/>
        <v>CHAY</v>
      </c>
      <c r="BB526" s="63" t="str">
        <f t="shared" si="130"/>
        <v>CA</v>
      </c>
      <c r="BC526" s="135">
        <f t="shared" si="113"/>
        <v>462</v>
      </c>
      <c r="BD526" s="1" t="s">
        <v>720</v>
      </c>
      <c r="BE526" s="1" t="s">
        <v>523</v>
      </c>
      <c r="BF526" s="1" t="s">
        <v>878</v>
      </c>
    </row>
    <row r="527" spans="22:59" x14ac:dyDescent="0.35">
      <c r="V527" s="1" t="str">
        <v>EXT SMALL SIAY0.7</v>
      </c>
      <c r="X527" s="1" t="str">
        <f t="shared" si="131"/>
        <v>EXT SMALL PEER0.2</v>
      </c>
      <c r="Y527" s="1" t="str" cm="1">
        <f t="array" ref="Y527">IFERROR(VLOOKUP($X527,$AN:AO,COLUMN(AO:AO)-COLUMN($AN:$AN)+1,FALSE),"")</f>
        <v>ACCELERA EXT SMALL 1R:1HPEWTER0.25 GAL</v>
      </c>
      <c r="Z527" s="63" cm="1">
        <f t="array" ref="Z527">IFERROR(VLOOKUP($X527,$AN:AP,COLUMN(AP:AP)-COLUMN($AN:$AN)+1,FALSE),"")</f>
        <v>53.55</v>
      </c>
      <c r="AA527" s="1" t="str" cm="1">
        <f t="array" ref="AA527">IFERROR(VLOOKUP($X527,$AN:AQ,COLUMN(AQ:AQ)-COLUMN($AN:$AN)+1,FALSE),"")</f>
        <v>0.25 GAL</v>
      </c>
      <c r="AC527" s="1" t="str" cm="1">
        <f t="array" ref="AC527">IFERROR(VLOOKUP($X527,$AN:AS,COLUMN(AS:AS)-COLUMN($AN:$AN)+1,FALSE),"")</f>
        <v>PEWTER</v>
      </c>
      <c r="AD527" s="1" t="s">
        <v>19</v>
      </c>
      <c r="AF527" s="1">
        <f>Table1[[#This Row],[C:C]]*1.1</f>
        <v>0</v>
      </c>
      <c r="AI527" s="1">
        <f>IFERROR(VLOOKUP(X527,#REF!,8,FALSE),0)</f>
        <v>0</v>
      </c>
      <c r="AN527" s="1" t="str">
        <f>PROD_ID_TABLE[[#This Row],[PROD ID]]</f>
        <v>TUBES / CASTAYCA</v>
      </c>
      <c r="AO527" s="1" t="str">
        <f t="shared" si="124"/>
        <v>RS88 (12 TUBES / CASE)STANDARD GRAYCASE</v>
      </c>
      <c r="AP527" s="3">
        <f t="shared" si="122"/>
        <v>462</v>
      </c>
      <c r="AQ527" s="1" t="str">
        <f t="shared" si="125"/>
        <v>CASE</v>
      </c>
      <c r="AR527" s="1" t="str">
        <f t="shared" si="123"/>
        <v>RS88 (12 TUBES / CASE)STANDARD GRAYCASE</v>
      </c>
      <c r="AS527" s="1" t="str">
        <f t="shared" si="126"/>
        <v>STANDARD GRAY</v>
      </c>
      <c r="AY527" s="63" t="str">
        <f t="shared" si="127"/>
        <v>TUBES / CASTAYCA</v>
      </c>
      <c r="AZ527" s="63" t="str">
        <f t="shared" si="128"/>
        <v>TUBES / CA</v>
      </c>
      <c r="BA527" s="63" t="str">
        <f t="shared" si="129"/>
        <v>STAY</v>
      </c>
      <c r="BB527" s="63" t="str">
        <f t="shared" si="130"/>
        <v>CA</v>
      </c>
      <c r="BC527" s="135">
        <f t="shared" si="113"/>
        <v>462</v>
      </c>
      <c r="BD527" s="1" t="s">
        <v>720</v>
      </c>
      <c r="BE527" s="1" t="s">
        <v>521</v>
      </c>
      <c r="BF527" s="1" t="s">
        <v>878</v>
      </c>
    </row>
    <row r="528" spans="22:59" x14ac:dyDescent="0.35">
      <c r="V528" s="1" t="str">
        <v>EXT SMALL WHTE0.7</v>
      </c>
      <c r="X528" s="1" t="str">
        <f t="shared" si="131"/>
        <v>EXT SMALL CLLE0.2</v>
      </c>
      <c r="Y528" s="1" t="str" cm="1">
        <f t="array" ref="Y528">IFERROR(VLOOKUP($X528,$AN:AO,COLUMN(AO:AO)-COLUMN($AN:$AN)+1,FALSE),"")</f>
        <v>ACCELERA EXT SMALL 1R:1HCLASIC RED TILE0.25 GAL</v>
      </c>
      <c r="Z528" s="63" cm="1">
        <f t="array" ref="Z528">IFERROR(VLOOKUP($X528,$AN:AP,COLUMN(AP:AP)-COLUMN($AN:$AN)+1,FALSE),"")</f>
        <v>53.55</v>
      </c>
      <c r="AA528" s="1" t="str" cm="1">
        <f t="array" ref="AA528">IFERROR(VLOOKUP($X528,$AN:AQ,COLUMN(AQ:AQ)-COLUMN($AN:$AN)+1,FALSE),"")</f>
        <v>0.25 GAL</v>
      </c>
      <c r="AC528" s="1" t="str" cm="1">
        <f t="array" ref="AC528">IFERROR(VLOOKUP($X528,$AN:AS,COLUMN(AS:AS)-COLUMN($AN:$AN)+1,FALSE),"")</f>
        <v>CLASIC RED TILE</v>
      </c>
      <c r="AD528" s="1" t="s">
        <v>19</v>
      </c>
      <c r="AF528" s="1">
        <f>Table1[[#This Row],[C:C]]*1.1</f>
        <v>0</v>
      </c>
      <c r="AI528" s="1">
        <f>IFERROR(VLOOKUP(X528,#REF!,8,FALSE),0)</f>
        <v>0</v>
      </c>
      <c r="AN528" s="1" t="str">
        <f>PROD_ID_TABLE[[#This Row],[PROD ID]]</f>
        <v>TUBES / CAGREACA</v>
      </c>
      <c r="AO528" s="1" t="str">
        <f t="shared" si="124"/>
        <v>RS88 (12 TUBES / CASE)GRAY AREACASE</v>
      </c>
      <c r="AP528" s="3">
        <f t="shared" si="122"/>
        <v>462</v>
      </c>
      <c r="AQ528" s="1" t="str">
        <f t="shared" si="125"/>
        <v>CASE</v>
      </c>
      <c r="AR528" s="1" t="str">
        <f t="shared" si="123"/>
        <v>RS88 (12 TUBES / CASE)GRAY AREACASE</v>
      </c>
      <c r="AS528" s="1" t="str">
        <f t="shared" si="126"/>
        <v>GRAY AREA</v>
      </c>
      <c r="AY528" s="63" t="str">
        <f t="shared" si="127"/>
        <v>TUBES / CAGREACA</v>
      </c>
      <c r="AZ528" s="63" t="str">
        <f t="shared" si="128"/>
        <v>TUBES / CA</v>
      </c>
      <c r="BA528" s="63" t="str">
        <f t="shared" si="129"/>
        <v>GREA</v>
      </c>
      <c r="BB528" s="63" t="str">
        <f t="shared" si="130"/>
        <v>CA</v>
      </c>
      <c r="BC528" s="135">
        <f t="shared" si="113"/>
        <v>462</v>
      </c>
      <c r="BD528" s="1" t="s">
        <v>720</v>
      </c>
      <c r="BE528" s="1" t="s">
        <v>522</v>
      </c>
      <c r="BF528" s="1" t="s">
        <v>878</v>
      </c>
    </row>
    <row r="529" spans="22:59" x14ac:dyDescent="0.35">
      <c r="V529" s="1" t="str">
        <v>EXT SMALL BLCK0.7</v>
      </c>
      <c r="X529" s="1" t="str">
        <f t="shared" si="131"/>
        <v>EXT SMALL CAEL0.2</v>
      </c>
      <c r="Y529" s="1" t="str" cm="1">
        <f t="array" ref="Y529">IFERROR(VLOOKUP($X529,$AN:AO,COLUMN(AO:AO)-COLUMN($AN:$AN)+1,FALSE),"")</f>
        <v>ACCELERA EXT SMALL 1R:1HCARAMEL0.25 GAL</v>
      </c>
      <c r="Z529" s="63" cm="1">
        <f t="array" ref="Z529">IFERROR(VLOOKUP($X529,$AN:AP,COLUMN(AP:AP)-COLUMN($AN:$AN)+1,FALSE),"")</f>
        <v>53.55</v>
      </c>
      <c r="AA529" s="1" t="str" cm="1">
        <f t="array" ref="AA529">IFERROR(VLOOKUP($X529,$AN:AQ,COLUMN(AQ:AQ)-COLUMN($AN:$AN)+1,FALSE),"")</f>
        <v>0.25 GAL</v>
      </c>
      <c r="AC529" s="1" t="str" cm="1">
        <f t="array" ref="AC529">IFERROR(VLOOKUP($X529,$AN:AS,COLUMN(AS:AS)-COLUMN($AN:$AN)+1,FALSE),"")</f>
        <v>CARAMEL</v>
      </c>
      <c r="AD529" s="1" t="s">
        <v>19</v>
      </c>
      <c r="AF529" s="1">
        <f>Table1[[#This Row],[C:C]]*1.1</f>
        <v>0</v>
      </c>
      <c r="AI529" s="1">
        <f>IFERROR(VLOOKUP(X529,#REF!,8,FALSE),0)</f>
        <v>0</v>
      </c>
      <c r="AN529" s="1" t="str">
        <f>PROD_ID_TABLE[[#This Row],[PROD ID]]</f>
        <v>S (30 TUBEN//ATU</v>
      </c>
      <c r="AO529" s="1" t="str">
        <f t="shared" si="124"/>
        <v>NP-1 TUBES (30 TUBE/CASE)N/ATUBE</v>
      </c>
      <c r="AP529" s="3">
        <f t="shared" si="122"/>
        <v>8.2899999999999991</v>
      </c>
      <c r="AQ529" s="1" t="str">
        <f t="shared" si="125"/>
        <v>TUBE</v>
      </c>
      <c r="AR529" s="1" t="str">
        <f t="shared" si="123"/>
        <v>NP-1 TUBES (30 TUBE/CASE)N/ATUBE</v>
      </c>
      <c r="AS529" s="1" t="str">
        <f t="shared" si="126"/>
        <v>N/A</v>
      </c>
      <c r="AY529" s="63" t="str">
        <f t="shared" ref="AY529:AY535" si="132">_xlfn.CONCAT(AZ529:BB529)</f>
        <v>S (30 TUBEN//ATU</v>
      </c>
      <c r="AZ529" s="63" t="str">
        <f t="shared" ref="AZ529:AZ535" si="133">MID(BD529,10,10)</f>
        <v>S (30 TUBE</v>
      </c>
      <c r="BA529" s="63" t="str">
        <f t="shared" ref="BA529:BA535" si="134">LEFT(BE529,2)&amp;RIGHT(BE529,2)</f>
        <v>N//A</v>
      </c>
      <c r="BB529" s="63" t="str">
        <f t="shared" ref="BB529:BB535" si="135">LEFT(BF529,2)</f>
        <v>TU</v>
      </c>
      <c r="BC529" s="135">
        <f t="shared" si="113"/>
        <v>8.2899999999999991</v>
      </c>
      <c r="BD529" s="1" t="s">
        <v>719</v>
      </c>
      <c r="BE529" s="1" t="s">
        <v>398</v>
      </c>
      <c r="BF529" s="1" t="s">
        <v>503</v>
      </c>
    </row>
    <row r="530" spans="22:59" x14ac:dyDescent="0.35">
      <c r="V530" s="1" t="str">
        <v>EXT SMALL PANT0.7</v>
      </c>
      <c r="X530" s="1" t="str">
        <f t="shared" si="131"/>
        <v>EXT SMALL ULSE0.2</v>
      </c>
      <c r="Y530" s="1" t="str" cm="1">
        <f t="array" ref="Y530">IFERROR(VLOOKUP($X530,$AN:AO,COLUMN(AO:AO)-COLUMN($AN:$AN)+1,FALSE),"")</f>
        <v>ACCELERA EXT SMALL 1R:1HULTRA DEEP BASE0.25 GAL</v>
      </c>
      <c r="Z530" s="63" cm="1">
        <f t="array" ref="Z530">IFERROR(VLOOKUP($X530,$AN:AP,COLUMN(AP:AP)-COLUMN($AN:$AN)+1,FALSE),"")</f>
        <v>53.55</v>
      </c>
      <c r="AA530" s="1" t="str" cm="1">
        <f t="array" ref="AA530">IFERROR(VLOOKUP($X530,$AN:AQ,COLUMN(AQ:AQ)-COLUMN($AN:$AN)+1,FALSE),"")</f>
        <v>0.25 GAL</v>
      </c>
      <c r="AC530" s="1" t="str" cm="1">
        <f t="array" ref="AC530">IFERROR(VLOOKUP($X530,$AN:AS,COLUMN(AS:AS)-COLUMN($AN:$AN)+1,FALSE),"")</f>
        <v>ULTRA DEEP BASE</v>
      </c>
      <c r="AD530" s="1" t="s">
        <v>19</v>
      </c>
      <c r="AF530" s="1">
        <f>Table1[[#This Row],[C:C]]*1.1</f>
        <v>0</v>
      </c>
      <c r="AI530" s="1">
        <f>IFERROR(VLOOKUP(X530,#REF!,8,FALSE),0)</f>
        <v>0</v>
      </c>
      <c r="AN530" s="1" t="str">
        <f>PROD_ID_TABLE[[#This Row],[PROD ID]]</f>
        <v>S (30 TUBEN//ACA</v>
      </c>
      <c r="AO530" s="1" t="str">
        <f t="shared" si="124"/>
        <v>NP-1 TUBES (30 TUBE/CASE)N/ACASE</v>
      </c>
      <c r="AP530" s="3">
        <f t="shared" si="122"/>
        <v>210</v>
      </c>
      <c r="AQ530" s="1" t="str">
        <f t="shared" si="125"/>
        <v>CASE</v>
      </c>
      <c r="AR530" s="1" t="str">
        <f t="shared" si="123"/>
        <v>NP-1 TUBES (30 TUBE/CASE)N/ACASE</v>
      </c>
      <c r="AS530" s="1" t="str">
        <f t="shared" si="126"/>
        <v>N/A</v>
      </c>
      <c r="AY530" s="63" t="str">
        <f t="shared" si="132"/>
        <v>S (30 TUBEN//ACA</v>
      </c>
      <c r="AZ530" s="63" t="str">
        <f t="shared" si="133"/>
        <v>S (30 TUBE</v>
      </c>
      <c r="BA530" s="63" t="str">
        <f t="shared" si="134"/>
        <v>N//A</v>
      </c>
      <c r="BB530" s="63" t="str">
        <f t="shared" si="135"/>
        <v>CA</v>
      </c>
      <c r="BC530" s="135">
        <f t="shared" si="113"/>
        <v>210</v>
      </c>
      <c r="BD530" s="1" t="s">
        <v>719</v>
      </c>
      <c r="BE530" s="1" t="s">
        <v>398</v>
      </c>
      <c r="BF530" s="1" t="s">
        <v>878</v>
      </c>
    </row>
    <row r="531" spans="22:59" x14ac:dyDescent="0.35">
      <c r="V531" s="1" t="str">
        <v>EXT SMALL SAED0.7</v>
      </c>
      <c r="X531" s="1" t="str">
        <f t="shared" si="131"/>
        <v>EXT SMALL WHSE0.2</v>
      </c>
      <c r="Y531" s="1" t="str" cm="1">
        <f t="array" ref="Y531">IFERROR(VLOOKUP($X531,$AN:AO,COLUMN(AO:AO)-COLUMN($AN:$AN)+1,FALSE),"")</f>
        <v>ACCELERA EXT SMALL 1R:1HWHITE TINT BASE0.25 GAL</v>
      </c>
      <c r="Z531" s="63" cm="1">
        <f t="array" ref="Z531">IFERROR(VLOOKUP($X531,$AN:AP,COLUMN(AP:AP)-COLUMN($AN:$AN)+1,FALSE),"")</f>
        <v>53.55</v>
      </c>
      <c r="AA531" s="1" t="str" cm="1">
        <f t="array" ref="AA531">IFERROR(VLOOKUP($X531,$AN:AQ,COLUMN(AQ:AQ)-COLUMN($AN:$AN)+1,FALSE),"")</f>
        <v>0.25 GAL</v>
      </c>
      <c r="AC531" s="1" t="str" cm="1">
        <f t="array" ref="AC531">IFERROR(VLOOKUP($X531,$AN:AS,COLUMN(AS:AS)-COLUMN($AN:$AN)+1,FALSE),"")</f>
        <v>WHITE TINT BASE</v>
      </c>
      <c r="AD531" s="1" t="s">
        <v>19</v>
      </c>
      <c r="AF531" s="1">
        <f>Table1[[#This Row],[C:C]]*1.1</f>
        <v>0</v>
      </c>
      <c r="AI531" s="1">
        <f>IFERROR(VLOOKUP(X531,#REF!,8,FALSE),0)</f>
        <v>0</v>
      </c>
      <c r="AN531" s="1" t="str">
        <f>PROD_ID_TABLE[[#This Row],[PROD ID]]</f>
        <v>TUBES / CAGRAYTU</v>
      </c>
      <c r="AO531" s="1" t="str">
        <f t="shared" si="124"/>
        <v>RS65 (12 TUBES / CASE)GRAYTUBE</v>
      </c>
      <c r="AP531" s="3">
        <f t="shared" si="122"/>
        <v>38.5</v>
      </c>
      <c r="AQ531" s="1" t="str">
        <f t="shared" si="125"/>
        <v>TUBE</v>
      </c>
      <c r="AR531" s="1" t="str">
        <f t="shared" si="123"/>
        <v>RS65 (12 TUBES / CASE)GRAYTUBE</v>
      </c>
      <c r="AS531" s="1" t="str">
        <f t="shared" si="126"/>
        <v>GRAY</v>
      </c>
      <c r="AY531" s="63" t="str">
        <f t="shared" si="132"/>
        <v>TUBES / CAGRAYTU</v>
      </c>
      <c r="AZ531" s="63" t="str">
        <f t="shared" si="133"/>
        <v>TUBES / CA</v>
      </c>
      <c r="BA531" s="63" t="str">
        <f t="shared" si="134"/>
        <v>GRAY</v>
      </c>
      <c r="BB531" s="63" t="str">
        <f t="shared" si="135"/>
        <v>TU</v>
      </c>
      <c r="BC531" s="135">
        <f t="shared" si="113"/>
        <v>38.5</v>
      </c>
      <c r="BD531" s="1" t="s">
        <v>891</v>
      </c>
      <c r="BE531" s="1" t="s">
        <v>317</v>
      </c>
      <c r="BF531" s="1" t="s">
        <v>503</v>
      </c>
    </row>
    <row r="532" spans="22:59" x14ac:dyDescent="0.35">
      <c r="V532" s="1" t="str">
        <v>EXT SMALL SAOW0.7</v>
      </c>
      <c r="X532" s="1" t="str">
        <f t="shared" si="131"/>
        <v>EXT SMALL CLAR0.7</v>
      </c>
      <c r="Y532" s="1" t="str" cm="1">
        <f t="array" ref="Y532">IFERROR(VLOOKUP($X532,$AN:AO,COLUMN(AO:AO)-COLUMN($AN:$AN)+1,FALSE),"")</f>
        <v>ACCELERA EXT SMALL 1R:1HCLEAR0.75 GAL</v>
      </c>
      <c r="Z532" s="63" cm="1">
        <f t="array" ref="Z532">IFERROR(VLOOKUP($X532,$AN:AP,COLUMN(AP:AP)-COLUMN($AN:$AN)+1,FALSE),"")</f>
        <v>127.12</v>
      </c>
      <c r="AA532" s="1" t="str" cm="1">
        <f t="array" ref="AA532">IFERROR(VLOOKUP($X532,$AN:AQ,COLUMN(AQ:AQ)-COLUMN($AN:$AN)+1,FALSE),"")</f>
        <v>0.75 GAL</v>
      </c>
      <c r="AC532" s="1" t="str" cm="1">
        <f t="array" ref="AC532">IFERROR(VLOOKUP($X532,$AN:AS,COLUMN(AS:AS)-COLUMN($AN:$AN)+1,FALSE),"")</f>
        <v>CLEAR</v>
      </c>
      <c r="AD532" s="1" t="s">
        <v>19</v>
      </c>
      <c r="AF532" s="1">
        <f>Table1[[#This Row],[C:C]]*1.1</f>
        <v>0</v>
      </c>
      <c r="AI532" s="1">
        <f>IFERROR(VLOOKUP(X532,#REF!,8,FALSE),0)</f>
        <v>0</v>
      </c>
      <c r="AN532" s="1" t="str">
        <f>PROD_ID_TABLE[[#This Row],[PROD ID]]</f>
        <v>TUBES / CAGRAYCA</v>
      </c>
      <c r="AO532" s="1" t="str">
        <f t="shared" si="124"/>
        <v>RS65 (12 TUBES / CASE)GRAYCASE</v>
      </c>
      <c r="AP532" s="3">
        <f t="shared" si="122"/>
        <v>462</v>
      </c>
      <c r="AQ532" s="1" t="str">
        <f t="shared" si="125"/>
        <v>CASE</v>
      </c>
      <c r="AR532" s="1" t="str">
        <f t="shared" si="123"/>
        <v>RS65 (12 TUBES / CASE)GRAYCASE</v>
      </c>
      <c r="AS532" s="1" t="str">
        <f t="shared" si="126"/>
        <v>GRAY</v>
      </c>
      <c r="AY532" s="63" t="str">
        <f t="shared" si="132"/>
        <v>TUBES / CAGRAYCA</v>
      </c>
      <c r="AZ532" s="63" t="str">
        <f t="shared" si="133"/>
        <v>TUBES / CA</v>
      </c>
      <c r="BA532" s="63" t="str">
        <f t="shared" si="134"/>
        <v>GRAY</v>
      </c>
      <c r="BB532" s="63" t="str">
        <f t="shared" si="135"/>
        <v>CA</v>
      </c>
      <c r="BC532" s="135">
        <f t="shared" si="113"/>
        <v>462</v>
      </c>
      <c r="BD532" s="1" t="s">
        <v>891</v>
      </c>
      <c r="BE532" s="1" t="s">
        <v>317</v>
      </c>
      <c r="BF532" s="1" t="s">
        <v>878</v>
      </c>
    </row>
    <row r="533" spans="22:59" x14ac:dyDescent="0.35">
      <c r="V533" s="1" t="str">
        <v>EXT SMALL ROUE0.7</v>
      </c>
      <c r="X533" s="1" t="str">
        <f t="shared" si="131"/>
        <v>EXT SMALL CUOM0.7</v>
      </c>
      <c r="Y533" s="1" t="str" cm="1">
        <f t="array" ref="Y533">IFERROR(VLOOKUP($X533,$AN:AO,COLUMN(AO:AO)-COLUMN($AN:$AN)+1,FALSE),"")</f>
        <v>ACCELERA EXT SMALL 1R:1HCUSTOM0.75 GAL</v>
      </c>
      <c r="Z533" s="63" cm="1">
        <f t="array" ref="Z533">IFERROR(VLOOKUP($X533,$AN:AP,COLUMN(AP:AP)-COLUMN($AN:$AN)+1,FALSE),"")</f>
        <v>127.12</v>
      </c>
      <c r="AA533" s="1" t="str" cm="1">
        <f t="array" ref="AA533">IFERROR(VLOOKUP($X533,$AN:AQ,COLUMN(AQ:AQ)-COLUMN($AN:$AN)+1,FALSE),"")</f>
        <v>0.75 GAL</v>
      </c>
      <c r="AC533" s="1" t="str" cm="1">
        <f t="array" ref="AC533">IFERROR(VLOOKUP($X533,$AN:AS,COLUMN(AS:AS)-COLUMN($AN:$AN)+1,FALSE),"")</f>
        <v>CUSTOM</v>
      </c>
      <c r="AD533" s="1" t="s">
        <v>19</v>
      </c>
      <c r="AF533" s="1">
        <f>Table1[[#This Row],[C:C]]*1.1</f>
        <v>0</v>
      </c>
      <c r="AI533" s="1">
        <f>IFERROR(VLOOKUP(X533,#REF!,8,FALSE),0)</f>
        <v>0</v>
      </c>
      <c r="AN533" s="1" t="str">
        <f>PROD_ID_TABLE[[#This Row],[PROD ID]]</f>
        <v xml:space="preserve"> 3831 MVB N//A2 </v>
      </c>
      <c r="AO533" s="1" t="str">
        <f t="shared" si="124"/>
        <v>RESUPRIME 3831 MVB MOISTURE EPOXY PRIMERN/A2 GAL</v>
      </c>
      <c r="AP533" s="3">
        <f t="shared" si="122"/>
        <v>135.36000000000001</v>
      </c>
      <c r="AQ533" s="1" t="str">
        <f t="shared" si="125"/>
        <v>2 GAL</v>
      </c>
      <c r="AR533" s="1" t="str">
        <f t="shared" si="123"/>
        <v>RESUPRIME 3831 MVB MOISTURE EPOXY PRIMERN/A2 GAL</v>
      </c>
      <c r="AS533" s="1" t="str">
        <f t="shared" si="126"/>
        <v>N/A</v>
      </c>
      <c r="AY533" s="63" t="str">
        <f t="shared" si="132"/>
        <v xml:space="preserve"> 3831 MVB N//A2 </v>
      </c>
      <c r="AZ533" s="63" t="str">
        <f t="shared" si="133"/>
        <v xml:space="preserve"> 3831 MVB </v>
      </c>
      <c r="BA533" s="63" t="str">
        <f t="shared" si="134"/>
        <v>N//A</v>
      </c>
      <c r="BB533" s="63" t="str">
        <f t="shared" si="135"/>
        <v xml:space="preserve">2 </v>
      </c>
      <c r="BC533" s="135">
        <f t="shared" si="113"/>
        <v>135.36000000000001</v>
      </c>
      <c r="BD533" s="62" t="s">
        <v>344</v>
      </c>
      <c r="BE533" s="55" t="s">
        <v>398</v>
      </c>
      <c r="BF533" s="55" t="s">
        <v>406</v>
      </c>
      <c r="BG533" s="55" t="s">
        <v>364</v>
      </c>
    </row>
    <row r="534" spans="22:59" x14ac:dyDescent="0.35">
      <c r="V534" s="1" t="str">
        <v>EXT SMALL PEER0.7</v>
      </c>
      <c r="X534" s="1" t="str">
        <f t="shared" si="131"/>
        <v>EXT SMALL MEAY0.7</v>
      </c>
      <c r="Y534" s="1" t="str" cm="1">
        <f t="array" ref="Y534">IFERROR(VLOOKUP($X534,$AN:AO,COLUMN(AO:AO)-COLUMN($AN:$AN)+1,FALSE),"")</f>
        <v>ACCELERA EXT SMALL 1R:1HMEDIUM GRAY0.75 GAL</v>
      </c>
      <c r="Z534" s="63" cm="1">
        <f t="array" ref="Z534">IFERROR(VLOOKUP($X534,$AN:AP,COLUMN(AP:AP)-COLUMN($AN:$AN)+1,FALSE),"")</f>
        <v>127.12</v>
      </c>
      <c r="AA534" s="1" t="str" cm="1">
        <f t="array" ref="AA534">IFERROR(VLOOKUP($X534,$AN:AQ,COLUMN(AQ:AQ)-COLUMN($AN:$AN)+1,FALSE),"")</f>
        <v>0.75 GAL</v>
      </c>
      <c r="AC534" s="1" t="str" cm="1">
        <f t="array" ref="AC534">IFERROR(VLOOKUP($X534,$AN:AS,COLUMN(AS:AS)-COLUMN($AN:$AN)+1,FALSE),"")</f>
        <v>MEDIUM GRAY</v>
      </c>
      <c r="AD534" s="1" t="s">
        <v>19</v>
      </c>
      <c r="AF534" s="1">
        <f>Table1[[#This Row],[C:C]]*1.1</f>
        <v>0</v>
      </c>
      <c r="AI534" s="1">
        <f>IFERROR(VLOOKUP(X534,#REF!,8,FALSE),0)</f>
        <v>0</v>
      </c>
      <c r="AN534" s="1" t="str">
        <f>PROD_ID_TABLE[[#This Row],[PROD ID]]</f>
        <v xml:space="preserve"> 3831 MVB N//A10</v>
      </c>
      <c r="AO534" s="1" t="str">
        <f t="shared" si="124"/>
        <v>RESUPRIME 3831 MVB MOISTURE EPOXY PRIMERN/A10 GAL</v>
      </c>
      <c r="AP534" s="3">
        <f t="shared" si="122"/>
        <v>641.47</v>
      </c>
      <c r="AQ534" s="1" t="str">
        <f t="shared" si="125"/>
        <v>10 GAL</v>
      </c>
      <c r="AR534" s="1" t="str">
        <f t="shared" si="123"/>
        <v>RESUPRIME 3831 MVB MOISTURE EPOXY PRIMERN/A10 GAL</v>
      </c>
      <c r="AS534" s="1" t="str">
        <f t="shared" si="126"/>
        <v>N/A</v>
      </c>
      <c r="AY534" s="63" t="str">
        <f t="shared" si="132"/>
        <v xml:space="preserve"> 3831 MVB N//A10</v>
      </c>
      <c r="AZ534" s="63" t="str">
        <f t="shared" si="133"/>
        <v xml:space="preserve"> 3831 MVB </v>
      </c>
      <c r="BA534" s="63" t="str">
        <f t="shared" si="134"/>
        <v>N//A</v>
      </c>
      <c r="BB534" s="63" t="str">
        <f t="shared" si="135"/>
        <v>10</v>
      </c>
      <c r="BC534" s="135">
        <f t="shared" ref="BC534:BC550" si="136">IFERROR(VLOOKUP(BD534&amp;BF534,AV:AW,2,FALSE),0)</f>
        <v>641.47</v>
      </c>
      <c r="BD534" s="62" t="s">
        <v>344</v>
      </c>
      <c r="BE534" s="55" t="s">
        <v>398</v>
      </c>
      <c r="BF534" s="55" t="s">
        <v>410</v>
      </c>
      <c r="BG534" s="55" t="s">
        <v>364</v>
      </c>
    </row>
    <row r="535" spans="22:59" x14ac:dyDescent="0.35">
      <c r="V535" s="1" t="str">
        <v>EXT SMALL CLLE0.7</v>
      </c>
      <c r="X535" s="1" t="str">
        <f t="shared" si="131"/>
        <v>EXT SMALL CAAY0.7</v>
      </c>
      <c r="Y535" s="1" t="str" cm="1">
        <f t="array" ref="Y535">IFERROR(VLOOKUP($X535,$AN:AO,COLUMN(AO:AO)-COLUMN($AN:$AN)+1,FALSE),"")</f>
        <v>ACCELERA EXT SMALL 1R:1HCANADA GRAY0.75 GAL</v>
      </c>
      <c r="Z535" s="63" cm="1">
        <f t="array" ref="Z535">IFERROR(VLOOKUP($X535,$AN:AP,COLUMN(AP:AP)-COLUMN($AN:$AN)+1,FALSE),"")</f>
        <v>127.12</v>
      </c>
      <c r="AA535" s="1" t="str" cm="1">
        <f t="array" ref="AA535">IFERROR(VLOOKUP($X535,$AN:AQ,COLUMN(AQ:AQ)-COLUMN($AN:$AN)+1,FALSE),"")</f>
        <v>0.75 GAL</v>
      </c>
      <c r="AC535" s="1" t="str" cm="1">
        <f t="array" ref="AC535">IFERROR(VLOOKUP($X535,$AN:AS,COLUMN(AS:AS)-COLUMN($AN:$AN)+1,FALSE),"")</f>
        <v>CANADA GRAY</v>
      </c>
      <c r="AD535" s="1" t="s">
        <v>19</v>
      </c>
      <c r="AF535" s="1">
        <f>Table1[[#This Row],[C:C]]*1.1</f>
        <v>0</v>
      </c>
      <c r="AI535" s="1">
        <f>IFERROR(VLOOKUP(X535,#REF!,8,FALSE),0)</f>
        <v>0</v>
      </c>
      <c r="AN535" s="1" t="str">
        <f>PROD_ID_TABLE[[#This Row],[PROD ID]]</f>
        <v xml:space="preserve"> 3831 MVB N//A11</v>
      </c>
      <c r="AO535" s="1" t="str">
        <f t="shared" si="124"/>
        <v>RESUPRIME 3831 MVB MOISTURE EPOXY PRIMERN/A110 GAL</v>
      </c>
      <c r="AP535" s="3">
        <f t="shared" si="122"/>
        <v>5826.15</v>
      </c>
      <c r="AQ535" s="1" t="str">
        <f t="shared" si="125"/>
        <v>110 GAL</v>
      </c>
      <c r="AR535" s="1" t="str">
        <f t="shared" si="123"/>
        <v>RESUPRIME 3831 MVB MOISTURE EPOXY PRIMERN/A110 GAL</v>
      </c>
      <c r="AS535" s="1" t="str">
        <f t="shared" si="126"/>
        <v>N/A</v>
      </c>
      <c r="AY535" s="63" t="str">
        <f t="shared" si="132"/>
        <v xml:space="preserve"> 3831 MVB N//A11</v>
      </c>
      <c r="AZ535" s="63" t="str">
        <f t="shared" si="133"/>
        <v xml:space="preserve"> 3831 MVB </v>
      </c>
      <c r="BA535" s="63" t="str">
        <f t="shared" si="134"/>
        <v>N//A</v>
      </c>
      <c r="BB535" s="63" t="str">
        <f t="shared" si="135"/>
        <v>11</v>
      </c>
      <c r="BC535" s="135">
        <f t="shared" si="136"/>
        <v>5826.15</v>
      </c>
      <c r="BD535" s="62" t="s">
        <v>344</v>
      </c>
      <c r="BE535" s="55" t="s">
        <v>398</v>
      </c>
      <c r="BF535" s="55" t="s">
        <v>1039</v>
      </c>
      <c r="BG535" s="55" t="s">
        <v>364</v>
      </c>
    </row>
    <row r="536" spans="22:59" x14ac:dyDescent="0.35">
      <c r="V536" s="1" t="str">
        <v>EXT SMALL CAEL0.7</v>
      </c>
      <c r="X536" s="1" t="str">
        <f t="shared" si="131"/>
        <v>EXT SMALL CHAL0.7</v>
      </c>
      <c r="Y536" s="1" t="str" cm="1">
        <f t="array" ref="Y536">IFERROR(VLOOKUP($X536,$AN:AO,COLUMN(AO:AO)-COLUMN($AN:$AN)+1,FALSE),"")</f>
        <v>ACCELERA EXT SMALL 1R:1HCHARCOAL0.75 GAL</v>
      </c>
      <c r="Z536" s="63" cm="1">
        <f t="array" ref="Z536">IFERROR(VLOOKUP($X536,$AN:AP,COLUMN(AP:AP)-COLUMN($AN:$AN)+1,FALSE),"")</f>
        <v>127.12</v>
      </c>
      <c r="AA536" s="1" t="str" cm="1">
        <f t="array" ref="AA536">IFERROR(VLOOKUP($X536,$AN:AQ,COLUMN(AQ:AQ)-COLUMN($AN:$AN)+1,FALSE),"")</f>
        <v>0.75 GAL</v>
      </c>
      <c r="AC536" s="1" t="str" cm="1">
        <f t="array" ref="AC536">IFERROR(VLOOKUP($X536,$AN:AS,COLUMN(AS:AS)-COLUMN($AN:$AN)+1,FALSE),"")</f>
        <v>CHARCOAL</v>
      </c>
      <c r="AD536" s="1" t="s">
        <v>19</v>
      </c>
      <c r="AF536" s="1">
        <f>Table1[[#This Row],[C:C]]*1.1</f>
        <v>0</v>
      </c>
      <c r="AI536" s="1">
        <f>IFERROR(VLOOKUP(X536,#REF!,8,FALSE),0)</f>
        <v>0</v>
      </c>
      <c r="AN536" s="1" t="str">
        <f>PROD_ID_TABLE[[#This Row],[PROD ID]]</f>
        <v xml:space="preserve">POFLEX 1:1GRAY2 </v>
      </c>
      <c r="AO536" s="1" t="str">
        <f t="shared" si="124"/>
        <v>GP 3555 EPOFLEX 1:1GRAY2 GAL</v>
      </c>
      <c r="AP536" s="3">
        <f t="shared" si="122"/>
        <v>216.57</v>
      </c>
      <c r="AQ536" s="1" t="str">
        <f t="shared" si="125"/>
        <v>2 GAL</v>
      </c>
      <c r="AR536" s="1" t="str">
        <f t="shared" si="123"/>
        <v>GP 3555 EPOFLEX 1:1GRAY2 GAL</v>
      </c>
      <c r="AS536" s="1" t="str">
        <f t="shared" si="126"/>
        <v>GRAY</v>
      </c>
      <c r="AY536" s="63" t="str">
        <f t="shared" ref="AY536:AY542" si="137">_xlfn.CONCAT(AZ536:BB536)</f>
        <v xml:space="preserve">POFLEX 1:1GRAY2 </v>
      </c>
      <c r="AZ536" s="63" t="str">
        <f t="shared" ref="AZ536:AZ542" si="138">MID(BD536,10,10)</f>
        <v>POFLEX 1:1</v>
      </c>
      <c r="BA536" s="63" t="str">
        <f t="shared" ref="BA536:BA542" si="139">LEFT(BE536,2)&amp;RIGHT(BE536,2)</f>
        <v>GRAY</v>
      </c>
      <c r="BB536" s="63" t="str">
        <f t="shared" ref="BB536:BB542" si="140">LEFT(BF536,2)</f>
        <v xml:space="preserve">2 </v>
      </c>
      <c r="BC536" s="135">
        <f t="shared" si="136"/>
        <v>216.57</v>
      </c>
      <c r="BD536" s="62" t="s">
        <v>1046</v>
      </c>
      <c r="BE536" s="55" t="s">
        <v>317</v>
      </c>
      <c r="BF536" s="55" t="s">
        <v>406</v>
      </c>
      <c r="BG536" s="55" t="s">
        <v>364</v>
      </c>
    </row>
    <row r="537" spans="22:59" x14ac:dyDescent="0.35">
      <c r="V537" s="1" t="str">
        <v>EXT SMALL ULSE0.7</v>
      </c>
      <c r="X537" s="1" t="str">
        <f t="shared" si="131"/>
        <v>EXT SMALL STAY0.7</v>
      </c>
      <c r="Y537" s="1" t="str" cm="1">
        <f t="array" ref="Y537">IFERROR(VLOOKUP($X537,$AN:AO,COLUMN(AO:AO)-COLUMN($AN:$AN)+1,FALSE),"")</f>
        <v>ACCELERA EXT SMALL 1R:1HSTEEL GRAY0.75 GAL</v>
      </c>
      <c r="Z537" s="63" cm="1">
        <f t="array" ref="Z537">IFERROR(VLOOKUP($X537,$AN:AP,COLUMN(AP:AP)-COLUMN($AN:$AN)+1,FALSE),"")</f>
        <v>127.12</v>
      </c>
      <c r="AA537" s="1" t="str" cm="1">
        <f t="array" ref="AA537">IFERROR(VLOOKUP($X537,$AN:AQ,COLUMN(AQ:AQ)-COLUMN($AN:$AN)+1,FALSE),"")</f>
        <v>0.75 GAL</v>
      </c>
      <c r="AC537" s="1" t="str" cm="1">
        <f t="array" ref="AC537">IFERROR(VLOOKUP($X537,$AN:AS,COLUMN(AS:AS)-COLUMN($AN:$AN)+1,FALSE),"")</f>
        <v>STEEL GRAY</v>
      </c>
      <c r="AD537" s="1" t="s">
        <v>19</v>
      </c>
      <c r="AF537" s="1">
        <f>Table1[[#This Row],[C:C]]*1.1</f>
        <v>0</v>
      </c>
      <c r="AI537" s="1">
        <f>IFERROR(VLOOKUP(X537,#REF!,8,FALSE),0)</f>
        <v>0</v>
      </c>
      <c r="AN537" s="1" t="str">
        <f>PROD_ID_TABLE[[#This Row],[PROD ID]]</f>
        <v>POFLEX 1:1GRAY10</v>
      </c>
      <c r="AO537" s="1" t="str">
        <f t="shared" si="124"/>
        <v>GP 3555 EPOFLEX 1:1GRAY10 GAL</v>
      </c>
      <c r="AP537" s="3">
        <f t="shared" si="122"/>
        <v>946.31</v>
      </c>
      <c r="AQ537" s="1" t="str">
        <f t="shared" si="125"/>
        <v>10 GAL</v>
      </c>
      <c r="AR537" s="1" t="str">
        <f t="shared" si="123"/>
        <v>GP 3555 EPOFLEX 1:1GRAY10 GAL</v>
      </c>
      <c r="AS537" s="1" t="str">
        <f t="shared" si="126"/>
        <v>GRAY</v>
      </c>
      <c r="AY537" s="63" t="str">
        <f t="shared" si="137"/>
        <v>POFLEX 1:1GRAY10</v>
      </c>
      <c r="AZ537" s="63" t="str">
        <f t="shared" si="138"/>
        <v>POFLEX 1:1</v>
      </c>
      <c r="BA537" s="63" t="str">
        <f t="shared" si="139"/>
        <v>GRAY</v>
      </c>
      <c r="BB537" s="63" t="str">
        <f t="shared" si="140"/>
        <v>10</v>
      </c>
      <c r="BC537" s="135">
        <f t="shared" si="136"/>
        <v>946.31</v>
      </c>
      <c r="BD537" s="62" t="s">
        <v>1046</v>
      </c>
      <c r="BE537" s="55" t="s">
        <v>317</v>
      </c>
      <c r="BF537" s="55" t="s">
        <v>410</v>
      </c>
      <c r="BG537" s="55" t="s">
        <v>364</v>
      </c>
    </row>
    <row r="538" spans="22:59" x14ac:dyDescent="0.35">
      <c r="V538" s="1" t="str">
        <v>EXT SMALL WHSE0.7</v>
      </c>
      <c r="X538" s="1" t="str">
        <f t="shared" si="131"/>
        <v>EXT SMALL BOTE0.7</v>
      </c>
      <c r="Y538" s="1" t="str" cm="1">
        <f t="array" ref="Y538">IFERROR(VLOOKUP($X538,$AN:AO,COLUMN(AO:AO)-COLUMN($AN:$AN)+1,FALSE),"")</f>
        <v>ACCELERA EXT SMALL 1R:1HBONE WHITE0.75 GAL</v>
      </c>
      <c r="Z538" s="63" cm="1">
        <f t="array" ref="Z538">IFERROR(VLOOKUP($X538,$AN:AP,COLUMN(AP:AP)-COLUMN($AN:$AN)+1,FALSE),"")</f>
        <v>127.12</v>
      </c>
      <c r="AA538" s="1" t="str" cm="1">
        <f t="array" ref="AA538">IFERROR(VLOOKUP($X538,$AN:AQ,COLUMN(AQ:AQ)-COLUMN($AN:$AN)+1,FALSE),"")</f>
        <v>0.75 GAL</v>
      </c>
      <c r="AC538" s="1" t="str" cm="1">
        <f t="array" ref="AC538">IFERROR(VLOOKUP($X538,$AN:AS,COLUMN(AS:AS)-COLUMN($AN:$AN)+1,FALSE),"")</f>
        <v>BONE WHITE</v>
      </c>
      <c r="AD538" s="1" t="s">
        <v>19</v>
      </c>
      <c r="AF538" s="1">
        <f>Table1[[#This Row],[C:C]]*1.1</f>
        <v>0</v>
      </c>
      <c r="AI538" s="1">
        <f>IFERROR(VLOOKUP(X538,#REF!,8,FALSE),0)</f>
        <v>0</v>
      </c>
      <c r="AN538" s="1" t="str">
        <f>PROD_ID_TABLE[[#This Row],[PROD ID]]</f>
        <v xml:space="preserve">3760 MPE MN//A3 </v>
      </c>
      <c r="AO538" s="1" t="str">
        <f t="shared" si="124"/>
        <v>RESUFLOR 3760 MPE MULTI-PURPOSE EPOXYN/A3 GAL</v>
      </c>
      <c r="AP538" s="3">
        <f t="shared" si="122"/>
        <v>177.73</v>
      </c>
      <c r="AQ538" s="1" t="str">
        <f t="shared" si="125"/>
        <v>3 GAL</v>
      </c>
      <c r="AR538" s="1" t="str">
        <f t="shared" si="123"/>
        <v>RESUFLOR 3760 MPE MULTI-PURPOSE EPOXYN/A3 GAL</v>
      </c>
      <c r="AS538" s="1" t="str">
        <f t="shared" si="126"/>
        <v>N/A</v>
      </c>
      <c r="AY538" s="63" t="str">
        <f t="shared" si="137"/>
        <v xml:space="preserve">3760 MPE MN//A3 </v>
      </c>
      <c r="AZ538" s="63" t="str">
        <f t="shared" si="138"/>
        <v>3760 MPE M</v>
      </c>
      <c r="BA538" s="63" t="str">
        <f t="shared" si="139"/>
        <v>N//A</v>
      </c>
      <c r="BB538" s="63" t="str">
        <f t="shared" si="140"/>
        <v xml:space="preserve">3 </v>
      </c>
      <c r="BC538" s="135">
        <f t="shared" si="136"/>
        <v>177.73</v>
      </c>
      <c r="BD538" s="1" t="s">
        <v>345</v>
      </c>
      <c r="BE538" s="14" t="s">
        <v>398</v>
      </c>
      <c r="BF538" s="14" t="s">
        <v>407</v>
      </c>
      <c r="BG538" s="14" t="s">
        <v>311</v>
      </c>
    </row>
    <row r="539" spans="22:59" x14ac:dyDescent="0.35">
      <c r="V539" s="1" t="str">
        <v>EXT SMALL CLAR1.5</v>
      </c>
      <c r="X539" s="1" t="str">
        <f t="shared" si="131"/>
        <v>EXT SMALL SIAY0.7</v>
      </c>
      <c r="Y539" s="1" t="str" cm="1">
        <f t="array" ref="Y539">IFERROR(VLOOKUP($X539,$AN:AO,COLUMN(AO:AO)-COLUMN($AN:$AN)+1,FALSE),"")</f>
        <v>ACCELERA EXT SMALL 1R:1HSILVER GRAY0.75 GAL</v>
      </c>
      <c r="Z539" s="63" cm="1">
        <f t="array" ref="Z539">IFERROR(VLOOKUP($X539,$AN:AP,COLUMN(AP:AP)-COLUMN($AN:$AN)+1,FALSE),"")</f>
        <v>127.12</v>
      </c>
      <c r="AA539" s="1" t="str" cm="1">
        <f t="array" ref="AA539">IFERROR(VLOOKUP($X539,$AN:AQ,COLUMN(AQ:AQ)-COLUMN($AN:$AN)+1,FALSE),"")</f>
        <v>0.75 GAL</v>
      </c>
      <c r="AC539" s="1" t="str" cm="1">
        <f t="array" ref="AC539">IFERROR(VLOOKUP($X539,$AN:AS,COLUMN(AS:AS)-COLUMN($AN:$AN)+1,FALSE),"")</f>
        <v>SILVER GRAY</v>
      </c>
      <c r="AD539" s="1" t="s">
        <v>19</v>
      </c>
      <c r="AF539" s="1">
        <f>Table1[[#This Row],[C:C]]*1.1</f>
        <v>0</v>
      </c>
      <c r="AI539" s="1">
        <f>IFERROR(VLOOKUP(X539,#REF!,8,FALSE),0)</f>
        <v>0</v>
      </c>
      <c r="AN539" s="1" t="str">
        <f>PROD_ID_TABLE[[#This Row],[PROD ID]]</f>
        <v>3760 MPE MN//A15</v>
      </c>
      <c r="AO539" s="1" t="str">
        <f t="shared" si="124"/>
        <v>RESUFLOR 3760 MPE MULTI-PURPOSE EPOXYN/A15 GAL</v>
      </c>
      <c r="AP539" s="3">
        <f t="shared" si="122"/>
        <v>847.44</v>
      </c>
      <c r="AQ539" s="1" t="str">
        <f t="shared" si="125"/>
        <v>15 GAL</v>
      </c>
      <c r="AR539" s="1" t="str">
        <f t="shared" si="123"/>
        <v>RESUFLOR 3760 MPE MULTI-PURPOSE EPOXYN/A15 GAL</v>
      </c>
      <c r="AS539" s="1" t="str">
        <f t="shared" si="126"/>
        <v>N/A</v>
      </c>
      <c r="AY539" s="63" t="str">
        <f t="shared" si="137"/>
        <v>3760 MPE MN//A15</v>
      </c>
      <c r="AZ539" s="63" t="str">
        <f t="shared" si="138"/>
        <v>3760 MPE M</v>
      </c>
      <c r="BA539" s="63" t="str">
        <f t="shared" si="139"/>
        <v>N//A</v>
      </c>
      <c r="BB539" s="63" t="str">
        <f t="shared" si="140"/>
        <v>15</v>
      </c>
      <c r="BC539" s="135">
        <f t="shared" si="136"/>
        <v>847.44</v>
      </c>
      <c r="BD539" s="1" t="s">
        <v>345</v>
      </c>
      <c r="BE539" s="14" t="s">
        <v>398</v>
      </c>
      <c r="BF539" s="14" t="s">
        <v>408</v>
      </c>
      <c r="BG539" s="14" t="s">
        <v>311</v>
      </c>
    </row>
    <row r="540" spans="22:59" x14ac:dyDescent="0.35">
      <c r="V540" s="1" t="str">
        <v>EXT SMALL CUOM1.5</v>
      </c>
      <c r="X540" s="1" t="str">
        <f t="shared" si="131"/>
        <v>EXT SMALL WHTE0.7</v>
      </c>
      <c r="Y540" s="1" t="str" cm="1">
        <f t="array" ref="Y540">IFERROR(VLOOKUP($X540,$AN:AO,COLUMN(AO:AO)-COLUMN($AN:$AN)+1,FALSE),"")</f>
        <v>ACCELERA EXT SMALL 1R:1HWHITE0.75 GAL</v>
      </c>
      <c r="Z540" s="63" cm="1">
        <f t="array" ref="Z540">IFERROR(VLOOKUP($X540,$AN:AP,COLUMN(AP:AP)-COLUMN($AN:$AN)+1,FALSE),"")</f>
        <v>127.12</v>
      </c>
      <c r="AA540" s="1" t="str" cm="1">
        <f t="array" ref="AA540">IFERROR(VLOOKUP($X540,$AN:AQ,COLUMN(AQ:AQ)-COLUMN($AN:$AN)+1,FALSE),"")</f>
        <v>0.75 GAL</v>
      </c>
      <c r="AC540" s="1" t="str" cm="1">
        <f t="array" ref="AC540">IFERROR(VLOOKUP($X540,$AN:AS,COLUMN(AS:AS)-COLUMN($AN:$AN)+1,FALSE),"")</f>
        <v>WHITE</v>
      </c>
      <c r="AD540" s="1" t="s">
        <v>19</v>
      </c>
      <c r="AF540" s="1">
        <f>Table1[[#This Row],[C:C]]*1.1</f>
        <v>0</v>
      </c>
      <c r="AI540" s="1">
        <f>IFERROR(VLOOKUP(X540,#REF!,8,FALSE),0)</f>
        <v>0</v>
      </c>
      <c r="AN540" s="1" t="str">
        <f>PROD_ID_TABLE[[#This Row],[PROD ID]]</f>
        <v>3760 MPE MN//A16</v>
      </c>
      <c r="AO540" s="1" t="str">
        <f t="shared" si="124"/>
        <v>RESUFLOR 3760 MPE MULTI-PURPOSE EPOXYN/A165 GAL</v>
      </c>
      <c r="AP540" s="3">
        <f t="shared" si="122"/>
        <v>16242.6</v>
      </c>
      <c r="AQ540" s="1" t="str">
        <f t="shared" si="125"/>
        <v>165 GAL</v>
      </c>
      <c r="AR540" s="1" t="str">
        <f t="shared" si="123"/>
        <v>RESUFLOR 3760 MPE MULTI-PURPOSE EPOXYN/A165 GAL</v>
      </c>
      <c r="AS540" s="1" t="str">
        <f t="shared" si="126"/>
        <v>N/A</v>
      </c>
      <c r="AY540" s="63" t="str">
        <f t="shared" si="137"/>
        <v>3760 MPE MN//A16</v>
      </c>
      <c r="AZ540" s="63" t="str">
        <f t="shared" si="138"/>
        <v>3760 MPE M</v>
      </c>
      <c r="BA540" s="63" t="str">
        <f t="shared" si="139"/>
        <v>N//A</v>
      </c>
      <c r="BB540" s="63" t="str">
        <f t="shared" si="140"/>
        <v>16</v>
      </c>
      <c r="BC540" s="135">
        <f t="shared" si="136"/>
        <v>16242.6</v>
      </c>
      <c r="BD540" s="1" t="s">
        <v>345</v>
      </c>
      <c r="BE540" s="14" t="s">
        <v>398</v>
      </c>
      <c r="BF540" s="14" t="s">
        <v>1040</v>
      </c>
      <c r="BG540" s="14" t="s">
        <v>311</v>
      </c>
    </row>
    <row r="541" spans="22:59" x14ac:dyDescent="0.35">
      <c r="V541" s="1" t="str">
        <v>EXT SMALL MEAY1.5</v>
      </c>
      <c r="X541" s="1" t="str">
        <f t="shared" si="131"/>
        <v>EXT SMALL BLCK0.7</v>
      </c>
      <c r="Y541" s="1" t="str" cm="1">
        <f t="array" ref="Y541">IFERROR(VLOOKUP($X541,$AN:AO,COLUMN(AO:AO)-COLUMN($AN:$AN)+1,FALSE),"")</f>
        <v>ACCELERA EXT SMALL 1R:1HBLACK0.75 GAL</v>
      </c>
      <c r="Z541" s="63" cm="1">
        <f t="array" ref="Z541">IFERROR(VLOOKUP($X541,$AN:AP,COLUMN(AP:AP)-COLUMN($AN:$AN)+1,FALSE),"")</f>
        <v>127.12</v>
      </c>
      <c r="AA541" s="1" t="str" cm="1">
        <f t="array" ref="AA541">IFERROR(VLOOKUP($X541,$AN:AQ,COLUMN(AQ:AQ)-COLUMN($AN:$AN)+1,FALSE),"")</f>
        <v>0.75 GAL</v>
      </c>
      <c r="AC541" s="1" t="str" cm="1">
        <f t="array" ref="AC541">IFERROR(VLOOKUP($X541,$AN:AS,COLUMN(AS:AS)-COLUMN($AN:$AN)+1,FALSE),"")</f>
        <v>BLACK</v>
      </c>
      <c r="AD541" s="1" t="s">
        <v>19</v>
      </c>
      <c r="AF541" s="1">
        <f>Table1[[#This Row],[C:C]]*1.1</f>
        <v>0</v>
      </c>
      <c r="AI541" s="1">
        <f>IFERROR(VLOOKUP(X541,#REF!,8,FALSE),0)</f>
        <v>0</v>
      </c>
      <c r="AN541" s="1" t="str">
        <f>PROD_ID_TABLE[[#This Row],[PROD ID]]</f>
        <v>TUBES / CACHAYTU</v>
      </c>
      <c r="AO541" s="1" t="str">
        <f t="shared" si="124"/>
        <v>RS88 (12 TUBES / CASE)CHATEAU GRAYTUBE</v>
      </c>
      <c r="AP541" s="3">
        <f>BC541</f>
        <v>38.5</v>
      </c>
      <c r="AQ541" s="1" t="str">
        <f t="shared" si="125"/>
        <v>TUBE</v>
      </c>
      <c r="AR541" s="1" t="str">
        <f t="shared" si="123"/>
        <v>RS88 (12 TUBES / CASE)CHATEAU GRAYTUBE</v>
      </c>
      <c r="AS541" s="1" t="str">
        <f t="shared" si="126"/>
        <v>CHATEAU GRAY</v>
      </c>
      <c r="AY541" s="63" t="str">
        <f t="shared" si="137"/>
        <v>TUBES / CACHAYTU</v>
      </c>
      <c r="AZ541" s="63" t="str">
        <f t="shared" si="138"/>
        <v>TUBES / CA</v>
      </c>
      <c r="BA541" s="63" t="str">
        <f t="shared" si="139"/>
        <v>CHAY</v>
      </c>
      <c r="BB541" s="63" t="str">
        <f t="shared" si="140"/>
        <v>TU</v>
      </c>
      <c r="BC541" s="135">
        <f>IFERROR(VLOOKUP(BD541&amp;BF541,AV:AW,2,FALSE),0)</f>
        <v>38.5</v>
      </c>
      <c r="BD541" s="1" t="s">
        <v>720</v>
      </c>
      <c r="BE541" s="1" t="s">
        <v>523</v>
      </c>
      <c r="BF541" s="1" t="s">
        <v>503</v>
      </c>
    </row>
    <row r="542" spans="22:59" x14ac:dyDescent="0.35">
      <c r="V542" s="1" t="str">
        <v>EXT SMALL CAAY1.5</v>
      </c>
      <c r="X542" s="1" t="str">
        <f t="shared" si="131"/>
        <v>EXT SMALL PANT0.7</v>
      </c>
      <c r="Y542" s="1" t="str" cm="1">
        <f t="array" ref="Y542">IFERROR(VLOOKUP($X542,$AN:AO,COLUMN(AO:AO)-COLUMN($AN:$AN)+1,FALSE),"")</f>
        <v>ACCELERA EXT SMALL 1R:1HPARCHMENT0.75 GAL</v>
      </c>
      <c r="Z542" s="63" cm="1">
        <f t="array" ref="Z542">IFERROR(VLOOKUP($X542,$AN:AP,COLUMN(AP:AP)-COLUMN($AN:$AN)+1,FALSE),"")</f>
        <v>127.12</v>
      </c>
      <c r="AA542" s="1" t="str" cm="1">
        <f t="array" ref="AA542">IFERROR(VLOOKUP($X542,$AN:AQ,COLUMN(AQ:AQ)-COLUMN($AN:$AN)+1,FALSE),"")</f>
        <v>0.75 GAL</v>
      </c>
      <c r="AC542" s="1" t="str" cm="1">
        <f t="array" ref="AC542">IFERROR(VLOOKUP($X542,$AN:AS,COLUMN(AS:AS)-COLUMN($AN:$AN)+1,FALSE),"")</f>
        <v>PARCHMENT</v>
      </c>
      <c r="AD542" s="1" t="s">
        <v>19</v>
      </c>
      <c r="AF542" s="1">
        <f>Table1[[#This Row],[C:C]]*1.1</f>
        <v>0</v>
      </c>
      <c r="AI542" s="1">
        <f>IFERROR(VLOOKUP(X542,#REF!,8,FALSE),0)</f>
        <v>0</v>
      </c>
      <c r="AN542" s="1" t="str">
        <f>PROD_ID_TABLE[[#This Row],[PROD ID]]</f>
        <v>TUBES / CASTAYTU</v>
      </c>
      <c r="AO542" s="1" t="str">
        <f t="shared" si="124"/>
        <v>RS88 (12 TUBES / CASE)STANDARD GRAYTUBE</v>
      </c>
      <c r="AP542" s="3">
        <f t="shared" si="122"/>
        <v>38.5</v>
      </c>
      <c r="AQ542" s="1" t="str">
        <f t="shared" si="125"/>
        <v>TUBE</v>
      </c>
      <c r="AR542" s="1" t="str">
        <f t="shared" si="123"/>
        <v>RS88 (12 TUBES / CASE)STANDARD GRAYTUBE</v>
      </c>
      <c r="AS542" s="1" t="str">
        <f t="shared" si="126"/>
        <v>STANDARD GRAY</v>
      </c>
      <c r="AY542" s="63" t="str">
        <f t="shared" si="137"/>
        <v>TUBES / CASTAYTU</v>
      </c>
      <c r="AZ542" s="63" t="str">
        <f t="shared" si="138"/>
        <v>TUBES / CA</v>
      </c>
      <c r="BA542" s="63" t="str">
        <f t="shared" si="139"/>
        <v>STAY</v>
      </c>
      <c r="BB542" s="63" t="str">
        <f t="shared" si="140"/>
        <v>TU</v>
      </c>
      <c r="BC542" s="135">
        <f t="shared" si="136"/>
        <v>38.5</v>
      </c>
      <c r="BD542" s="1" t="s">
        <v>720</v>
      </c>
      <c r="BE542" s="1" t="s">
        <v>521</v>
      </c>
      <c r="BF542" s="1" t="s">
        <v>503</v>
      </c>
    </row>
    <row r="543" spans="22:59" x14ac:dyDescent="0.35">
      <c r="V543" s="1" t="str">
        <v>EXT SMALL CHAL1.5</v>
      </c>
      <c r="X543" s="1" t="str">
        <f t="shared" si="131"/>
        <v>EXT SMALL SAED0.7</v>
      </c>
      <c r="Y543" s="1" t="str" cm="1">
        <f t="array" ref="Y543">IFERROR(VLOOKUP($X543,$AN:AO,COLUMN(AO:AO)-COLUMN($AN:$AN)+1,FALSE),"")</f>
        <v>ACCELERA EXT SMALL 1R:1HSAFETY RED0.75 GAL</v>
      </c>
      <c r="Z543" s="63" cm="1">
        <f t="array" ref="Z543">IFERROR(VLOOKUP($X543,$AN:AP,COLUMN(AP:AP)-COLUMN($AN:$AN)+1,FALSE),"")</f>
        <v>127.12</v>
      </c>
      <c r="AA543" s="1" t="str" cm="1">
        <f t="array" ref="AA543">IFERROR(VLOOKUP($X543,$AN:AQ,COLUMN(AQ:AQ)-COLUMN($AN:$AN)+1,FALSE),"")</f>
        <v>0.75 GAL</v>
      </c>
      <c r="AC543" s="1" t="str" cm="1">
        <f t="array" ref="AC543">IFERROR(VLOOKUP($X543,$AN:AS,COLUMN(AS:AS)-COLUMN($AN:$AN)+1,FALSE),"")</f>
        <v>SAFETY RED</v>
      </c>
      <c r="AD543" s="1" t="s">
        <v>19</v>
      </c>
      <c r="AF543" s="1">
        <f>Table1[[#This Row],[C:C]]*1.1</f>
        <v>0</v>
      </c>
      <c r="AI543" s="1">
        <f>IFERROR(VLOOKUP(X543,#REF!,8,FALSE),0)</f>
        <v>0</v>
      </c>
      <c r="AN543" s="1" t="str">
        <f>PROD_ID_TABLE[[#This Row],[PROD ID]]</f>
        <v>TUBES / CAGREATU</v>
      </c>
      <c r="AO543" s="1" t="str">
        <f t="shared" ref="AO543:AO553" si="141">_xlfn.CONCAT(BD543:BF543)</f>
        <v>RS88 (12 TUBES / CASE)GRAY AREATUBE</v>
      </c>
      <c r="AP543" s="3">
        <f t="shared" si="122"/>
        <v>38.5</v>
      </c>
      <c r="AQ543" s="1" t="str">
        <f t="shared" ref="AQ543:AQ553" si="142">BF543</f>
        <v>TUBE</v>
      </c>
      <c r="AR543" s="1" t="str">
        <f t="shared" si="123"/>
        <v>RS88 (12 TUBES / CASE)GRAY AREATUBE</v>
      </c>
      <c r="AS543" s="1" t="str">
        <f t="shared" si="126"/>
        <v>GRAY AREA</v>
      </c>
      <c r="AY543" s="63" t="str">
        <f t="shared" ref="AY543:AY552" si="143">_xlfn.CONCAT(AZ543:BB543)</f>
        <v>TUBES / CAGREATU</v>
      </c>
      <c r="AZ543" s="63" t="str">
        <f t="shared" ref="AZ543:AZ552" si="144">MID(BD543,10,10)</f>
        <v>TUBES / CA</v>
      </c>
      <c r="BA543" s="63" t="str">
        <f t="shared" ref="BA543:BA552" si="145">LEFT(BE543,2)&amp;RIGHT(BE543,2)</f>
        <v>GREA</v>
      </c>
      <c r="BB543" s="63" t="str">
        <f t="shared" ref="BB543:BB552" si="146">LEFT(BF543,2)</f>
        <v>TU</v>
      </c>
      <c r="BC543" s="135">
        <f t="shared" si="136"/>
        <v>38.5</v>
      </c>
      <c r="BD543" s="1" t="s">
        <v>720</v>
      </c>
      <c r="BE543" s="1" t="s">
        <v>522</v>
      </c>
      <c r="BF543" s="1" t="s">
        <v>503</v>
      </c>
    </row>
    <row r="544" spans="22:59" x14ac:dyDescent="0.35">
      <c r="V544" s="1" t="str">
        <v>EXT SMALL STAY1.5</v>
      </c>
      <c r="X544" s="1" t="str">
        <f t="shared" si="131"/>
        <v>EXT SMALL SAOW0.7</v>
      </c>
      <c r="Y544" s="1" t="str" cm="1">
        <f t="array" ref="Y544">IFERROR(VLOOKUP($X544,$AN:AO,COLUMN(AO:AO)-COLUMN($AN:$AN)+1,FALSE),"")</f>
        <v>ACCELERA EXT SMALL 1R:1HSAFETY YELLOW0.75 GAL</v>
      </c>
      <c r="Z544" s="63" cm="1">
        <f t="array" ref="Z544">IFERROR(VLOOKUP($X544,$AN:AP,COLUMN(AP:AP)-COLUMN($AN:$AN)+1,FALSE),"")</f>
        <v>127.12</v>
      </c>
      <c r="AA544" s="1" t="str" cm="1">
        <f t="array" ref="AA544">IFERROR(VLOOKUP($X544,$AN:AQ,COLUMN(AQ:AQ)-COLUMN($AN:$AN)+1,FALSE),"")</f>
        <v>0.75 GAL</v>
      </c>
      <c r="AC544" s="1" t="str" cm="1">
        <f t="array" ref="AC544">IFERROR(VLOOKUP($X544,$AN:AS,COLUMN(AS:AS)-COLUMN($AN:$AN)+1,FALSE),"")</f>
        <v>SAFETY YELLOW</v>
      </c>
      <c r="AD544" s="1" t="s">
        <v>19</v>
      </c>
      <c r="AF544" s="1">
        <f>Table1[[#This Row],[C:C]]*1.1</f>
        <v>0</v>
      </c>
      <c r="AI544" s="1">
        <f>IFERROR(VLOOKUP(X544,#REF!,8,FALSE),0)</f>
        <v>0</v>
      </c>
      <c r="AN544" s="1" t="str">
        <f>PROD_ID_TABLE[[#This Row],[PROD ID]]</f>
        <v>TUBES / CABREDTU</v>
      </c>
      <c r="AO544" s="1" t="str">
        <f t="shared" si="141"/>
        <v>RS88 (12 TUBES / CASE)BRICKPAVER REDTUBE</v>
      </c>
      <c r="AP544" s="3">
        <f t="shared" si="122"/>
        <v>38.5</v>
      </c>
      <c r="AQ544" s="1" t="str">
        <f t="shared" si="142"/>
        <v>TUBE</v>
      </c>
      <c r="AR544" s="1" t="str">
        <f t="shared" si="123"/>
        <v>RS88 (12 TUBES / CASE)BRICKPAVER REDTUBE</v>
      </c>
      <c r="AS544" s="1" t="str">
        <f t="shared" si="126"/>
        <v>BRICKPAVER RED</v>
      </c>
      <c r="AY544" s="63" t="str">
        <f t="shared" si="143"/>
        <v>TUBES / CABREDTU</v>
      </c>
      <c r="AZ544" s="63" t="str">
        <f t="shared" si="144"/>
        <v>TUBES / CA</v>
      </c>
      <c r="BA544" s="63" t="str">
        <f t="shared" si="145"/>
        <v>BRED</v>
      </c>
      <c r="BB544" s="63" t="str">
        <f t="shared" si="146"/>
        <v>TU</v>
      </c>
      <c r="BC544" s="135">
        <f t="shared" si="136"/>
        <v>38.5</v>
      </c>
      <c r="BD544" s="1" t="s">
        <v>720</v>
      </c>
      <c r="BE544" s="1" t="s">
        <v>1048</v>
      </c>
      <c r="BF544" s="1" t="s">
        <v>503</v>
      </c>
    </row>
    <row r="545" spans="22:59" x14ac:dyDescent="0.35">
      <c r="V545" s="1" t="str">
        <v>EXT SMALL BOTE1.5</v>
      </c>
      <c r="X545" s="1" t="str">
        <f t="shared" si="131"/>
        <v>EXT SMALL ROUE0.7</v>
      </c>
      <c r="Y545" s="1" t="str" cm="1">
        <f t="array" ref="Y545">IFERROR(VLOOKUP($X545,$AN:AO,COLUMN(AO:AO)-COLUMN($AN:$AN)+1,FALSE),"")</f>
        <v>ACCELERA EXT SMALL 1R:1HROYAL BLUE0.75 GAL</v>
      </c>
      <c r="Z545" s="63" cm="1">
        <f t="array" ref="Z545">IFERROR(VLOOKUP($X545,$AN:AP,COLUMN(AP:AP)-COLUMN($AN:$AN)+1,FALSE),"")</f>
        <v>127.12</v>
      </c>
      <c r="AA545" s="1" t="str" cm="1">
        <f t="array" ref="AA545">IFERROR(VLOOKUP($X545,$AN:AQ,COLUMN(AQ:AQ)-COLUMN($AN:$AN)+1,FALSE),"")</f>
        <v>0.75 GAL</v>
      </c>
      <c r="AC545" s="1" t="str" cm="1">
        <f t="array" ref="AC545">IFERROR(VLOOKUP($X545,$AN:AS,COLUMN(AS:AS)-COLUMN($AN:$AN)+1,FALSE),"")</f>
        <v>ROYAL BLUE</v>
      </c>
      <c r="AD545" s="1" t="s">
        <v>19</v>
      </c>
      <c r="AF545" s="1">
        <f>Table1[[#This Row],[C:C]]*1.1</f>
        <v>0</v>
      </c>
      <c r="AI545" s="1">
        <f>IFERROR(VLOOKUP(X545,#REF!,8,FALSE),0)</f>
        <v>0</v>
      </c>
      <c r="AN545" s="1" t="str">
        <f>PROD_ID_TABLE[[#This Row],[PROD ID]]</f>
        <v>TUBES / CAOTERTU</v>
      </c>
      <c r="AO545" s="1" t="str">
        <f t="shared" si="141"/>
        <v>RS88 (12 TUBES / CASE)OTHERTUBE</v>
      </c>
      <c r="AP545" s="3">
        <f t="shared" si="122"/>
        <v>38.5</v>
      </c>
      <c r="AQ545" s="1" t="str">
        <f t="shared" si="142"/>
        <v>TUBE</v>
      </c>
      <c r="AR545" s="1" t="str">
        <f t="shared" si="123"/>
        <v>RS88 (12 TUBES / CASE)OTHERTUBE</v>
      </c>
      <c r="AS545" s="1" t="str">
        <f t="shared" si="126"/>
        <v>OTHER</v>
      </c>
      <c r="AY545" s="63" t="str">
        <f t="shared" si="143"/>
        <v>TUBES / CAOTERTU</v>
      </c>
      <c r="AZ545" s="63" t="str">
        <f t="shared" si="144"/>
        <v>TUBES / CA</v>
      </c>
      <c r="BA545" s="63" t="str">
        <f t="shared" si="145"/>
        <v>OTER</v>
      </c>
      <c r="BB545" s="63" t="str">
        <f t="shared" si="146"/>
        <v>TU</v>
      </c>
      <c r="BC545" s="135">
        <f t="shared" si="136"/>
        <v>38.5</v>
      </c>
      <c r="BD545" s="1" t="s">
        <v>720</v>
      </c>
      <c r="BE545" s="1" t="s">
        <v>1049</v>
      </c>
      <c r="BF545" s="1" t="s">
        <v>503</v>
      </c>
    </row>
    <row r="546" spans="22:59" x14ac:dyDescent="0.35">
      <c r="V546" s="1" t="str">
        <v>EXT SMALL SIAY1.5</v>
      </c>
      <c r="X546" s="1" t="str">
        <f t="shared" si="131"/>
        <v>EXT SMALL PEER0.7</v>
      </c>
      <c r="Y546" s="1" t="str" cm="1">
        <f t="array" ref="Y546">IFERROR(VLOOKUP($X546,$AN:AO,COLUMN(AO:AO)-COLUMN($AN:$AN)+1,FALSE),"")</f>
        <v>ACCELERA EXT SMALL 1R:1HPEWTER0.75 GAL</v>
      </c>
      <c r="Z546" s="63" cm="1">
        <f t="array" ref="Z546">IFERROR(VLOOKUP($X546,$AN:AP,COLUMN(AP:AP)-COLUMN($AN:$AN)+1,FALSE),"")</f>
        <v>127.12</v>
      </c>
      <c r="AA546" s="1" t="str" cm="1">
        <f t="array" ref="AA546">IFERROR(VLOOKUP($X546,$AN:AQ,COLUMN(AQ:AQ)-COLUMN($AN:$AN)+1,FALSE),"")</f>
        <v>0.75 GAL</v>
      </c>
      <c r="AC546" s="1" t="str" cm="1">
        <f t="array" ref="AC546">IFERROR(VLOOKUP($X546,$AN:AS,COLUMN(AS:AS)-COLUMN($AN:$AN)+1,FALSE),"")</f>
        <v>PEWTER</v>
      </c>
      <c r="AD546" s="1" t="s">
        <v>19</v>
      </c>
      <c r="AF546" s="1">
        <f>Table1[[#This Row],[C:C]]*1.1</f>
        <v>0</v>
      </c>
      <c r="AI546" s="1">
        <f>IFERROR(VLOOKUP(X546,#REF!,8,FALSE),0)</f>
        <v>0</v>
      </c>
      <c r="AN546" s="1" t="str">
        <f>PROD_ID_TABLE[[#This Row],[PROD ID]]</f>
        <v>TUBES / CACHAYCA</v>
      </c>
      <c r="AO546" s="1" t="str">
        <f t="shared" si="141"/>
        <v>RS88 (12 TUBES / CASE)CHATEAU GRAYCASE</v>
      </c>
      <c r="AP546" s="3">
        <f t="shared" si="122"/>
        <v>462</v>
      </c>
      <c r="AQ546" s="1" t="str">
        <f t="shared" si="142"/>
        <v>CASE</v>
      </c>
      <c r="AR546" s="1" t="str">
        <f t="shared" si="123"/>
        <v>RS88 (12 TUBES / CASE)CHATEAU GRAYCASE</v>
      </c>
      <c r="AS546" s="1" t="str">
        <f t="shared" si="126"/>
        <v>CHATEAU GRAY</v>
      </c>
      <c r="AY546" s="63" t="str">
        <f t="shared" si="143"/>
        <v>TUBES / CACHAYCA</v>
      </c>
      <c r="AZ546" s="63" t="str">
        <f t="shared" si="144"/>
        <v>TUBES / CA</v>
      </c>
      <c r="BA546" s="63" t="str">
        <f t="shared" si="145"/>
        <v>CHAY</v>
      </c>
      <c r="BB546" s="63" t="str">
        <f t="shared" si="146"/>
        <v>CA</v>
      </c>
      <c r="BC546" s="135">
        <f t="shared" si="136"/>
        <v>462</v>
      </c>
      <c r="BD546" s="1" t="s">
        <v>720</v>
      </c>
      <c r="BE546" s="1" t="s">
        <v>523</v>
      </c>
      <c r="BF546" s="1" t="s">
        <v>878</v>
      </c>
    </row>
    <row r="547" spans="22:59" x14ac:dyDescent="0.35">
      <c r="V547" s="1" t="str">
        <v>EXT SMALL WHTE1.5</v>
      </c>
      <c r="X547" s="1" t="str">
        <f t="shared" si="131"/>
        <v>EXT SMALL CLLE0.7</v>
      </c>
      <c r="Y547" s="1" t="str" cm="1">
        <f t="array" ref="Y547">IFERROR(VLOOKUP($X547,$AN:AO,COLUMN(AO:AO)-COLUMN($AN:$AN)+1,FALSE),"")</f>
        <v>ACCELERA EXT SMALL 1R:1HCLASIC RED TILE0.75 GAL</v>
      </c>
      <c r="Z547" s="63" cm="1">
        <f t="array" ref="Z547">IFERROR(VLOOKUP($X547,$AN:AP,COLUMN(AP:AP)-COLUMN($AN:$AN)+1,FALSE),"")</f>
        <v>127.12</v>
      </c>
      <c r="AA547" s="1" t="str" cm="1">
        <f t="array" ref="AA547">IFERROR(VLOOKUP($X547,$AN:AQ,COLUMN(AQ:AQ)-COLUMN($AN:$AN)+1,FALSE),"")</f>
        <v>0.75 GAL</v>
      </c>
      <c r="AC547" s="1" t="str" cm="1">
        <f t="array" ref="AC547">IFERROR(VLOOKUP($X547,$AN:AS,COLUMN(AS:AS)-COLUMN($AN:$AN)+1,FALSE),"")</f>
        <v>CLASIC RED TILE</v>
      </c>
      <c r="AD547" s="1" t="s">
        <v>19</v>
      </c>
      <c r="AF547" s="1">
        <f>Table1[[#This Row],[C:C]]*1.1</f>
        <v>0</v>
      </c>
      <c r="AI547" s="1">
        <f>IFERROR(VLOOKUP(X547,#REF!,8,FALSE),0)</f>
        <v>0</v>
      </c>
      <c r="AN547" s="1" t="str">
        <f>PROD_ID_TABLE[[#This Row],[PROD ID]]</f>
        <v>TUBES / CASTAYCA</v>
      </c>
      <c r="AO547" s="1" t="str">
        <f t="shared" si="141"/>
        <v>RS88 (12 TUBES / CASE)STANDARD GRAYCASE</v>
      </c>
      <c r="AP547" s="3">
        <f t="shared" si="122"/>
        <v>462</v>
      </c>
      <c r="AQ547" s="1" t="str">
        <f t="shared" si="142"/>
        <v>CASE</v>
      </c>
      <c r="AR547" s="1" t="str">
        <f t="shared" si="123"/>
        <v>RS88 (12 TUBES / CASE)STANDARD GRAYCASE</v>
      </c>
      <c r="AS547" s="1" t="str">
        <f t="shared" si="126"/>
        <v>STANDARD GRAY</v>
      </c>
      <c r="AY547" s="63" t="str">
        <f t="shared" si="143"/>
        <v>TUBES / CASTAYCA</v>
      </c>
      <c r="AZ547" s="63" t="str">
        <f t="shared" si="144"/>
        <v>TUBES / CA</v>
      </c>
      <c r="BA547" s="63" t="str">
        <f t="shared" si="145"/>
        <v>STAY</v>
      </c>
      <c r="BB547" s="63" t="str">
        <f t="shared" si="146"/>
        <v>CA</v>
      </c>
      <c r="BC547" s="135">
        <f t="shared" si="136"/>
        <v>462</v>
      </c>
      <c r="BD547" s="1" t="s">
        <v>720</v>
      </c>
      <c r="BE547" s="1" t="s">
        <v>521</v>
      </c>
      <c r="BF547" s="1" t="s">
        <v>878</v>
      </c>
    </row>
    <row r="548" spans="22:59" x14ac:dyDescent="0.35">
      <c r="V548" s="1" t="str">
        <v>EXT SMALL BLCK1.5</v>
      </c>
      <c r="X548" s="1" t="str">
        <f t="shared" si="131"/>
        <v>EXT SMALL CAEL0.7</v>
      </c>
      <c r="Y548" s="1" t="str" cm="1">
        <f t="array" ref="Y548">IFERROR(VLOOKUP($X548,$AN:AO,COLUMN(AO:AO)-COLUMN($AN:$AN)+1,FALSE),"")</f>
        <v>ACCELERA EXT SMALL 1R:1HCARAMEL0.75 GAL</v>
      </c>
      <c r="Z548" s="63" cm="1">
        <f t="array" ref="Z548">IFERROR(VLOOKUP($X548,$AN:AP,COLUMN(AP:AP)-COLUMN($AN:$AN)+1,FALSE),"")</f>
        <v>127.12</v>
      </c>
      <c r="AA548" s="1" t="str" cm="1">
        <f t="array" ref="AA548">IFERROR(VLOOKUP($X548,$AN:AQ,COLUMN(AQ:AQ)-COLUMN($AN:$AN)+1,FALSE),"")</f>
        <v>0.75 GAL</v>
      </c>
      <c r="AC548" s="1" t="str" cm="1">
        <f t="array" ref="AC548">IFERROR(VLOOKUP($X548,$AN:AS,COLUMN(AS:AS)-COLUMN($AN:$AN)+1,FALSE),"")</f>
        <v>CARAMEL</v>
      </c>
      <c r="AD548" s="1" t="s">
        <v>19</v>
      </c>
      <c r="AF548" s="1">
        <f>Table1[[#This Row],[C:C]]*1.1</f>
        <v>0</v>
      </c>
      <c r="AI548" s="1">
        <f>IFERROR(VLOOKUP(X548,#REF!,8,FALSE),0)</f>
        <v>0</v>
      </c>
      <c r="AN548" s="1" t="str">
        <f>PROD_ID_TABLE[[#This Row],[PROD ID]]</f>
        <v>TUBES / CAGREACA</v>
      </c>
      <c r="AO548" s="1" t="str">
        <f t="shared" si="141"/>
        <v>RS88 (12 TUBES / CASE)GRAY AREACASE</v>
      </c>
      <c r="AP548" s="3">
        <f t="shared" si="122"/>
        <v>462</v>
      </c>
      <c r="AQ548" s="1" t="str">
        <f t="shared" si="142"/>
        <v>CASE</v>
      </c>
      <c r="AR548" s="1" t="str">
        <f t="shared" si="123"/>
        <v>RS88 (12 TUBES / CASE)GRAY AREACASE</v>
      </c>
      <c r="AS548" s="1" t="str">
        <f t="shared" si="126"/>
        <v>GRAY AREA</v>
      </c>
      <c r="AY548" s="63" t="str">
        <f t="shared" si="143"/>
        <v>TUBES / CAGREACA</v>
      </c>
      <c r="AZ548" s="63" t="str">
        <f t="shared" si="144"/>
        <v>TUBES / CA</v>
      </c>
      <c r="BA548" s="63" t="str">
        <f t="shared" si="145"/>
        <v>GREA</v>
      </c>
      <c r="BB548" s="63" t="str">
        <f t="shared" si="146"/>
        <v>CA</v>
      </c>
      <c r="BC548" s="135">
        <f t="shared" si="136"/>
        <v>462</v>
      </c>
      <c r="BD548" s="1" t="s">
        <v>720</v>
      </c>
      <c r="BE548" s="1" t="s">
        <v>522</v>
      </c>
      <c r="BF548" s="1" t="s">
        <v>878</v>
      </c>
    </row>
    <row r="549" spans="22:59" x14ac:dyDescent="0.35">
      <c r="V549" s="1" t="str">
        <v>EXT SMALL PANT1.5</v>
      </c>
      <c r="X549" s="1" t="str">
        <f t="shared" si="131"/>
        <v>EXT SMALL ULSE0.7</v>
      </c>
      <c r="Y549" s="1" t="str" cm="1">
        <f t="array" ref="Y549">IFERROR(VLOOKUP($X549,$AN:AO,COLUMN(AO:AO)-COLUMN($AN:$AN)+1,FALSE),"")</f>
        <v>ACCELERA EXT SMALL 1R:1HULTRA DEEP BASE0.75 GAL</v>
      </c>
      <c r="Z549" s="63" cm="1">
        <f t="array" ref="Z549">IFERROR(VLOOKUP($X549,$AN:AP,COLUMN(AP:AP)-COLUMN($AN:$AN)+1,FALSE),"")</f>
        <v>127.12</v>
      </c>
      <c r="AA549" s="1" t="str" cm="1">
        <f t="array" ref="AA549">IFERROR(VLOOKUP($X549,$AN:AQ,COLUMN(AQ:AQ)-COLUMN($AN:$AN)+1,FALSE),"")</f>
        <v>0.75 GAL</v>
      </c>
      <c r="AC549" s="1" t="str" cm="1">
        <f t="array" ref="AC549">IFERROR(VLOOKUP($X549,$AN:AS,COLUMN(AS:AS)-COLUMN($AN:$AN)+1,FALSE),"")</f>
        <v>ULTRA DEEP BASE</v>
      </c>
      <c r="AD549" s="1" t="s">
        <v>19</v>
      </c>
      <c r="AF549" s="1">
        <f>Table1[[#This Row],[C:C]]*1.1</f>
        <v>0</v>
      </c>
      <c r="AI549" s="1">
        <f>IFERROR(VLOOKUP(X549,#REF!,8,FALSE),0)</f>
        <v>0</v>
      </c>
      <c r="AN549" s="1" t="str">
        <f>PROD_ID_TABLE[[#This Row],[PROD ID]]</f>
        <v>TUBES / CABREDCA</v>
      </c>
      <c r="AO549" s="1" t="str">
        <f t="shared" si="141"/>
        <v>RS88 (12 TUBES / CASE)BRICKPAVER REDCASE</v>
      </c>
      <c r="AP549" s="3">
        <f t="shared" si="122"/>
        <v>462</v>
      </c>
      <c r="AQ549" s="1" t="str">
        <f t="shared" si="142"/>
        <v>CASE</v>
      </c>
      <c r="AR549" s="1" t="str">
        <f t="shared" si="123"/>
        <v>RS88 (12 TUBES / CASE)BRICKPAVER REDCASE</v>
      </c>
      <c r="AS549" s="1" t="str">
        <f t="shared" si="126"/>
        <v>BRICKPAVER RED</v>
      </c>
      <c r="AY549" s="63" t="str">
        <f t="shared" si="143"/>
        <v>TUBES / CABREDCA</v>
      </c>
      <c r="AZ549" s="63" t="str">
        <f t="shared" si="144"/>
        <v>TUBES / CA</v>
      </c>
      <c r="BA549" s="63" t="str">
        <f t="shared" si="145"/>
        <v>BRED</v>
      </c>
      <c r="BB549" s="63" t="str">
        <f t="shared" si="146"/>
        <v>CA</v>
      </c>
      <c r="BC549" s="135">
        <f t="shared" si="136"/>
        <v>462</v>
      </c>
      <c r="BD549" s="1" t="s">
        <v>720</v>
      </c>
      <c r="BE549" s="1" t="s">
        <v>1048</v>
      </c>
      <c r="BF549" s="1" t="s">
        <v>878</v>
      </c>
    </row>
    <row r="550" spans="22:59" x14ac:dyDescent="0.35">
      <c r="V550" s="1" t="str">
        <v>EXT SMALL SAED1.5</v>
      </c>
      <c r="X550" s="1" t="str">
        <f t="shared" si="131"/>
        <v>EXT SMALL WHSE0.7</v>
      </c>
      <c r="Y550" s="1" t="str" cm="1">
        <f t="array" ref="Y550">IFERROR(VLOOKUP($X550,$AN:AO,COLUMN(AO:AO)-COLUMN($AN:$AN)+1,FALSE),"")</f>
        <v>ACCELERA EXT SMALL 1R:1HWHITE TINT BASE0.75 GAL</v>
      </c>
      <c r="Z550" s="63" cm="1">
        <f t="array" ref="Z550">IFERROR(VLOOKUP($X550,$AN:AP,COLUMN(AP:AP)-COLUMN($AN:$AN)+1,FALSE),"")</f>
        <v>127.12</v>
      </c>
      <c r="AA550" s="1" t="str" cm="1">
        <f t="array" ref="AA550">IFERROR(VLOOKUP($X550,$AN:AQ,COLUMN(AQ:AQ)-COLUMN($AN:$AN)+1,FALSE),"")</f>
        <v>0.75 GAL</v>
      </c>
      <c r="AC550" s="1" t="str" cm="1">
        <f t="array" ref="AC550">IFERROR(VLOOKUP($X550,$AN:AS,COLUMN(AS:AS)-COLUMN($AN:$AN)+1,FALSE),"")</f>
        <v>WHITE TINT BASE</v>
      </c>
      <c r="AD550" s="1" t="s">
        <v>19</v>
      </c>
      <c r="AF550" s="1">
        <f>Table1[[#This Row],[C:C]]*1.1</f>
        <v>0</v>
      </c>
      <c r="AI550" s="1">
        <f>IFERROR(VLOOKUP(X550,#REF!,8,FALSE),0)</f>
        <v>0</v>
      </c>
      <c r="AN550" s="1" t="str">
        <f>PROD_ID_TABLE[[#This Row],[PROD ID]]</f>
        <v>TUBES / CAOTERCA</v>
      </c>
      <c r="AO550" s="1" t="str">
        <f t="shared" si="141"/>
        <v>RS88 (12 TUBES / CASE)OTHERCASE</v>
      </c>
      <c r="AP550" s="3">
        <f t="shared" si="122"/>
        <v>462</v>
      </c>
      <c r="AQ550" s="1" t="str">
        <f t="shared" si="142"/>
        <v>CASE</v>
      </c>
      <c r="AR550" s="1" t="str">
        <f t="shared" si="123"/>
        <v>RS88 (12 TUBES / CASE)OTHERCASE</v>
      </c>
      <c r="AS550" s="1" t="str">
        <f t="shared" si="126"/>
        <v>OTHER</v>
      </c>
      <c r="AY550" s="63" t="str">
        <f t="shared" si="143"/>
        <v>TUBES / CAOTERCA</v>
      </c>
      <c r="AZ550" s="63" t="str">
        <f t="shared" si="144"/>
        <v>TUBES / CA</v>
      </c>
      <c r="BA550" s="63" t="str">
        <f t="shared" si="145"/>
        <v>OTER</v>
      </c>
      <c r="BB550" s="63" t="str">
        <f t="shared" si="146"/>
        <v>CA</v>
      </c>
      <c r="BC550" s="135">
        <f t="shared" si="136"/>
        <v>462</v>
      </c>
      <c r="BD550" s="1" t="s">
        <v>720</v>
      </c>
      <c r="BE550" s="1" t="s">
        <v>1049</v>
      </c>
      <c r="BF550" s="1" t="s">
        <v>878</v>
      </c>
    </row>
    <row r="551" spans="22:59" x14ac:dyDescent="0.35">
      <c r="V551" s="1" t="str">
        <v>EXT SMALL SAOW1.5</v>
      </c>
      <c r="X551" s="1" t="str">
        <f t="shared" si="131"/>
        <v>EXT SMALL CLAR1.5</v>
      </c>
      <c r="Y551" s="1" t="str" cm="1">
        <f t="array" ref="Y551">IFERROR(VLOOKUP($X551,$AN:AO,COLUMN(AO:AO)-COLUMN($AN:$AN)+1,FALSE),"")</f>
        <v>ACCELERA EXT SMALL 1R:1HCLEAR1.5 GAL</v>
      </c>
      <c r="Z551" s="63" cm="1">
        <f t="array" ref="Z551">IFERROR(VLOOKUP($X551,$AN:AP,COLUMN(AP:AP)-COLUMN($AN:$AN)+1,FALSE),"")</f>
        <v>253.64</v>
      </c>
      <c r="AA551" s="1" t="str" cm="1">
        <f t="array" ref="AA551">IFERROR(VLOOKUP($X551,$AN:AQ,COLUMN(AQ:AQ)-COLUMN($AN:$AN)+1,FALSE),"")</f>
        <v>1.5 GAL</v>
      </c>
      <c r="AC551" s="1" t="str" cm="1">
        <f t="array" ref="AC551">IFERROR(VLOOKUP($X551,$AN:AS,COLUMN(AS:AS)-COLUMN($AN:$AN)+1,FALSE),"")</f>
        <v>CLEAR</v>
      </c>
      <c r="AD551" s="1" t="s">
        <v>19</v>
      </c>
      <c r="AF551" s="1">
        <f>Table1[[#This Row],[C:C]]*1.1</f>
        <v>0</v>
      </c>
      <c r="AI551" s="1">
        <f>IFERROR(VLOOKUP(X551,#REF!,8,FALSE),0)</f>
        <v>0</v>
      </c>
      <c r="AN551" s="1" t="str">
        <f>PROD_ID_TABLE[[#This Row],[PROD ID]]</f>
        <v>4640 HTS 1CLAR1.</v>
      </c>
      <c r="AO551" s="1" t="str">
        <f t="shared" si="141"/>
        <v>RESUTILE 4640 HTS 100 HS HIGH TRAFFIC URETHANE ENAMELCLEAR1.2 GAL</v>
      </c>
      <c r="AP551" s="3">
        <f t="shared" si="122"/>
        <v>267.77</v>
      </c>
      <c r="AQ551" s="1" t="str">
        <f t="shared" si="142"/>
        <v>1.2 GAL</v>
      </c>
      <c r="AR551" s="1" t="str">
        <f t="shared" si="123"/>
        <v>RESUTILE 4640 HTS 100 HS HIGH TRAFFIC URETHANE ENAMELCLEAR1.2 GAL</v>
      </c>
      <c r="AS551" s="1" t="str">
        <f t="shared" si="126"/>
        <v>CLEAR</v>
      </c>
      <c r="AY551" s="63" t="str">
        <f t="shared" si="143"/>
        <v>4640 HTS 1CLAR1.</v>
      </c>
      <c r="AZ551" s="63" t="str">
        <f t="shared" si="144"/>
        <v>4640 HTS 1</v>
      </c>
      <c r="BA551" s="63" t="str">
        <f t="shared" si="145"/>
        <v>CLAR</v>
      </c>
      <c r="BB551" s="63" t="str">
        <f t="shared" si="146"/>
        <v>1.</v>
      </c>
      <c r="BC551" s="135">
        <v>267.77</v>
      </c>
      <c r="BD551" s="62" t="s">
        <v>349</v>
      </c>
      <c r="BE551" s="55" t="s">
        <v>315</v>
      </c>
      <c r="BF551" s="55" t="s">
        <v>1042</v>
      </c>
      <c r="BG551" s="55" t="s">
        <v>366</v>
      </c>
    </row>
    <row r="552" spans="22:59" x14ac:dyDescent="0.35">
      <c r="V552" s="1" t="str">
        <v>EXT SMALL ROUE1.5</v>
      </c>
      <c r="X552" s="1" t="str">
        <f t="shared" si="131"/>
        <v>EXT SMALL CUOM1.5</v>
      </c>
      <c r="Y552" s="1" t="str" cm="1">
        <f t="array" ref="Y552">IFERROR(VLOOKUP($X552,$AN:AO,COLUMN(AO:AO)-COLUMN($AN:$AN)+1,FALSE),"")</f>
        <v>ACCELERA EXT SMALL 1R:1HCUSTOM1.5 GAL</v>
      </c>
      <c r="Z552" s="63" cm="1">
        <f t="array" ref="Z552">IFERROR(VLOOKUP($X552,$AN:AP,COLUMN(AP:AP)-COLUMN($AN:$AN)+1,FALSE),"")</f>
        <v>253.64</v>
      </c>
      <c r="AA552" s="1" t="str" cm="1">
        <f t="array" ref="AA552">IFERROR(VLOOKUP($X552,$AN:AQ,COLUMN(AQ:AQ)-COLUMN($AN:$AN)+1,FALSE),"")</f>
        <v>1.5 GAL</v>
      </c>
      <c r="AC552" s="1" t="str" cm="1">
        <f t="array" ref="AC552">IFERROR(VLOOKUP($X552,$AN:AS,COLUMN(AS:AS)-COLUMN($AN:$AN)+1,FALSE),"")</f>
        <v>CUSTOM</v>
      </c>
      <c r="AD552" s="1" t="s">
        <v>19</v>
      </c>
      <c r="AF552" s="1">
        <f>Table1[[#This Row],[C:C]]*1.1</f>
        <v>0</v>
      </c>
      <c r="AI552" s="1">
        <f>IFERROR(VLOOKUP(X552,#REF!,8,FALSE),0)</f>
        <v>0</v>
      </c>
      <c r="AN552" s="1" t="str">
        <f>PROD_ID_TABLE[[#This Row],[PROD ID]]</f>
        <v>4640 HTS 1CLAR2.</v>
      </c>
      <c r="AO552" s="1" t="str">
        <f t="shared" si="141"/>
        <v>RESUTILE 4640 HTS 100 HS HIGH TRAFFIC URETHANE ENAMELCLEAR2.2 GAL</v>
      </c>
      <c r="AP552" s="3">
        <f t="shared" si="122"/>
        <v>478.45</v>
      </c>
      <c r="AQ552" s="1" t="str">
        <f t="shared" si="142"/>
        <v>2.2 GAL</v>
      </c>
      <c r="AR552" s="1" t="str">
        <f t="shared" si="123"/>
        <v>RESUTILE 4640 HTS 100 HS HIGH TRAFFIC URETHANE ENAMELCLEAR2.2 GAL</v>
      </c>
      <c r="AS552" s="1" t="str">
        <f t="shared" si="126"/>
        <v>CLEAR</v>
      </c>
      <c r="AY552" s="63" t="str">
        <f t="shared" si="143"/>
        <v>4640 HTS 1CLAR2.</v>
      </c>
      <c r="AZ552" s="63" t="str">
        <f t="shared" si="144"/>
        <v>4640 HTS 1</v>
      </c>
      <c r="BA552" s="63" t="str">
        <f t="shared" si="145"/>
        <v>CLAR</v>
      </c>
      <c r="BB552" s="63" t="str">
        <f t="shared" si="146"/>
        <v>2.</v>
      </c>
      <c r="BC552" s="135">
        <v>478.45</v>
      </c>
      <c r="BD552" s="62" t="s">
        <v>349</v>
      </c>
      <c r="BE552" s="55" t="s">
        <v>315</v>
      </c>
      <c r="BF552" s="55" t="s">
        <v>1079</v>
      </c>
      <c r="BG552" s="55" t="s">
        <v>366</v>
      </c>
    </row>
    <row r="553" spans="22:59" x14ac:dyDescent="0.35">
      <c r="V553" s="1" t="str">
        <v>EXT SMALL PEER1.5</v>
      </c>
      <c r="X553" s="1" t="str">
        <f t="shared" si="131"/>
        <v>EXT SMALL MEAY1.5</v>
      </c>
      <c r="Y553" s="1" t="str" cm="1">
        <f t="array" ref="Y553">IFERROR(VLOOKUP($X553,$AN:AO,COLUMN(AO:AO)-COLUMN($AN:$AN)+1,FALSE),"")</f>
        <v>ACCELERA EXT SMALL 1R:1HMEDIUM GRAY1.5 GAL</v>
      </c>
      <c r="Z553" s="63" cm="1">
        <f t="array" ref="Z553">IFERROR(VLOOKUP($X553,$AN:AP,COLUMN(AP:AP)-COLUMN($AN:$AN)+1,FALSE),"")</f>
        <v>253.64</v>
      </c>
      <c r="AA553" s="1" t="str" cm="1">
        <f t="array" ref="AA553">IFERROR(VLOOKUP($X553,$AN:AQ,COLUMN(AQ:AQ)-COLUMN($AN:$AN)+1,FALSE),"")</f>
        <v>1.5 GAL</v>
      </c>
      <c r="AC553" s="1" t="str" cm="1">
        <f t="array" ref="AC553">IFERROR(VLOOKUP($X553,$AN:AS,COLUMN(AS:AS)-COLUMN($AN:$AN)+1,FALSE),"")</f>
        <v>MEDIUM GRAY</v>
      </c>
      <c r="AD553" s="1" t="s">
        <v>19</v>
      </c>
      <c r="AF553" s="1">
        <f>Table1[[#This Row],[C:C]]*1.1</f>
        <v>0</v>
      </c>
      <c r="AI553" s="1">
        <f>IFERROR(VLOOKUP(X553,#REF!,8,FALSE),0)</f>
        <v>0</v>
      </c>
      <c r="AN553" s="1" t="str">
        <f>PROD_ID_TABLE[[#This Row],[PROD ID]]</f>
        <v>4640 HTS 1CLAR5.</v>
      </c>
      <c r="AO553" s="1" t="str">
        <f t="shared" si="141"/>
        <v>RESUTILE 4640 HTS 100 HS HIGH TRAFFIC URETHANE ENAMELCLEAR5.75 GAL</v>
      </c>
      <c r="AP553" s="3">
        <f t="shared" si="122"/>
        <v>948.07</v>
      </c>
      <c r="AQ553" s="1" t="str">
        <f t="shared" si="142"/>
        <v>5.75 GAL</v>
      </c>
      <c r="AR553" s="1" t="str">
        <f t="shared" si="123"/>
        <v>RESUTILE 4640 HTS 100 HS HIGH TRAFFIC URETHANE ENAMELCLEAR5.75 GAL</v>
      </c>
      <c r="AS553" s="1" t="str">
        <f t="shared" si="126"/>
        <v>CLEAR</v>
      </c>
      <c r="AY553" s="63" t="str">
        <f t="shared" ref="AY553:AY558" si="147">_xlfn.CONCAT(AZ553:BB553)</f>
        <v>4640 HTS 1CLAR5.</v>
      </c>
      <c r="AZ553" s="63" t="str">
        <f t="shared" ref="AZ553:AZ558" si="148">MID(BD553,10,10)</f>
        <v>4640 HTS 1</v>
      </c>
      <c r="BA553" s="63" t="str">
        <f t="shared" ref="BA553:BA558" si="149">LEFT(BE553,2)&amp;RIGHT(BE553,2)</f>
        <v>CLAR</v>
      </c>
      <c r="BB553" s="63" t="str">
        <f>LEFT(BF553,2)</f>
        <v>5.</v>
      </c>
      <c r="BC553" s="135">
        <v>948.07</v>
      </c>
      <c r="BD553" s="62" t="s">
        <v>349</v>
      </c>
      <c r="BE553" s="55" t="s">
        <v>315</v>
      </c>
      <c r="BF553" s="55" t="s">
        <v>1078</v>
      </c>
      <c r="BG553" s="55" t="s">
        <v>366</v>
      </c>
    </row>
    <row r="554" spans="22:59" x14ac:dyDescent="0.35">
      <c r="V554" s="1" t="str">
        <v>EXT SMALL CLLE1.5</v>
      </c>
      <c r="X554" s="1" t="str">
        <f t="shared" si="131"/>
        <v>EXT SMALL CAAY1.5</v>
      </c>
      <c r="Y554" s="1" t="str" cm="1">
        <f t="array" ref="Y554">IFERROR(VLOOKUP($X554,$AN:AO,COLUMN(AO:AO)-COLUMN($AN:$AN)+1,FALSE),"")</f>
        <v>ACCELERA EXT SMALL 1R:1HCANADA GRAY1.5 GAL</v>
      </c>
      <c r="Z554" s="63" cm="1">
        <f t="array" ref="Z554">IFERROR(VLOOKUP($X554,$AN:AP,COLUMN(AP:AP)-COLUMN($AN:$AN)+1,FALSE),"")</f>
        <v>253.64</v>
      </c>
      <c r="AA554" s="1" t="str" cm="1">
        <f t="array" ref="AA554">IFERROR(VLOOKUP($X554,$AN:AQ,COLUMN(AQ:AQ)-COLUMN($AN:$AN)+1,FALSE),"")</f>
        <v>1.5 GAL</v>
      </c>
      <c r="AC554" s="1" t="str" cm="1">
        <f t="array" ref="AC554">IFERROR(VLOOKUP($X554,$AN:AS,COLUMN(AS:AS)-COLUMN($AN:$AN)+1,FALSE),"")</f>
        <v>CANADA GRAY</v>
      </c>
      <c r="AD554" s="1" t="s">
        <v>19</v>
      </c>
      <c r="AF554" s="1">
        <f>Table1[[#This Row],[C:C]]*1.1</f>
        <v>0</v>
      </c>
      <c r="AI554" s="1">
        <f>IFERROR(VLOOKUP(X554,#REF!,8,FALSE),0)</f>
        <v>0</v>
      </c>
      <c r="AN554" s="1" t="str">
        <f>PROD_ID_TABLE[[#This Row],[PROD ID]]</f>
        <v>RSAL COLORBlck1 Pt</v>
      </c>
      <c r="AO554" s="1" t="str">
        <f t="shared" ref="AO554:AO561" si="150">_xlfn.CONCAT(BD554:BF554)</f>
        <v>HPF UNIVERSAL COLORANTBlack1 Pt</v>
      </c>
      <c r="AP554" s="3">
        <f t="shared" ref="AP554:AP561" si="151">BC554</f>
        <v>34.130000000000003</v>
      </c>
      <c r="AQ554" s="1" t="str">
        <f t="shared" ref="AQ554:AQ561" si="152">BF554</f>
        <v>1 Pt</v>
      </c>
      <c r="AR554" s="1" t="str">
        <f t="shared" si="123"/>
        <v>HPF UNIVERSAL COLORANTBlack1 Pt</v>
      </c>
      <c r="AS554" s="1" t="str">
        <f t="shared" si="126"/>
        <v>Black</v>
      </c>
      <c r="AY554" s="63" t="str">
        <f t="shared" si="147"/>
        <v>RSAL COLORBlck1 Pt</v>
      </c>
      <c r="AZ554" s="63" t="str">
        <f t="shared" si="148"/>
        <v>RSAL COLOR</v>
      </c>
      <c r="BA554" s="63" t="str">
        <f t="shared" si="149"/>
        <v>Blck</v>
      </c>
      <c r="BB554" s="63" t="s">
        <v>1068</v>
      </c>
      <c r="BC554" s="135">
        <v>34.130000000000003</v>
      </c>
      <c r="BD554" s="1" t="s">
        <v>1057</v>
      </c>
      <c r="BE554" s="1" t="s">
        <v>1058</v>
      </c>
      <c r="BF554" s="1" t="s">
        <v>1068</v>
      </c>
      <c r="BG554" s="1" t="s">
        <v>365</v>
      </c>
    </row>
    <row r="555" spans="22:59" x14ac:dyDescent="0.35">
      <c r="V555" s="1" t="str">
        <v>EXT SMALL CAEL1.5</v>
      </c>
      <c r="X555" s="1" t="str">
        <f t="shared" si="131"/>
        <v>EXT SMALL CHAL1.5</v>
      </c>
      <c r="Y555" s="1" t="str" cm="1">
        <f t="array" ref="Y555">IFERROR(VLOOKUP($X555,$AN:AO,COLUMN(AO:AO)-COLUMN($AN:$AN)+1,FALSE),"")</f>
        <v>ACCELERA EXT SMALL 1R:1HCHARCOAL1.5 GAL</v>
      </c>
      <c r="Z555" s="63" cm="1">
        <f t="array" ref="Z555">IFERROR(VLOOKUP($X555,$AN:AP,COLUMN(AP:AP)-COLUMN($AN:$AN)+1,FALSE),"")</f>
        <v>253.64</v>
      </c>
      <c r="AA555" s="1" t="str" cm="1">
        <f t="array" ref="AA555">IFERROR(VLOOKUP($X555,$AN:AQ,COLUMN(AQ:AQ)-COLUMN($AN:$AN)+1,FALSE),"")</f>
        <v>1.5 GAL</v>
      </c>
      <c r="AC555" s="1" t="str" cm="1">
        <f t="array" ref="AC555">IFERROR(VLOOKUP($X555,$AN:AS,COLUMN(AS:AS)-COLUMN($AN:$AN)+1,FALSE),"")</f>
        <v>CHARCOAL</v>
      </c>
      <c r="AD555" s="1" t="s">
        <v>19</v>
      </c>
      <c r="AF555" s="1">
        <f>Table1[[#This Row],[C:C]]*1.1</f>
        <v>0</v>
      </c>
      <c r="AI555" s="1">
        <f>IFERROR(VLOOKUP(X555,#REF!,8,FALSE),0)</f>
        <v>0</v>
      </c>
      <c r="AN555" s="1" t="str">
        <f>PROD_ID_TABLE[[#This Row],[PROD ID]]</f>
        <v>RSAL COLORYeow1 Pt</v>
      </c>
      <c r="AO555" s="1" t="str">
        <f t="shared" si="150"/>
        <v>HPF UNIVERSAL COLORANTYellow1 Pt</v>
      </c>
      <c r="AP555" s="3">
        <f t="shared" si="151"/>
        <v>58.85</v>
      </c>
      <c r="AQ555" s="1" t="str">
        <f t="shared" si="152"/>
        <v>1 Pt</v>
      </c>
      <c r="AR555" s="1" t="str">
        <f t="shared" si="123"/>
        <v>HPF UNIVERSAL COLORANTYellow1 Pt</v>
      </c>
      <c r="AS555" s="1" t="str">
        <f t="shared" si="126"/>
        <v>Yellow</v>
      </c>
      <c r="AY555" s="63" t="str">
        <f t="shared" si="147"/>
        <v>RSAL COLORYeow1 Pt</v>
      </c>
      <c r="AZ555" s="63" t="str">
        <f t="shared" si="148"/>
        <v>RSAL COLOR</v>
      </c>
      <c r="BA555" s="63" t="str">
        <f t="shared" si="149"/>
        <v>Yeow</v>
      </c>
      <c r="BB555" s="63" t="s">
        <v>1068</v>
      </c>
      <c r="BC555" s="135">
        <v>58.85</v>
      </c>
      <c r="BD555" s="1" t="s">
        <v>1057</v>
      </c>
      <c r="BE555" s="1" t="s">
        <v>1059</v>
      </c>
      <c r="BF555" s="1" t="s">
        <v>1068</v>
      </c>
      <c r="BG555" s="1" t="s">
        <v>365</v>
      </c>
    </row>
    <row r="556" spans="22:59" x14ac:dyDescent="0.35">
      <c r="V556" s="1" t="str">
        <v>EXT SMALL ULSE1.5</v>
      </c>
      <c r="X556" s="1" t="str">
        <f t="shared" si="131"/>
        <v>EXT SMALL STAY1.5</v>
      </c>
      <c r="Y556" s="1" t="str" cm="1">
        <f t="array" ref="Y556">IFERROR(VLOOKUP($X556,$AN:AO,COLUMN(AO:AO)-COLUMN($AN:$AN)+1,FALSE),"")</f>
        <v>ACCELERA EXT SMALL 1R:1HSTEEL GRAY1.5 GAL</v>
      </c>
      <c r="Z556" s="63" cm="1">
        <f t="array" ref="Z556">IFERROR(VLOOKUP($X556,$AN:AP,COLUMN(AP:AP)-COLUMN($AN:$AN)+1,FALSE),"")</f>
        <v>253.64</v>
      </c>
      <c r="AA556" s="1" t="str" cm="1">
        <f t="array" ref="AA556">IFERROR(VLOOKUP($X556,$AN:AQ,COLUMN(AQ:AQ)-COLUMN($AN:$AN)+1,FALSE),"")</f>
        <v>1.5 GAL</v>
      </c>
      <c r="AC556" s="1" t="str" cm="1">
        <f t="array" ref="AC556">IFERROR(VLOOKUP($X556,$AN:AS,COLUMN(AS:AS)-COLUMN($AN:$AN)+1,FALSE),"")</f>
        <v>STEEL GRAY</v>
      </c>
      <c r="AD556" s="1" t="s">
        <v>19</v>
      </c>
      <c r="AF556" s="1">
        <f>Table1[[#This Row],[C:C]]*1.1</f>
        <v>0</v>
      </c>
      <c r="AI556" s="1">
        <f>IFERROR(VLOOKUP(X556,#REF!,8,FALSE),0)</f>
        <v>0</v>
      </c>
      <c r="AN556" s="1" t="str">
        <f>PROD_ID_TABLE[[#This Row],[PROD ID]]</f>
        <v>RSAL COLORCaay1 Pt</v>
      </c>
      <c r="AO556" s="1" t="str">
        <f t="shared" si="150"/>
        <v>HPF UNIVERSAL COLORANTCanada Gray1 Pt</v>
      </c>
      <c r="AP556" s="3">
        <f t="shared" si="151"/>
        <v>34.130000000000003</v>
      </c>
      <c r="AQ556" s="1" t="str">
        <f t="shared" si="152"/>
        <v>1 Pt</v>
      </c>
      <c r="AR556" s="1" t="str">
        <f t="shared" si="123"/>
        <v>HPF UNIVERSAL COLORANTCanada Gray1 Pt</v>
      </c>
      <c r="AS556" s="1" t="str">
        <f t="shared" si="126"/>
        <v>Canada Gray</v>
      </c>
      <c r="AY556" s="63" t="str">
        <f t="shared" si="147"/>
        <v>RSAL COLORCaay1 Pt</v>
      </c>
      <c r="AZ556" s="63" t="str">
        <f t="shared" si="148"/>
        <v>RSAL COLOR</v>
      </c>
      <c r="BA556" s="63" t="str">
        <f t="shared" si="149"/>
        <v>Caay</v>
      </c>
      <c r="BB556" s="63" t="s">
        <v>1068</v>
      </c>
      <c r="BC556" s="135">
        <v>34.130000000000003</v>
      </c>
      <c r="BD556" s="1" t="s">
        <v>1057</v>
      </c>
      <c r="BE556" s="1" t="s">
        <v>1080</v>
      </c>
      <c r="BF556" s="1" t="s">
        <v>1068</v>
      </c>
      <c r="BG556" s="1" t="s">
        <v>365</v>
      </c>
    </row>
    <row r="557" spans="22:59" x14ac:dyDescent="0.35">
      <c r="V557" s="1" t="str">
        <v>EXT SMALL WHSE1.5</v>
      </c>
      <c r="X557" s="1" t="str">
        <f t="shared" si="131"/>
        <v>EXT SMALL BOTE1.5</v>
      </c>
      <c r="Y557" s="1" t="str" cm="1">
        <f t="array" ref="Y557">IFERROR(VLOOKUP($X557,$AN:AO,COLUMN(AO:AO)-COLUMN($AN:$AN)+1,FALSE),"")</f>
        <v>ACCELERA EXT SMALL 1R:1HBONE WHITE1.5 GAL</v>
      </c>
      <c r="Z557" s="63" cm="1">
        <f t="array" ref="Z557">IFERROR(VLOOKUP($X557,$AN:AP,COLUMN(AP:AP)-COLUMN($AN:$AN)+1,FALSE),"")</f>
        <v>253.64</v>
      </c>
      <c r="AA557" s="1" t="str" cm="1">
        <f t="array" ref="AA557">IFERROR(VLOOKUP($X557,$AN:AQ,COLUMN(AQ:AQ)-COLUMN($AN:$AN)+1,FALSE),"")</f>
        <v>1.5 GAL</v>
      </c>
      <c r="AC557" s="1" t="str" cm="1">
        <f t="array" ref="AC557">IFERROR(VLOOKUP($X557,$AN:AS,COLUMN(AS:AS)-COLUMN($AN:$AN)+1,FALSE),"")</f>
        <v>BONE WHITE</v>
      </c>
      <c r="AD557" s="1" t="s">
        <v>19</v>
      </c>
      <c r="AF557" s="1">
        <f>Table1[[#This Row],[C:C]]*1.1</f>
        <v>0</v>
      </c>
      <c r="AI557" s="1">
        <f>IFERROR(VLOOKUP(X557,#REF!,8,FALSE),0)</f>
        <v>0</v>
      </c>
      <c r="AN557" s="1" t="str">
        <f>PROD_ID_TABLE[[#This Row],[PROD ID]]</f>
        <v>RSAL COLORChal1 Pt</v>
      </c>
      <c r="AO557" s="1" t="str">
        <f t="shared" si="150"/>
        <v>HPF UNIVERSAL COLORANTCharcoal1 Pt</v>
      </c>
      <c r="AP557" s="3">
        <f t="shared" si="151"/>
        <v>34.130000000000003</v>
      </c>
      <c r="AQ557" s="1" t="str">
        <f t="shared" si="152"/>
        <v>1 Pt</v>
      </c>
      <c r="AR557" s="1" t="str">
        <f t="shared" si="123"/>
        <v>HPF UNIVERSAL COLORANTCharcoal1 Pt</v>
      </c>
      <c r="AS557" s="1" t="str">
        <f t="shared" si="126"/>
        <v>Charcoal</v>
      </c>
      <c r="AY557" s="63" t="str">
        <f t="shared" si="147"/>
        <v>RSAL COLORChal1 Pt</v>
      </c>
      <c r="AZ557" s="63" t="str">
        <f t="shared" si="148"/>
        <v>RSAL COLOR</v>
      </c>
      <c r="BA557" s="63" t="str">
        <f t="shared" si="149"/>
        <v>Chal</v>
      </c>
      <c r="BB557" s="63" t="s">
        <v>1068</v>
      </c>
      <c r="BC557" s="135">
        <v>34.130000000000003</v>
      </c>
      <c r="BD557" s="1" t="s">
        <v>1057</v>
      </c>
      <c r="BE557" s="1" t="s">
        <v>1060</v>
      </c>
      <c r="BF557" s="1" t="s">
        <v>1068</v>
      </c>
      <c r="BG557" s="1" t="s">
        <v>365</v>
      </c>
    </row>
    <row r="558" spans="22:59" x14ac:dyDescent="0.35">
      <c r="V558" s="1" t="str">
        <v>ONE RESIN CLAR5 G</v>
      </c>
      <c r="X558" s="1" t="str">
        <f t="shared" si="131"/>
        <v>EXT SMALL SIAY1.5</v>
      </c>
      <c r="Y558" s="1" t="str" cm="1">
        <f t="array" ref="Y558">IFERROR(VLOOKUP($X558,$AN:AO,COLUMN(AO:AO)-COLUMN($AN:$AN)+1,FALSE),"")</f>
        <v>ACCELERA EXT SMALL 1R:1HSILVER GRAY1.5 GAL</v>
      </c>
      <c r="Z558" s="63" cm="1">
        <f t="array" ref="Z558">IFERROR(VLOOKUP($X558,$AN:AP,COLUMN(AP:AP)-COLUMN($AN:$AN)+1,FALSE),"")</f>
        <v>253.64</v>
      </c>
      <c r="AA558" s="1" t="str" cm="1">
        <f t="array" ref="AA558">IFERROR(VLOOKUP($X558,$AN:AQ,COLUMN(AQ:AQ)-COLUMN($AN:$AN)+1,FALSE),"")</f>
        <v>1.5 GAL</v>
      </c>
      <c r="AC558" s="1" t="str" cm="1">
        <f t="array" ref="AC558">IFERROR(VLOOKUP($X558,$AN:AS,COLUMN(AS:AS)-COLUMN($AN:$AN)+1,FALSE),"")</f>
        <v>SILVER GRAY</v>
      </c>
      <c r="AD558" s="1" t="s">
        <v>19</v>
      </c>
      <c r="AF558" s="1">
        <f>Table1[[#This Row],[C:C]]*1.1</f>
        <v>0</v>
      </c>
      <c r="AI558" s="1">
        <f>IFERROR(VLOOKUP(X558,#REF!,8,FALSE),0)</f>
        <v>0</v>
      </c>
      <c r="AN558" s="1" t="str">
        <f>PROD_ID_TABLE[[#This Row],[PROD ID]]</f>
        <v>RSAL COLORLiay1 Pt</v>
      </c>
      <c r="AO558" s="1" t="str">
        <f t="shared" si="150"/>
        <v>HPF UNIVERSAL COLORANTLight Gray1 Pt</v>
      </c>
      <c r="AP558" s="3">
        <f t="shared" si="151"/>
        <v>34.130000000000003</v>
      </c>
      <c r="AQ558" s="1" t="str">
        <f t="shared" si="152"/>
        <v>1 Pt</v>
      </c>
      <c r="AR558" s="1" t="str">
        <f t="shared" si="123"/>
        <v>HPF UNIVERSAL COLORANTLight Gray1 Pt</v>
      </c>
      <c r="AS558" s="1" t="str">
        <f t="shared" si="126"/>
        <v>Light Gray</v>
      </c>
      <c r="AY558" s="63" t="str">
        <f t="shared" si="147"/>
        <v>RSAL COLORLiay1 Pt</v>
      </c>
      <c r="AZ558" s="63" t="str">
        <f t="shared" si="148"/>
        <v>RSAL COLOR</v>
      </c>
      <c r="BA558" s="63" t="str">
        <f t="shared" si="149"/>
        <v>Liay</v>
      </c>
      <c r="BB558" s="63" t="s">
        <v>1068</v>
      </c>
      <c r="BC558" s="135">
        <v>34.130000000000003</v>
      </c>
      <c r="BD558" s="1" t="s">
        <v>1057</v>
      </c>
      <c r="BE558" s="1" t="s">
        <v>1061</v>
      </c>
      <c r="BF558" s="1" t="s">
        <v>1068</v>
      </c>
      <c r="BG558" s="1" t="s">
        <v>365</v>
      </c>
    </row>
    <row r="559" spans="22:59" x14ac:dyDescent="0.35">
      <c r="V559" s="1" t="str">
        <v>ONE HARDENCLAR1 G</v>
      </c>
      <c r="X559" s="1" t="str">
        <f t="shared" si="131"/>
        <v>EXT SMALL WHTE1.5</v>
      </c>
      <c r="Y559" s="1" t="str" cm="1">
        <f t="array" ref="Y559">IFERROR(VLOOKUP($X559,$AN:AO,COLUMN(AO:AO)-COLUMN($AN:$AN)+1,FALSE),"")</f>
        <v>ACCELERA EXT SMALL 1R:1HWHITE1.5 GAL</v>
      </c>
      <c r="Z559" s="63" cm="1">
        <f t="array" ref="Z559">IFERROR(VLOOKUP($X559,$AN:AP,COLUMN(AP:AP)-COLUMN($AN:$AN)+1,FALSE),"")</f>
        <v>253.64</v>
      </c>
      <c r="AA559" s="1" t="str" cm="1">
        <f t="array" ref="AA559">IFERROR(VLOOKUP($X559,$AN:AQ,COLUMN(AQ:AQ)-COLUMN($AN:$AN)+1,FALSE),"")</f>
        <v>1.5 GAL</v>
      </c>
      <c r="AC559" s="1" t="str" cm="1">
        <f t="array" ref="AC559">IFERROR(VLOOKUP($X559,$AN:AS,COLUMN(AS:AS)-COLUMN($AN:$AN)+1,FALSE),"")</f>
        <v>WHITE</v>
      </c>
      <c r="AD559" s="1" t="s">
        <v>19</v>
      </c>
      <c r="AF559" s="1">
        <f>Table1[[#This Row],[C:C]]*1.1</f>
        <v>0</v>
      </c>
      <c r="AI559" s="1">
        <f>IFERROR(VLOOKUP(X559,#REF!,8,FALSE),0)</f>
        <v>0</v>
      </c>
      <c r="AN559" s="1" t="str">
        <f>PROD_ID_TABLE[[#This Row],[PROD ID]]</f>
        <v>RSAL COLORReue1 Pt</v>
      </c>
      <c r="AO559" s="1" t="str">
        <f t="shared" si="150"/>
        <v>HPF UNIVERSAL COLORANTRegal Blue1 Pt</v>
      </c>
      <c r="AP559" s="3">
        <f t="shared" si="151"/>
        <v>34.130000000000003</v>
      </c>
      <c r="AQ559" s="1" t="str">
        <f t="shared" si="152"/>
        <v>1 Pt</v>
      </c>
      <c r="AR559" s="1" t="str">
        <f t="shared" si="123"/>
        <v>HPF UNIVERSAL COLORANTRegal Blue1 Pt</v>
      </c>
      <c r="AS559" s="1" t="str">
        <f t="shared" si="126"/>
        <v>Regal Blue</v>
      </c>
      <c r="AY559" s="63" t="str">
        <f t="shared" ref="AY559:AY565" si="153">_xlfn.CONCAT(AZ559:BB559)</f>
        <v>RSAL COLORReue1 Pt</v>
      </c>
      <c r="AZ559" s="63" t="str">
        <f t="shared" ref="AZ559:AZ565" si="154">MID(BD559,10,10)</f>
        <v>RSAL COLOR</v>
      </c>
      <c r="BA559" s="63" t="str">
        <f t="shared" ref="BA559:BA565" si="155">LEFT(BE559,2)&amp;RIGHT(BE559,2)</f>
        <v>Reue</v>
      </c>
      <c r="BB559" s="63" t="s">
        <v>1068</v>
      </c>
      <c r="BC559" s="135">
        <v>34.130000000000003</v>
      </c>
      <c r="BD559" s="1" t="s">
        <v>1057</v>
      </c>
      <c r="BE559" s="1" t="s">
        <v>1062</v>
      </c>
      <c r="BF559" s="1" t="s">
        <v>1068</v>
      </c>
      <c r="BG559" s="1" t="s">
        <v>365</v>
      </c>
    </row>
    <row r="560" spans="22:59" x14ac:dyDescent="0.35">
      <c r="V560" s="1" t="str">
        <v>5 66% SOLICLAR2 G</v>
      </c>
      <c r="X560" s="1" t="str">
        <f t="shared" si="131"/>
        <v>EXT SMALL BLCK1.5</v>
      </c>
      <c r="Y560" s="1" t="str" cm="1">
        <f t="array" ref="Y560">IFERROR(VLOOKUP($X560,$AN:AO,COLUMN(AO:AO)-COLUMN($AN:$AN)+1,FALSE),"")</f>
        <v>ACCELERA EXT SMALL 1R:1HBLACK1.5 GAL</v>
      </c>
      <c r="Z560" s="63" cm="1">
        <f t="array" ref="Z560">IFERROR(VLOOKUP($X560,$AN:AP,COLUMN(AP:AP)-COLUMN($AN:$AN)+1,FALSE),"")</f>
        <v>253.64</v>
      </c>
      <c r="AA560" s="1" t="str" cm="1">
        <f t="array" ref="AA560">IFERROR(VLOOKUP($X560,$AN:AQ,COLUMN(AQ:AQ)-COLUMN($AN:$AN)+1,FALSE),"")</f>
        <v>1.5 GAL</v>
      </c>
      <c r="AC560" s="1" t="str" cm="1">
        <f t="array" ref="AC560">IFERROR(VLOOKUP($X560,$AN:AS,COLUMN(AS:AS)-COLUMN($AN:$AN)+1,FALSE),"")</f>
        <v>BLACK</v>
      </c>
      <c r="AD560" s="1" t="s">
        <v>19</v>
      </c>
      <c r="AF560" s="1">
        <f>Table1[[#This Row],[C:C]]*1.1</f>
        <v>0</v>
      </c>
      <c r="AI560" s="1">
        <f>IFERROR(VLOOKUP(X560,#REF!,8,FALSE),0)</f>
        <v>0</v>
      </c>
      <c r="AN560" s="1" t="str">
        <f>PROD_ID_TABLE[[#This Row],[PROD ID]]</f>
        <v>RSAL COLORRien1 Pt</v>
      </c>
      <c r="AO560" s="1" t="str">
        <f t="shared" si="150"/>
        <v>HPF UNIVERSAL COLORANTRich Green1 Pt</v>
      </c>
      <c r="AP560" s="3">
        <f t="shared" si="151"/>
        <v>34.130000000000003</v>
      </c>
      <c r="AQ560" s="1" t="str">
        <f t="shared" si="152"/>
        <v>1 Pt</v>
      </c>
      <c r="AR560" s="1" t="str">
        <f t="shared" si="123"/>
        <v>HPF UNIVERSAL COLORANTRich Green1 Pt</v>
      </c>
      <c r="AS560" s="1" t="str">
        <f t="shared" si="126"/>
        <v>Rich Green</v>
      </c>
      <c r="AY560" s="63" t="str">
        <f t="shared" si="153"/>
        <v>RSAL COLORRien1 Pt</v>
      </c>
      <c r="AZ560" s="63" t="str">
        <f t="shared" si="154"/>
        <v>RSAL COLOR</v>
      </c>
      <c r="BA560" s="63" t="str">
        <f t="shared" si="155"/>
        <v>Rien</v>
      </c>
      <c r="BB560" s="63" t="s">
        <v>1068</v>
      </c>
      <c r="BC560" s="135">
        <v>34.130000000000003</v>
      </c>
      <c r="BD560" s="1" t="s">
        <v>1057</v>
      </c>
      <c r="BE560" s="1" t="s">
        <v>1063</v>
      </c>
      <c r="BF560" s="1" t="s">
        <v>1068</v>
      </c>
      <c r="BG560" s="1" t="s">
        <v>365</v>
      </c>
    </row>
    <row r="561" spans="22:59" x14ac:dyDescent="0.35">
      <c r="V561" s="1" t="str">
        <v xml:space="preserve">5 66% SOLICLAR10 </v>
      </c>
      <c r="X561" s="1" t="str">
        <f t="shared" si="131"/>
        <v>EXT SMALL PANT1.5</v>
      </c>
      <c r="Y561" s="1" t="str" cm="1">
        <f t="array" ref="Y561">IFERROR(VLOOKUP($X561,$AN:AO,COLUMN(AO:AO)-COLUMN($AN:$AN)+1,FALSE),"")</f>
        <v>ACCELERA EXT SMALL 1R:1HPARCHMENT1.5 GAL</v>
      </c>
      <c r="Z561" s="63" cm="1">
        <f t="array" ref="Z561">IFERROR(VLOOKUP($X561,$AN:AP,COLUMN(AP:AP)-COLUMN($AN:$AN)+1,FALSE),"")</f>
        <v>253.64</v>
      </c>
      <c r="AA561" s="1" t="str" cm="1">
        <f t="array" ref="AA561">IFERROR(VLOOKUP($X561,$AN:AQ,COLUMN(AQ:AQ)-COLUMN($AN:$AN)+1,FALSE),"")</f>
        <v>1.5 GAL</v>
      </c>
      <c r="AC561" s="1" t="str" cm="1">
        <f t="array" ref="AC561">IFERROR(VLOOKUP($X561,$AN:AS,COLUMN(AS:AS)-COLUMN($AN:$AN)+1,FALSE),"")</f>
        <v>PARCHMENT</v>
      </c>
      <c r="AD561" s="1" t="s">
        <v>19</v>
      </c>
      <c r="AF561" s="1">
        <f>Table1[[#This Row],[C:C]]*1.1</f>
        <v>0</v>
      </c>
      <c r="AI561" s="1">
        <f>IFERROR(VLOOKUP(X561,#REF!,8,FALSE),0)</f>
        <v>0</v>
      </c>
      <c r="AN561" s="1" t="str">
        <f>PROD_ID_TABLE[[#This Row],[PROD ID]]</f>
        <v>RSAL COLORRoed1 Pt</v>
      </c>
      <c r="AO561" s="1" t="str">
        <f t="shared" si="150"/>
        <v>HPF UNIVERSAL COLORANTRotunda Red1 Pt</v>
      </c>
      <c r="AP561" s="3">
        <f t="shared" si="151"/>
        <v>64.739999999999995</v>
      </c>
      <c r="AQ561" s="1" t="str">
        <f t="shared" si="152"/>
        <v>1 Pt</v>
      </c>
      <c r="AR561" s="1" t="str">
        <f t="shared" si="123"/>
        <v>HPF UNIVERSAL COLORANTRotunda Red1 Pt</v>
      </c>
      <c r="AS561" s="1" t="str">
        <f t="shared" si="126"/>
        <v>Rotunda Red</v>
      </c>
      <c r="AY561" s="63" t="str">
        <f t="shared" si="153"/>
        <v>RSAL COLORRoed1 Pt</v>
      </c>
      <c r="AZ561" s="63" t="str">
        <f t="shared" si="154"/>
        <v>RSAL COLOR</v>
      </c>
      <c r="BA561" s="63" t="str">
        <f t="shared" si="155"/>
        <v>Roed</v>
      </c>
      <c r="BB561" s="63" t="s">
        <v>1068</v>
      </c>
      <c r="BC561" s="135">
        <v>64.739999999999995</v>
      </c>
      <c r="BD561" s="1" t="s">
        <v>1057</v>
      </c>
      <c r="BE561" s="1" t="s">
        <v>1064</v>
      </c>
      <c r="BF561" s="1" t="s">
        <v>1068</v>
      </c>
      <c r="BG561" s="1" t="s">
        <v>365</v>
      </c>
    </row>
    <row r="562" spans="22:59" x14ac:dyDescent="0.35">
      <c r="V562" s="1" t="str">
        <v xml:space="preserve">PT 250 THICLAR15 </v>
      </c>
      <c r="X562" s="1" t="str">
        <f t="shared" si="131"/>
        <v>EXT SMALL SAED1.5</v>
      </c>
      <c r="Y562" s="1" t="str" cm="1">
        <f t="array" ref="Y562">IFERROR(VLOOKUP($X562,$AN:AO,COLUMN(AO:AO)-COLUMN($AN:$AN)+1,FALSE),"")</f>
        <v>ACCELERA EXT SMALL 1R:1HSAFETY RED1.5 GAL</v>
      </c>
      <c r="Z562" s="63" cm="1">
        <f t="array" ref="Z562">IFERROR(VLOOKUP($X562,$AN:AP,COLUMN(AP:AP)-COLUMN($AN:$AN)+1,FALSE),"")</f>
        <v>253.64</v>
      </c>
      <c r="AA562" s="1" t="str" cm="1">
        <f t="array" ref="AA562">IFERROR(VLOOKUP($X562,$AN:AQ,COLUMN(AQ:AQ)-COLUMN($AN:$AN)+1,FALSE),"")</f>
        <v>1.5 GAL</v>
      </c>
      <c r="AC562" s="1" t="str" cm="1">
        <f t="array" ref="AC562">IFERROR(VLOOKUP($X562,$AN:AS,COLUMN(AS:AS)-COLUMN($AN:$AN)+1,FALSE),"")</f>
        <v>SAFETY RED</v>
      </c>
      <c r="AD562" s="1" t="s">
        <v>19</v>
      </c>
      <c r="AF562" s="1">
        <f>Table1[[#This Row],[C:C]]*1.1</f>
        <v>0</v>
      </c>
      <c r="AI562" s="1">
        <f>IFERROR(VLOOKUP(X562,#REF!,8,FALSE),0)</f>
        <v>0</v>
      </c>
      <c r="AN562" s="1" t="str">
        <f>PROD_ID_TABLE[[#This Row],[PROD ID]]</f>
        <v>RSAL COLORSage1 Pt</v>
      </c>
      <c r="AO562" s="1" t="str">
        <f t="shared" ref="AO562:AO570" si="156">_xlfn.CONCAT(BD562:BF562)</f>
        <v>HPF UNIVERSAL COLORANTSandy Beige1 Pt</v>
      </c>
      <c r="AP562" s="3">
        <f t="shared" ref="AP562:AP570" si="157">BC562</f>
        <v>34.130000000000003</v>
      </c>
      <c r="AQ562" s="1" t="str">
        <f t="shared" ref="AQ562:AQ570" si="158">BF562</f>
        <v>1 Pt</v>
      </c>
      <c r="AR562" s="1" t="str">
        <f t="shared" si="123"/>
        <v>HPF UNIVERSAL COLORANTSandy Beige1 Pt</v>
      </c>
      <c r="AS562" s="1" t="str">
        <f t="shared" si="126"/>
        <v>Sandy Beige</v>
      </c>
      <c r="AY562" s="63" t="str">
        <f t="shared" si="153"/>
        <v>RSAL COLORSage1 Pt</v>
      </c>
      <c r="AZ562" s="63" t="str">
        <f t="shared" si="154"/>
        <v>RSAL COLOR</v>
      </c>
      <c r="BA562" s="63" t="str">
        <f t="shared" si="155"/>
        <v>Sage</v>
      </c>
      <c r="BB562" s="63" t="s">
        <v>1068</v>
      </c>
      <c r="BC562" s="135">
        <v>34.130000000000003</v>
      </c>
      <c r="BD562" s="1" t="s">
        <v>1057</v>
      </c>
      <c r="BE562" s="1" t="s">
        <v>1065</v>
      </c>
      <c r="BF562" s="1" t="s">
        <v>1068</v>
      </c>
      <c r="BG562" s="1" t="s">
        <v>365</v>
      </c>
    </row>
    <row r="563" spans="22:59" x14ac:dyDescent="0.35">
      <c r="V563" s="1" t="str">
        <v xml:space="preserve">NO SAGN//A10 </v>
      </c>
      <c r="X563" s="1" t="str">
        <f t="shared" si="131"/>
        <v>EXT SMALL SAOW1.5</v>
      </c>
      <c r="Y563" s="1" t="str" cm="1">
        <f t="array" ref="Y563">IFERROR(VLOOKUP($X563,$AN:AO,COLUMN(AO:AO)-COLUMN($AN:$AN)+1,FALSE),"")</f>
        <v>ACCELERA EXT SMALL 1R:1HSAFETY YELLOW1.5 GAL</v>
      </c>
      <c r="Z563" s="63" cm="1">
        <f t="array" ref="Z563">IFERROR(VLOOKUP($X563,$AN:AP,COLUMN(AP:AP)-COLUMN($AN:$AN)+1,FALSE),"")</f>
        <v>253.64</v>
      </c>
      <c r="AA563" s="1" t="str" cm="1">
        <f t="array" ref="AA563">IFERROR(VLOOKUP($X563,$AN:AQ,COLUMN(AQ:AQ)-COLUMN($AN:$AN)+1,FALSE),"")</f>
        <v>1.5 GAL</v>
      </c>
      <c r="AC563" s="1" t="str" cm="1">
        <f t="array" ref="AC563">IFERROR(VLOOKUP($X563,$AN:AS,COLUMN(AS:AS)-COLUMN($AN:$AN)+1,FALSE),"")</f>
        <v>SAFETY YELLOW</v>
      </c>
      <c r="AD563" s="1" t="s">
        <v>19</v>
      </c>
      <c r="AF563" s="1">
        <f>Table1[[#This Row],[C:C]]*1.1</f>
        <v>0</v>
      </c>
      <c r="AI563" s="1">
        <f>IFERROR(VLOOKUP(X563,#REF!,8,FALSE),0)</f>
        <v>0</v>
      </c>
      <c r="AN563" s="1" t="str">
        <f>PROD_ID_TABLE[[#This Row],[PROD ID]]</f>
        <v>RSAL COLORStay1 Pt</v>
      </c>
      <c r="AO563" s="1" t="str">
        <f t="shared" si="156"/>
        <v>HPF UNIVERSAL COLORANTSteel Gray1 Pt</v>
      </c>
      <c r="AP563" s="3">
        <f t="shared" si="157"/>
        <v>34.130000000000003</v>
      </c>
      <c r="AQ563" s="1" t="str">
        <f t="shared" si="158"/>
        <v>1 Pt</v>
      </c>
      <c r="AR563" s="1" t="str">
        <f t="shared" si="123"/>
        <v>HPF UNIVERSAL COLORANTSteel Gray1 Pt</v>
      </c>
      <c r="AS563" s="1" t="str">
        <f t="shared" si="126"/>
        <v>Steel Gray</v>
      </c>
      <c r="AY563" s="63" t="str">
        <f t="shared" si="153"/>
        <v>RSAL COLORStay1 Pt</v>
      </c>
      <c r="AZ563" s="63" t="str">
        <f t="shared" si="154"/>
        <v>RSAL COLOR</v>
      </c>
      <c r="BA563" s="63" t="str">
        <f t="shared" si="155"/>
        <v>Stay</v>
      </c>
      <c r="BB563" s="63" t="s">
        <v>1068</v>
      </c>
      <c r="BC563" s="135">
        <v>34.130000000000003</v>
      </c>
      <c r="BD563" s="1" t="s">
        <v>1057</v>
      </c>
      <c r="BE563" s="1" t="s">
        <v>1070</v>
      </c>
      <c r="BF563" s="1" t="s">
        <v>1068</v>
      </c>
      <c r="BG563" s="1" t="s">
        <v>365</v>
      </c>
    </row>
    <row r="564" spans="22:59" x14ac:dyDescent="0.35">
      <c r="V564" s="1" t="str">
        <v xml:space="preserve"> GRITN//A50L</v>
      </c>
      <c r="X564" s="1" t="str">
        <f t="shared" si="131"/>
        <v>EXT SMALL ROUE1.5</v>
      </c>
      <c r="Y564" s="1" t="str" cm="1">
        <f t="array" ref="Y564">IFERROR(VLOOKUP($X564,$AN:AO,COLUMN(AO:AO)-COLUMN($AN:$AN)+1,FALSE),"")</f>
        <v>ACCELERA EXT SMALL 1R:1HROYAL BLUE1.5 GAL</v>
      </c>
      <c r="Z564" s="63" cm="1">
        <f t="array" ref="Z564">IFERROR(VLOOKUP($X564,$AN:AP,COLUMN(AP:AP)-COLUMN($AN:$AN)+1,FALSE),"")</f>
        <v>253.64</v>
      </c>
      <c r="AA564" s="1" t="str" cm="1">
        <f t="array" ref="AA564">IFERROR(VLOOKUP($X564,$AN:AQ,COLUMN(AQ:AQ)-COLUMN($AN:$AN)+1,FALSE),"")</f>
        <v>1.5 GAL</v>
      </c>
      <c r="AC564" s="1" t="str" cm="1">
        <f t="array" ref="AC564">IFERROR(VLOOKUP($X564,$AN:AS,COLUMN(AS:AS)-COLUMN($AN:$AN)+1,FALSE),"")</f>
        <v>ROYAL BLUE</v>
      </c>
      <c r="AD564" s="1" t="s">
        <v>19</v>
      </c>
      <c r="AF564" s="1">
        <f>Table1[[#This Row],[C:C]]*1.1</f>
        <v>0</v>
      </c>
      <c r="AI564" s="1">
        <f>IFERROR(VLOOKUP(X564,#REF!,8,FALSE),0)</f>
        <v>0</v>
      </c>
      <c r="AN564" s="1" t="str">
        <f>PROD_ID_TABLE[[#This Row],[PROD ID]]</f>
        <v>RSAL COLORTied1 Pt</v>
      </c>
      <c r="AO564" s="1" t="str">
        <f t="shared" si="156"/>
        <v>HPF UNIVERSAL COLORANTTile Red1 Pt</v>
      </c>
      <c r="AP564" s="3">
        <f t="shared" si="157"/>
        <v>34.130000000000003</v>
      </c>
      <c r="AQ564" s="1" t="str">
        <f t="shared" si="158"/>
        <v>1 Pt</v>
      </c>
      <c r="AR564" s="1" t="str">
        <f t="shared" si="123"/>
        <v>HPF UNIVERSAL COLORANTTile Red1 Pt</v>
      </c>
      <c r="AS564" s="1" t="str">
        <f t="shared" si="126"/>
        <v>Tile Red</v>
      </c>
      <c r="AY564" s="63" t="str">
        <f t="shared" si="153"/>
        <v>RSAL COLORTied1 Pt</v>
      </c>
      <c r="AZ564" s="63" t="str">
        <f t="shared" si="154"/>
        <v>RSAL COLOR</v>
      </c>
      <c r="BA564" s="63" t="str">
        <f t="shared" si="155"/>
        <v>Tied</v>
      </c>
      <c r="BB564" s="63" t="s">
        <v>1068</v>
      </c>
      <c r="BC564" s="135">
        <v>34.130000000000003</v>
      </c>
      <c r="BD564" s="1" t="s">
        <v>1057</v>
      </c>
      <c r="BE564" s="1" t="s">
        <v>1066</v>
      </c>
      <c r="BF564" s="1" t="s">
        <v>1068</v>
      </c>
      <c r="BG564" s="1" t="s">
        <v>365</v>
      </c>
    </row>
    <row r="565" spans="22:59" x14ac:dyDescent="0.35">
      <c r="V565" s="1" t="str">
        <v>O FLAKE - AGVE40L</v>
      </c>
      <c r="X565" s="1" t="str">
        <f t="shared" si="131"/>
        <v>EXT SMALL PEER1.5</v>
      </c>
      <c r="Y565" s="1" t="str" cm="1">
        <f t="array" ref="Y565">IFERROR(VLOOKUP($X565,$AN:AO,COLUMN(AO:AO)-COLUMN($AN:$AN)+1,FALSE),"")</f>
        <v>ACCELERA EXT SMALL 1R:1HPEWTER1.5 GAL</v>
      </c>
      <c r="Z565" s="63" cm="1">
        <f t="array" ref="Z565">IFERROR(VLOOKUP($X565,$AN:AP,COLUMN(AP:AP)-COLUMN($AN:$AN)+1,FALSE),"")</f>
        <v>253.64</v>
      </c>
      <c r="AA565" s="1" t="str" cm="1">
        <f t="array" ref="AA565">IFERROR(VLOOKUP($X565,$AN:AQ,COLUMN(AQ:AQ)-COLUMN($AN:$AN)+1,FALSE),"")</f>
        <v>1.5 GAL</v>
      </c>
      <c r="AC565" s="1" t="str" cm="1">
        <f t="array" ref="AC565">IFERROR(VLOOKUP($X565,$AN:AS,COLUMN(AS:AS)-COLUMN($AN:$AN)+1,FALSE),"")</f>
        <v>PEWTER</v>
      </c>
      <c r="AD565" s="1" t="s">
        <v>19</v>
      </c>
      <c r="AF565" s="1">
        <f>Table1[[#This Row],[C:C]]*1.1</f>
        <v>0</v>
      </c>
      <c r="AI565" s="1">
        <f>IFERROR(VLOOKUP(X565,#REF!,8,FALSE),0)</f>
        <v>0</v>
      </c>
      <c r="AN565" s="1" t="str">
        <f>PROD_ID_TABLE[[#This Row],[PROD ID]]</f>
        <v>RSAL COLORWhte1 Pt</v>
      </c>
      <c r="AO565" s="1" t="str">
        <f t="shared" si="156"/>
        <v>HPF UNIVERSAL COLORANTWhite1 Pt</v>
      </c>
      <c r="AP565" s="3">
        <f t="shared" si="157"/>
        <v>34.130000000000003</v>
      </c>
      <c r="AQ565" s="1" t="str">
        <f t="shared" si="158"/>
        <v>1 Pt</v>
      </c>
      <c r="AR565" s="1" t="str">
        <f t="shared" si="123"/>
        <v>HPF UNIVERSAL COLORANTWhite1 Pt</v>
      </c>
      <c r="AS565" s="1" t="str">
        <f t="shared" si="126"/>
        <v>White</v>
      </c>
      <c r="AY565" s="63" t="str">
        <f t="shared" si="153"/>
        <v>RSAL COLORWhte1 Pt</v>
      </c>
      <c r="AZ565" s="63" t="str">
        <f t="shared" si="154"/>
        <v>RSAL COLOR</v>
      </c>
      <c r="BA565" s="63" t="str">
        <f t="shared" si="155"/>
        <v>Whte</v>
      </c>
      <c r="BB565" s="63" t="s">
        <v>1068</v>
      </c>
      <c r="BC565" s="135">
        <v>34.130000000000003</v>
      </c>
      <c r="BD565" s="1" t="s">
        <v>1057</v>
      </c>
      <c r="BE565" s="1" t="s">
        <v>1067</v>
      </c>
      <c r="BF565" s="1" t="s">
        <v>1068</v>
      </c>
      <c r="BG565" s="1" t="s">
        <v>365</v>
      </c>
    </row>
    <row r="566" spans="22:59" x14ac:dyDescent="0.35">
      <c r="V566" s="1" t="str">
        <v>O FLAKE - ALLK40L</v>
      </c>
      <c r="X566" s="1" t="str">
        <f t="shared" si="131"/>
        <v>EXT SMALL CLLE1.5</v>
      </c>
      <c r="Y566" s="1" t="str" cm="1">
        <f t="array" ref="Y566">IFERROR(VLOOKUP($X566,$AN:AO,COLUMN(AO:AO)-COLUMN($AN:$AN)+1,FALSE),"")</f>
        <v>ACCELERA EXT SMALL 1R:1HCLASIC RED TILE1.5 GAL</v>
      </c>
      <c r="Z566" s="63" cm="1">
        <f t="array" ref="Z566">IFERROR(VLOOKUP($X566,$AN:AP,COLUMN(AP:AP)-COLUMN($AN:$AN)+1,FALSE),"")</f>
        <v>253.64</v>
      </c>
      <c r="AA566" s="1" t="str" cm="1">
        <f t="array" ref="AA566">IFERROR(VLOOKUP($X566,$AN:AQ,COLUMN(AQ:AQ)-COLUMN($AN:$AN)+1,FALSE),"")</f>
        <v>1.5 GAL</v>
      </c>
      <c r="AC566" s="1" t="str" cm="1">
        <f t="array" ref="AC566">IFERROR(VLOOKUP($X566,$AN:AS,COLUMN(AS:AS)-COLUMN($AN:$AN)+1,FALSE),"")</f>
        <v>CLASIC RED TILE</v>
      </c>
      <c r="AD566" s="1" t="s">
        <v>19</v>
      </c>
      <c r="AF566" s="1">
        <f>Table1[[#This Row],[C:C]]*1.1</f>
        <v>0</v>
      </c>
      <c r="AI566" s="1">
        <f>IFERROR(VLOOKUP(X566,#REF!,8,FALSE),0)</f>
        <v>0</v>
      </c>
      <c r="AN566" s="1" t="str">
        <f>PROD_ID_TABLE[[#This Row],[PROD ID]]</f>
        <v>RSAL COLORCaay25</v>
      </c>
      <c r="AO566" s="1" t="str">
        <f t="shared" si="156"/>
        <v>HPF UNIVERSAL COLORANTCanada Gray25 Pt</v>
      </c>
      <c r="AP566" s="3">
        <f t="shared" si="157"/>
        <v>389.59</v>
      </c>
      <c r="AQ566" s="1" t="str">
        <f t="shared" si="158"/>
        <v>25 Pt</v>
      </c>
      <c r="AR566" s="1" t="str">
        <f t="shared" si="123"/>
        <v>HPF UNIVERSAL COLORANTCanada Gray25 Pt</v>
      </c>
      <c r="AS566" s="1" t="str">
        <f t="shared" si="126"/>
        <v>Canada Gray</v>
      </c>
      <c r="AY566" s="63" t="str">
        <f t="shared" ref="AY566:AY571" si="159">_xlfn.CONCAT(AZ566:BB566)</f>
        <v>RSAL COLORCaay25</v>
      </c>
      <c r="AZ566" s="63" t="str">
        <f t="shared" ref="AZ566:AZ571" si="160">MID(BD566,10,10)</f>
        <v>RSAL COLOR</v>
      </c>
      <c r="BA566" s="63" t="str">
        <f t="shared" ref="BA566:BA571" si="161">LEFT(BE566,2)&amp;RIGHT(BE566,2)</f>
        <v>Caay</v>
      </c>
      <c r="BB566" s="63" t="str">
        <f t="shared" ref="BB566:BB571" si="162">LEFT(BF566,2)</f>
        <v>25</v>
      </c>
      <c r="BC566" s="135">
        <v>389.59</v>
      </c>
      <c r="BD566" s="1" t="s">
        <v>1057</v>
      </c>
      <c r="BE566" s="1" t="s">
        <v>1080</v>
      </c>
      <c r="BF566" s="1" t="s">
        <v>1069</v>
      </c>
      <c r="BG566" s="1" t="s">
        <v>365</v>
      </c>
    </row>
    <row r="567" spans="22:59" x14ac:dyDescent="0.35">
      <c r="V567" s="1" t="str">
        <v>O FLAKE - BLAN40L</v>
      </c>
      <c r="X567" s="1" t="str">
        <f t="shared" si="131"/>
        <v>EXT SMALL CAEL1.5</v>
      </c>
      <c r="Y567" s="1" t="str" cm="1">
        <f t="array" ref="Y567">IFERROR(VLOOKUP($X567,$AN:AO,COLUMN(AO:AO)-COLUMN($AN:$AN)+1,FALSE),"")</f>
        <v>ACCELERA EXT SMALL 1R:1HCARAMEL1.5 GAL</v>
      </c>
      <c r="Z567" s="63" cm="1">
        <f t="array" ref="Z567">IFERROR(VLOOKUP($X567,$AN:AP,COLUMN(AP:AP)-COLUMN($AN:$AN)+1,FALSE),"")</f>
        <v>253.64</v>
      </c>
      <c r="AA567" s="1" t="str" cm="1">
        <f t="array" ref="AA567">IFERROR(VLOOKUP($X567,$AN:AQ,COLUMN(AQ:AQ)-COLUMN($AN:$AN)+1,FALSE),"")</f>
        <v>1.5 GAL</v>
      </c>
      <c r="AC567" s="1" t="str" cm="1">
        <f t="array" ref="AC567">IFERROR(VLOOKUP($X567,$AN:AS,COLUMN(AS:AS)-COLUMN($AN:$AN)+1,FALSE),"")</f>
        <v>CARAMEL</v>
      </c>
      <c r="AD567" s="1" t="s">
        <v>19</v>
      </c>
      <c r="AF567" s="1">
        <f>Table1[[#This Row],[C:C]]*1.1</f>
        <v>0</v>
      </c>
      <c r="AI567" s="1">
        <f>IFERROR(VLOOKUP(X567,#REF!,8,FALSE),0)</f>
        <v>0</v>
      </c>
      <c r="AN567" s="1" t="str">
        <f>PROD_ID_TABLE[[#This Row],[PROD ID]]</f>
        <v>RSAL COLORChal25</v>
      </c>
      <c r="AO567" s="1" t="str">
        <f t="shared" si="156"/>
        <v>HPF UNIVERSAL COLORANTCharcoal25 Pt</v>
      </c>
      <c r="AP567" s="3">
        <f t="shared" si="157"/>
        <v>516.70000000000005</v>
      </c>
      <c r="AQ567" s="1" t="str">
        <f t="shared" si="158"/>
        <v>25 Pt</v>
      </c>
      <c r="AR567" s="1" t="str">
        <f t="shared" si="123"/>
        <v>HPF UNIVERSAL COLORANTCharcoal25 Pt</v>
      </c>
      <c r="AS567" s="1" t="str">
        <f t="shared" si="126"/>
        <v>Charcoal</v>
      </c>
      <c r="AY567" s="63" t="str">
        <f t="shared" si="159"/>
        <v>RSAL COLORChal25</v>
      </c>
      <c r="AZ567" s="63" t="str">
        <f t="shared" si="160"/>
        <v>RSAL COLOR</v>
      </c>
      <c r="BA567" s="63" t="str">
        <f t="shared" si="161"/>
        <v>Chal</v>
      </c>
      <c r="BB567" s="63" t="str">
        <f t="shared" si="162"/>
        <v>25</v>
      </c>
      <c r="BC567" s="135">
        <v>516.70000000000005</v>
      </c>
      <c r="BD567" s="1" t="s">
        <v>1057</v>
      </c>
      <c r="BE567" s="1" t="s">
        <v>1060</v>
      </c>
      <c r="BF567" s="1" t="s">
        <v>1069</v>
      </c>
      <c r="BG567" s="1" t="s">
        <v>365</v>
      </c>
    </row>
    <row r="568" spans="22:59" x14ac:dyDescent="0.35">
      <c r="V568" s="1" t="str">
        <v>O FLAKE - BLND40L</v>
      </c>
      <c r="X568" s="1" t="str">
        <f t="shared" si="131"/>
        <v>EXT SMALL ULSE1.5</v>
      </c>
      <c r="Y568" s="1" t="str" cm="1">
        <f t="array" ref="Y568">IFERROR(VLOOKUP($X568,$AN:AO,COLUMN(AO:AO)-COLUMN($AN:$AN)+1,FALSE),"")</f>
        <v>ACCELERA EXT SMALL 1R:1HULTRA DEEP BASE1.5 GAL</v>
      </c>
      <c r="Z568" s="63" cm="1">
        <f t="array" ref="Z568">IFERROR(VLOOKUP($X568,$AN:AP,COLUMN(AP:AP)-COLUMN($AN:$AN)+1,FALSE),"")</f>
        <v>253.64</v>
      </c>
      <c r="AA568" s="1" t="str" cm="1">
        <f t="array" ref="AA568">IFERROR(VLOOKUP($X568,$AN:AQ,COLUMN(AQ:AQ)-COLUMN($AN:$AN)+1,FALSE),"")</f>
        <v>1.5 GAL</v>
      </c>
      <c r="AC568" s="1" t="str" cm="1">
        <f t="array" ref="AC568">IFERROR(VLOOKUP($X568,$AN:AS,COLUMN(AS:AS)-COLUMN($AN:$AN)+1,FALSE),"")</f>
        <v>ULTRA DEEP BASE</v>
      </c>
      <c r="AD568" s="1" t="s">
        <v>19</v>
      </c>
      <c r="AF568" s="1">
        <f>Table1[[#This Row],[C:C]]*1.1</f>
        <v>0</v>
      </c>
      <c r="AI568" s="1">
        <f>IFERROR(VLOOKUP(X568,#REF!,8,FALSE),0)</f>
        <v>0</v>
      </c>
      <c r="AN568" s="1" t="str">
        <f>PROD_ID_TABLE[[#This Row],[PROD ID]]</f>
        <v>RSAL COLORLiay25</v>
      </c>
      <c r="AO568" s="1" t="str">
        <f t="shared" si="156"/>
        <v>HPF UNIVERSAL COLORANTLight Gray25 Pt</v>
      </c>
      <c r="AP568" s="3">
        <f t="shared" si="157"/>
        <v>352.51</v>
      </c>
      <c r="AQ568" s="1" t="str">
        <f t="shared" si="158"/>
        <v>25 Pt</v>
      </c>
      <c r="AR568" s="1" t="str">
        <f t="shared" si="123"/>
        <v>HPF UNIVERSAL COLORANTLight Gray25 Pt</v>
      </c>
      <c r="AS568" s="1" t="str">
        <f t="shared" si="126"/>
        <v>Light Gray</v>
      </c>
      <c r="AY568" s="63" t="str">
        <f t="shared" si="159"/>
        <v>RSAL COLORLiay25</v>
      </c>
      <c r="AZ568" s="63" t="str">
        <f t="shared" si="160"/>
        <v>RSAL COLOR</v>
      </c>
      <c r="BA568" s="63" t="str">
        <f t="shared" si="161"/>
        <v>Liay</v>
      </c>
      <c r="BB568" s="63" t="str">
        <f t="shared" si="162"/>
        <v>25</v>
      </c>
      <c r="BC568" s="135">
        <v>352.51</v>
      </c>
      <c r="BD568" s="1" t="s">
        <v>1057</v>
      </c>
      <c r="BE568" s="1" t="s">
        <v>1061</v>
      </c>
      <c r="BF568" s="1" t="s">
        <v>1069</v>
      </c>
      <c r="BG568" s="1" t="s">
        <v>365</v>
      </c>
    </row>
    <row r="569" spans="22:59" x14ac:dyDescent="0.35">
      <c r="V569" s="1" t="str">
        <v>O FLAKE - BLOA40L</v>
      </c>
      <c r="X569" s="1" t="str">
        <f t="shared" si="131"/>
        <v>EXT SMALL WHSE1.5</v>
      </c>
      <c r="Y569" s="1" t="str" cm="1">
        <f t="array" ref="Y569">IFERROR(VLOOKUP($X569,$AN:AO,COLUMN(AO:AO)-COLUMN($AN:$AN)+1,FALSE),"")</f>
        <v>ACCELERA EXT SMALL 1R:1HWHITE TINT BASE1.5 GAL</v>
      </c>
      <c r="Z569" s="63" cm="1">
        <f t="array" ref="Z569">IFERROR(VLOOKUP($X569,$AN:AP,COLUMN(AP:AP)-COLUMN($AN:$AN)+1,FALSE),"")</f>
        <v>253.64</v>
      </c>
      <c r="AA569" s="1" t="str" cm="1">
        <f t="array" ref="AA569">IFERROR(VLOOKUP($X569,$AN:AQ,COLUMN(AQ:AQ)-COLUMN($AN:$AN)+1,FALSE),"")</f>
        <v>1.5 GAL</v>
      </c>
      <c r="AC569" s="1" t="str" cm="1">
        <f t="array" ref="AC569">IFERROR(VLOOKUP($X569,$AN:AS,COLUMN(AS:AS)-COLUMN($AN:$AN)+1,FALSE),"")</f>
        <v>WHITE TINT BASE</v>
      </c>
      <c r="AD569" s="1" t="s">
        <v>19</v>
      </c>
      <c r="AF569" s="1">
        <f>Table1[[#This Row],[C:C]]*1.1</f>
        <v>0</v>
      </c>
      <c r="AI569" s="1">
        <f>IFERROR(VLOOKUP(X569,#REF!,8,FALSE),0)</f>
        <v>0</v>
      </c>
      <c r="AN569" s="1" t="str">
        <f>PROD_ID_TABLE[[#This Row],[PROD ID]]</f>
        <v>RSAL COLORSage25</v>
      </c>
      <c r="AO569" s="1" t="str">
        <f t="shared" si="156"/>
        <v>HPF UNIVERSAL COLORANTSandy Beige25 Pt</v>
      </c>
      <c r="AP569" s="3">
        <f t="shared" si="157"/>
        <v>417.84</v>
      </c>
      <c r="AQ569" s="1" t="str">
        <f t="shared" si="158"/>
        <v>25 Pt</v>
      </c>
      <c r="AR569" s="1" t="str">
        <f t="shared" si="123"/>
        <v>HPF UNIVERSAL COLORANTSandy Beige25 Pt</v>
      </c>
      <c r="AS569" s="1" t="str">
        <f t="shared" si="126"/>
        <v>Sandy Beige</v>
      </c>
      <c r="AY569" s="63" t="str">
        <f t="shared" si="159"/>
        <v>RSAL COLORSage25</v>
      </c>
      <c r="AZ569" s="63" t="str">
        <f t="shared" si="160"/>
        <v>RSAL COLOR</v>
      </c>
      <c r="BA569" s="63" t="str">
        <f t="shared" si="161"/>
        <v>Sage</v>
      </c>
      <c r="BB569" s="63" t="str">
        <f t="shared" si="162"/>
        <v>25</v>
      </c>
      <c r="BC569" s="135">
        <v>417.84</v>
      </c>
      <c r="BD569" s="1" t="s">
        <v>1057</v>
      </c>
      <c r="BE569" s="1" t="s">
        <v>1065</v>
      </c>
      <c r="BF569" s="1" t="s">
        <v>1069</v>
      </c>
      <c r="BG569" s="1" t="s">
        <v>365</v>
      </c>
    </row>
    <row r="570" spans="22:59" x14ac:dyDescent="0.35">
      <c r="V570" s="1" t="str">
        <v>O FLAKE - BOSE40L</v>
      </c>
      <c r="X570" s="1" t="str">
        <f t="shared" si="131"/>
        <v>ONE RESIN CLAR5 G</v>
      </c>
      <c r="Y570" s="1" t="str" cm="1">
        <f t="array" ref="Y570">IFERROR(VLOOKUP($X570,$AN:AO,COLUMN(AO:AO)-COLUMN($AN:$AN)+1,FALSE),"")</f>
        <v>ACCELERA ONE RESIN (SEE MIX CHART)CLEAR5 GAL</v>
      </c>
      <c r="Z570" s="63" cm="1">
        <f t="array" ref="Z570">IFERROR(VLOOKUP($X570,$AN:AP,COLUMN(AP:AP)-COLUMN($AN:$AN)+1,FALSE),"")</f>
        <v>684.43</v>
      </c>
      <c r="AA570" s="1" t="str" cm="1">
        <f t="array" ref="AA570">IFERROR(VLOOKUP($X570,$AN:AQ,COLUMN(AQ:AQ)-COLUMN($AN:$AN)+1,FALSE),"")</f>
        <v>5 GAL</v>
      </c>
      <c r="AC570" s="1" t="str" cm="1">
        <f t="array" ref="AC570">IFERROR(VLOOKUP($X570,$AN:AS,COLUMN(AS:AS)-COLUMN($AN:$AN)+1,FALSE),"")</f>
        <v>CLEAR</v>
      </c>
      <c r="AD570" s="1" t="s">
        <v>19</v>
      </c>
      <c r="AF570" s="1">
        <f>Table1[[#This Row],[C:C]]*1.1</f>
        <v>0</v>
      </c>
      <c r="AI570" s="1">
        <f>IFERROR(VLOOKUP(X570,#REF!,8,FALSE),0)</f>
        <v>0</v>
      </c>
      <c r="AN570" s="1" t="str">
        <f>PROD_ID_TABLE[[#This Row],[PROD ID]]</f>
        <v>RSAL COLORStay25</v>
      </c>
      <c r="AO570" s="1" t="str">
        <f t="shared" si="156"/>
        <v>HPF UNIVERSAL COLORANTSteel Gray25 Pt</v>
      </c>
      <c r="AP570" s="3">
        <f t="shared" si="157"/>
        <v>361.93</v>
      </c>
      <c r="AQ570" s="1" t="str">
        <f t="shared" si="158"/>
        <v>25 Pt</v>
      </c>
      <c r="AR570" s="1" t="str">
        <f t="shared" si="123"/>
        <v>HPF UNIVERSAL COLORANTSteel Gray25 Pt</v>
      </c>
      <c r="AS570" s="1" t="str">
        <f>BE570</f>
        <v>Steel Gray</v>
      </c>
      <c r="AY570" s="63" t="str">
        <f t="shared" si="159"/>
        <v>RSAL COLORStay25</v>
      </c>
      <c r="AZ570" s="63" t="str">
        <f t="shared" si="160"/>
        <v>RSAL COLOR</v>
      </c>
      <c r="BA570" s="63" t="str">
        <f t="shared" si="161"/>
        <v>Stay</v>
      </c>
      <c r="BB570" s="63" t="str">
        <f t="shared" si="162"/>
        <v>25</v>
      </c>
      <c r="BC570" s="135">
        <v>361.93</v>
      </c>
      <c r="BD570" s="1" t="s">
        <v>1057</v>
      </c>
      <c r="BE570" s="1" t="s">
        <v>1070</v>
      </c>
      <c r="BF570" s="1" t="s">
        <v>1069</v>
      </c>
      <c r="BG570" s="1" t="s">
        <v>365</v>
      </c>
    </row>
    <row r="571" spans="22:59" x14ac:dyDescent="0.35">
      <c r="V571" s="1" t="str">
        <v>O FLAKE - BUOD40L</v>
      </c>
      <c r="X571" s="1" t="str">
        <f t="shared" si="131"/>
        <v>ONE HARDENCLAR1 G</v>
      </c>
      <c r="Y571" s="1" t="str" cm="1">
        <f t="array" ref="Y571">IFERROR(VLOOKUP($X571,$AN:AO,COLUMN(AO:AO)-COLUMN($AN:$AN)+1,FALSE),"")</f>
        <v>ACCELERA ONE HARDENER (SEE MIX CHART)CLEAR1 GAL</v>
      </c>
      <c r="Z571" s="63" cm="1">
        <f t="array" ref="Z571">IFERROR(VLOOKUP($X571,$AN:AP,COLUMN(AP:AP)-COLUMN($AN:$AN)+1,FALSE),"")</f>
        <v>362.52</v>
      </c>
      <c r="AA571" s="1" t="str" cm="1">
        <f t="array" ref="AA571">IFERROR(VLOOKUP($X571,$AN:AQ,COLUMN(AQ:AQ)-COLUMN($AN:$AN)+1,FALSE),"")</f>
        <v>1 GAL</v>
      </c>
      <c r="AC571" s="1" t="str" cm="1">
        <f t="array" ref="AC571">IFERROR(VLOOKUP($X571,$AN:AS,COLUMN(AS:AS)-COLUMN($AN:$AN)+1,FALSE),"")</f>
        <v>CLEAR</v>
      </c>
      <c r="AD571" s="1" t="s">
        <v>19</v>
      </c>
      <c r="AF571" s="1">
        <f>Table1[[#This Row],[C:C]]*1.1</f>
        <v>0</v>
      </c>
      <c r="AI571" s="1">
        <f>IFERROR(VLOOKUP(X571,#REF!,8,FALSE),0)</f>
        <v>0</v>
      </c>
      <c r="AN571" s="1" t="str">
        <f>PROD_ID_TABLE[[#This Row],[PROD ID]]</f>
        <v>RSAL COLORWhte25</v>
      </c>
      <c r="AO571" s="1" t="str">
        <f>_xlfn.CONCAT(BD571:BF571)</f>
        <v>HPF UNIVERSAL COLORANTWhite25 Pt</v>
      </c>
      <c r="AP571" s="3">
        <f>BC571</f>
        <v>431.37</v>
      </c>
      <c r="AQ571" s="1" t="str">
        <f>BF571</f>
        <v>25 Pt</v>
      </c>
      <c r="AR571" s="1" t="str">
        <f t="shared" si="123"/>
        <v>HPF UNIVERSAL COLORANTWhite25 Pt</v>
      </c>
      <c r="AS571" s="1" t="str">
        <f t="shared" si="126"/>
        <v>White</v>
      </c>
      <c r="AY571" s="63" t="str">
        <f t="shared" si="159"/>
        <v>RSAL COLORWhte25</v>
      </c>
      <c r="AZ571" s="63" t="str">
        <f t="shared" si="160"/>
        <v>RSAL COLOR</v>
      </c>
      <c r="BA571" s="63" t="str">
        <f t="shared" si="161"/>
        <v>Whte</v>
      </c>
      <c r="BB571" s="63" t="str">
        <f t="shared" si="162"/>
        <v>25</v>
      </c>
      <c r="BC571" s="135">
        <v>431.37</v>
      </c>
      <c r="BD571" s="1" t="s">
        <v>1057</v>
      </c>
      <c r="BE571" s="1" t="s">
        <v>1067</v>
      </c>
      <c r="BF571" s="1" t="s">
        <v>1069</v>
      </c>
      <c r="BG571" s="1" t="s">
        <v>365</v>
      </c>
    </row>
    <row r="572" spans="22:59" x14ac:dyDescent="0.35">
      <c r="V572" s="1" t="str">
        <v>O FLAKE - CACK40L</v>
      </c>
      <c r="X572" s="1" t="str">
        <f t="shared" si="131"/>
        <v>5 66% SOLICLAR2 G</v>
      </c>
      <c r="Y572" s="1" t="str" cm="1">
        <f t="array" ref="Y572">IFERROR(VLOOKUP($X572,$AN:AO,COLUMN(AO:AO)-COLUMN($AN:$AN)+1,FALSE),"")</f>
        <v>ACCELERA 5 66% SOLIDS 1:1CLEAR2 GAL</v>
      </c>
      <c r="Z572" s="63" cm="1">
        <f t="array" ref="Z572">IFERROR(VLOOKUP($X572,$AN:AP,COLUMN(AP:AP)-COLUMN($AN:$AN)+1,FALSE),"")</f>
        <v>168.31</v>
      </c>
      <c r="AA572" s="1" t="str" cm="1">
        <f t="array" ref="AA572">IFERROR(VLOOKUP($X572,$AN:AQ,COLUMN(AQ:AQ)-COLUMN($AN:$AN)+1,FALSE),"")</f>
        <v>2 GAL</v>
      </c>
      <c r="AC572" s="1" t="str" cm="1">
        <f t="array" ref="AC572">IFERROR(VLOOKUP($X572,$AN:AS,COLUMN(AS:AS)-COLUMN($AN:$AN)+1,FALSE),"")</f>
        <v>CLEAR</v>
      </c>
      <c r="AD572" s="1" t="s">
        <v>19</v>
      </c>
      <c r="AF572" s="1">
        <f>Table1[[#This Row],[C:C]]*1.1</f>
        <v>0</v>
      </c>
      <c r="AI572" s="1">
        <f>IFERROR(VLOOKUP(X572,#REF!,8,FALSE),0)</f>
        <v>0</v>
      </c>
      <c r="AN572" s="1" t="str">
        <f>PROD_ID_TABLE[[#This Row],[PROD ID]]</f>
        <v xml:space="preserve"> P-101 PRICLAR50</v>
      </c>
      <c r="AO572" s="1" t="str">
        <f>_xlfn.CONCAT(BD572:BF572)</f>
        <v>CRYLAFLOR P-101 PRIMERCLEAR50 GAL KIT</v>
      </c>
      <c r="AP572" s="3">
        <f>BC572</f>
        <v>2702.39</v>
      </c>
      <c r="AQ572" s="1" t="str">
        <f>BF572</f>
        <v>50 GAL KIT</v>
      </c>
      <c r="AR572" s="1" t="str">
        <f t="shared" si="123"/>
        <v>CRYLAFLOR P-101 PRIMERCLEAR50 GAL KIT</v>
      </c>
      <c r="AS572" s="1" t="str">
        <f t="shared" si="126"/>
        <v>CLEAR</v>
      </c>
      <c r="AY572" s="63" t="str">
        <f>_xlfn.CONCAT(AZ572:BB572)</f>
        <v xml:space="preserve"> P-101 PRICLAR50</v>
      </c>
      <c r="AZ572" s="63" t="str">
        <f>MID(BD572,10,10)</f>
        <v xml:space="preserve"> P-101 PRI</v>
      </c>
      <c r="BA572" s="63" t="str">
        <f>LEFT(BE572,2)&amp;RIGHT(BE572,2)</f>
        <v>CLAR</v>
      </c>
      <c r="BB572" s="63" t="str">
        <f>LEFT(BF572,2)</f>
        <v>50</v>
      </c>
      <c r="BC572" s="135">
        <f t="shared" ref="BC572:BC635" si="163">IFERROR(VLOOKUP(BD572&amp;BF572,AV:AW,2,FALSE),0)</f>
        <v>2702.39</v>
      </c>
      <c r="BD572" s="62" t="s">
        <v>369</v>
      </c>
      <c r="BE572" s="55" t="s">
        <v>315</v>
      </c>
      <c r="BF572" s="55" t="s">
        <v>1075</v>
      </c>
      <c r="BG572" s="55" t="s">
        <v>309</v>
      </c>
    </row>
    <row r="573" spans="22:59" x14ac:dyDescent="0.35">
      <c r="V573" s="1" t="str">
        <v>O FLAKE - CHAL40L</v>
      </c>
      <c r="X573" s="1" t="str">
        <f t="shared" si="131"/>
        <v xml:space="preserve">5 66% SOLICLAR10 </v>
      </c>
      <c r="Y573" s="1" t="str" cm="1">
        <f t="array" ref="Y573">IFERROR(VLOOKUP($X573,$AN:AO,COLUMN(AO:AO)-COLUMN($AN:$AN)+1,FALSE),"")</f>
        <v>ACCELERA 5 66% SOLIDS 1:1CLEAR10 GAL</v>
      </c>
      <c r="Z573" s="63" cm="1">
        <f t="array" ref="Z573">IFERROR(VLOOKUP($X573,$AN:AP,COLUMN(AP:AP)-COLUMN($AN:$AN)+1,FALSE),"")</f>
        <v>800.36</v>
      </c>
      <c r="AA573" s="1" t="str" cm="1">
        <f t="array" ref="AA573">IFERROR(VLOOKUP($X573,$AN:AQ,COLUMN(AQ:AQ)-COLUMN($AN:$AN)+1,FALSE),"")</f>
        <v>10 GAL</v>
      </c>
      <c r="AC573" s="1" t="str" cm="1">
        <f t="array" ref="AC573">IFERROR(VLOOKUP($X573,$AN:AS,COLUMN(AS:AS)-COLUMN($AN:$AN)+1,FALSE),"")</f>
        <v>CLEAR</v>
      </c>
      <c r="AD573" s="1" t="s">
        <v>19</v>
      </c>
      <c r="AF573" s="1">
        <f>Table1[[#This Row],[C:C]]*1.1</f>
        <v>0</v>
      </c>
      <c r="AI573" s="1">
        <f>IFERROR(VLOOKUP(X573,#REF!,8,FALSE),0)</f>
        <v>0</v>
      </c>
      <c r="AN573" s="1" t="str">
        <f>PROD_ID_TABLE[[#This Row],[PROD ID]]</f>
        <v xml:space="preserve"> P-101 PRIBEGE50</v>
      </c>
      <c r="AO573" s="1" t="str">
        <f t="shared" ref="AO573:AO582" si="164">_xlfn.CONCAT(BD573:BF573)</f>
        <v>CRYLAFLOR P-101 PRIMERBEIGE50 GAL KIT</v>
      </c>
      <c r="AP573" s="3">
        <f t="shared" ref="AP573:AP582" si="165">BC573</f>
        <v>2702.39</v>
      </c>
      <c r="AQ573" s="1" t="str">
        <f t="shared" ref="AQ573:AQ582" si="166">BF573</f>
        <v>50 GAL KIT</v>
      </c>
      <c r="AS573" s="1" t="str">
        <f t="shared" ref="AS573:AS582" si="167">BE573</f>
        <v>BEIGE</v>
      </c>
      <c r="AY573" s="63" t="str">
        <f>_xlfn.CONCAT(AZ573:BB573)</f>
        <v xml:space="preserve"> P-101 PRIBEGE50</v>
      </c>
      <c r="AZ573" s="63" t="str">
        <f>MID(BD573,10,10)</f>
        <v xml:space="preserve"> P-101 PRI</v>
      </c>
      <c r="BA573" s="63" t="str">
        <f>LEFT(BE573,2)&amp;RIGHT(BE573,2)</f>
        <v>BEGE</v>
      </c>
      <c r="BB573" s="63" t="str">
        <f>LEFT(BF573,2)</f>
        <v>50</v>
      </c>
      <c r="BC573" s="135">
        <f t="shared" si="163"/>
        <v>2702.39</v>
      </c>
      <c r="BD573" s="62" t="s">
        <v>369</v>
      </c>
      <c r="BE573" s="55" t="s">
        <v>399</v>
      </c>
      <c r="BF573" s="55" t="s">
        <v>1075</v>
      </c>
      <c r="BG573" s="55" t="s">
        <v>309</v>
      </c>
    </row>
    <row r="574" spans="22:59" x14ac:dyDescent="0.35">
      <c r="V574" s="1" t="str">
        <v>O FLAKE - CHLA40L</v>
      </c>
      <c r="X574" s="1" t="str">
        <f t="shared" si="131"/>
        <v xml:space="preserve">PT 250 THICLAR15 </v>
      </c>
      <c r="Y574" s="1" t="str" cm="1">
        <f t="array" ref="Y574">IFERROR(VLOOKUP($X574,$AN:AO,COLUMN(AO:AO)-COLUMN($AN:$AN)+1,FALSE),"")</f>
        <v>RESUFLOR PT 250 THICKENED EPOXY 2:1CLEAR15 GAL</v>
      </c>
      <c r="Z574" s="63" cm="1">
        <f t="array" ref="Z574">IFERROR(VLOOKUP($X574,$AN:AP,COLUMN(AP:AP)-COLUMN($AN:$AN)+1,FALSE),"")</f>
        <v>1053.42</v>
      </c>
      <c r="AA574" s="1" t="str" cm="1">
        <f t="array" ref="AA574">IFERROR(VLOOKUP($X574,$AN:AQ,COLUMN(AQ:AQ)-COLUMN($AN:$AN)+1,FALSE),"")</f>
        <v>15 GAL</v>
      </c>
      <c r="AC574" s="1" t="str" cm="1">
        <f t="array" ref="AC574">IFERROR(VLOOKUP($X574,$AN:AS,COLUMN(AS:AS)-COLUMN($AN:$AN)+1,FALSE),"")</f>
        <v>CLEAR</v>
      </c>
      <c r="AD574" s="1" t="s">
        <v>19</v>
      </c>
      <c r="AF574" s="1">
        <f>Table1[[#This Row],[C:C]]*1.1</f>
        <v>0</v>
      </c>
      <c r="AI574" s="1">
        <f>IFERROR(VLOOKUP(X574,#REF!,8,FALSE),0)</f>
        <v>0</v>
      </c>
      <c r="AN574" s="1" t="str">
        <f>PROD_ID_TABLE[[#This Row],[PROD ID]]</f>
        <v xml:space="preserve"> P-101 PRIBROW50</v>
      </c>
      <c r="AO574" s="1" t="str">
        <f t="shared" si="164"/>
        <v>CRYLAFLOR P-101 PRIMERBRIGHT YELLOW50 GAL KIT</v>
      </c>
      <c r="AP574" s="3">
        <f t="shared" si="165"/>
        <v>2702.39</v>
      </c>
      <c r="AQ574" s="1" t="str">
        <f t="shared" si="166"/>
        <v>50 GAL KIT</v>
      </c>
      <c r="AS574" s="1" t="str">
        <f t="shared" si="167"/>
        <v>BRIGHT YELLOW</v>
      </c>
      <c r="AY574" s="63" t="str">
        <f>_xlfn.CONCAT(AZ574:BB574)</f>
        <v xml:space="preserve"> P-101 PRIBROW50</v>
      </c>
      <c r="AZ574" s="63" t="str">
        <f>MID(BD574,10,10)</f>
        <v xml:space="preserve"> P-101 PRI</v>
      </c>
      <c r="BA574" s="63" t="str">
        <f>LEFT(BE574,2)&amp;RIGHT(BE574,2)</f>
        <v>BROW</v>
      </c>
      <c r="BB574" s="63" t="str">
        <f>LEFT(BF574,2)</f>
        <v>50</v>
      </c>
      <c r="BC574" s="135">
        <f t="shared" si="163"/>
        <v>2702.39</v>
      </c>
      <c r="BD574" s="62" t="s">
        <v>369</v>
      </c>
      <c r="BE574" s="55" t="s">
        <v>400</v>
      </c>
      <c r="BF574" s="55" t="s">
        <v>1075</v>
      </c>
      <c r="BG574" s="55" t="s">
        <v>309</v>
      </c>
    </row>
    <row r="575" spans="22:59" x14ac:dyDescent="0.35">
      <c r="V575" s="1" t="str">
        <v>O FLAKE - CUND40L</v>
      </c>
      <c r="X575" s="1" t="str">
        <f t="shared" si="131"/>
        <v xml:space="preserve">NO SAGN//A10 </v>
      </c>
      <c r="Y575" s="1" t="str" cm="1">
        <f t="array" ref="Y575">IFERROR(VLOOKUP($X575,$AN:AO,COLUMN(AO:AO)-COLUMN($AN:$AN)+1,FALSE),"")</f>
        <v>RESUFLOR NO SAGN/A10 LBS</v>
      </c>
      <c r="Z575" s="63" cm="1">
        <f t="array" ref="Z575">IFERROR(VLOOKUP($X575,$AN:AP,COLUMN(AP:AP)-COLUMN($AN:$AN)+1,FALSE),"")</f>
        <v>341.9</v>
      </c>
      <c r="AA575" s="1" t="str" cm="1">
        <f t="array" ref="AA575">IFERROR(VLOOKUP($X575,$AN:AQ,COLUMN(AQ:AQ)-COLUMN($AN:$AN)+1,FALSE),"")</f>
        <v>10 LBS</v>
      </c>
      <c r="AC575" s="1" t="str" cm="1">
        <f t="array" ref="AC575">IFERROR(VLOOKUP($X575,$AN:AS,COLUMN(AS:AS)-COLUMN($AN:$AN)+1,FALSE),"")</f>
        <v>N/A</v>
      </c>
      <c r="AD575" s="1" t="s">
        <v>19</v>
      </c>
      <c r="AF575" s="1">
        <f>Table1[[#This Row],[C:C]]*1.1</f>
        <v>0</v>
      </c>
      <c r="AI575" s="1">
        <f>IFERROR(VLOOKUP(X575,#REF!,8,FALSE),0)</f>
        <v>0</v>
      </c>
      <c r="AN575" s="1" t="str">
        <f>PROD_ID_TABLE[[#This Row],[PROD ID]]</f>
        <v xml:space="preserve"> P-101 PRICOAY50</v>
      </c>
      <c r="AO575" s="1" t="str">
        <f t="shared" si="164"/>
        <v>CRYLAFLOR P-101 PRIMERCONCRETE GRAY50 GAL KIT</v>
      </c>
      <c r="AP575" s="3">
        <f t="shared" si="165"/>
        <v>2702.39</v>
      </c>
      <c r="AQ575" s="1" t="str">
        <f t="shared" si="166"/>
        <v>50 GAL KIT</v>
      </c>
      <c r="AS575" s="1" t="str">
        <f t="shared" si="167"/>
        <v>CONCRETE GRAY</v>
      </c>
      <c r="AY575" s="63" t="str">
        <f t="shared" ref="AY575:AY606" si="168">_xlfn.CONCAT(AZ575:BB575)</f>
        <v xml:space="preserve"> P-101 PRICOAY50</v>
      </c>
      <c r="AZ575" s="63" t="str">
        <f t="shared" ref="AZ575:AZ606" si="169">MID(BD575,10,10)</f>
        <v xml:space="preserve"> P-101 PRI</v>
      </c>
      <c r="BA575" s="63" t="str">
        <f t="shared" ref="BA575:BA606" si="170">LEFT(BE575,2)&amp;RIGHT(BE575,2)</f>
        <v>COAY</v>
      </c>
      <c r="BB575" s="63" t="str">
        <f t="shared" ref="BB575:BB606" si="171">LEFT(BF575,2)</f>
        <v>50</v>
      </c>
      <c r="BC575" s="135">
        <f t="shared" si="163"/>
        <v>2702.39</v>
      </c>
      <c r="BD575" s="62" t="s">
        <v>369</v>
      </c>
      <c r="BE575" s="55" t="s">
        <v>393</v>
      </c>
      <c r="BF575" s="55" t="s">
        <v>1075</v>
      </c>
      <c r="BG575" s="55" t="s">
        <v>309</v>
      </c>
    </row>
    <row r="576" spans="22:59" x14ac:dyDescent="0.35">
      <c r="V576" s="1" t="str">
        <v>O FLAKE - FLED40L</v>
      </c>
      <c r="X576" s="1" t="str">
        <f t="shared" si="131"/>
        <v xml:space="preserve"> GRITN//A50L</v>
      </c>
      <c r="Y576" s="1" t="str" cm="1">
        <f t="array" ref="Y576">IFERROR(VLOOKUP($X576,$AN:AO,COLUMN(AO:AO)-COLUMN($AN:$AN)+1,FALSE),"")</f>
        <v>Q-ROCK 16 GRITN/A50LB BAG</v>
      </c>
      <c r="Z576" s="63" cm="1">
        <f t="array" ref="Z576">IFERROR(VLOOKUP($X576,$AN:AP,COLUMN(AP:AP)-COLUMN($AN:$AN)+1,FALSE),"")</f>
        <v>16</v>
      </c>
      <c r="AA576" s="1" t="str" cm="1">
        <f t="array" ref="AA576">IFERROR(VLOOKUP($X576,$AN:AQ,COLUMN(AQ:AQ)-COLUMN($AN:$AN)+1,FALSE),"")</f>
        <v>50LB BAG</v>
      </c>
      <c r="AC576" s="1" t="str" cm="1">
        <f t="array" ref="AC576">IFERROR(VLOOKUP($X576,$AN:AS,COLUMN(AS:AS)-COLUMN($AN:$AN)+1,FALSE),"")</f>
        <v>N/A</v>
      </c>
      <c r="AD576" s="1" t="s">
        <v>19</v>
      </c>
      <c r="AF576" s="1">
        <f>Table1[[#This Row],[C:C]]*1.1</f>
        <v>0</v>
      </c>
      <c r="AI576" s="1">
        <f>IFERROR(VLOOKUP(X576,#REF!,8,FALSE),0)</f>
        <v>0</v>
      </c>
      <c r="AN576" s="1" t="str">
        <f>PROD_ID_TABLE[[#This Row],[PROD ID]]</f>
        <v xml:space="preserve"> P-101 PRICHAY50</v>
      </c>
      <c r="AO576" s="1" t="str">
        <f t="shared" si="164"/>
        <v>CRYLAFLOR P-101 PRIMERCHARCOAL GRAY50 GAL KIT</v>
      </c>
      <c r="AP576" s="3">
        <f t="shared" si="165"/>
        <v>2702.39</v>
      </c>
      <c r="AQ576" s="1" t="str">
        <f t="shared" si="166"/>
        <v>50 GAL KIT</v>
      </c>
      <c r="AS576" s="1" t="str">
        <f t="shared" si="167"/>
        <v>CHARCOAL GRAY</v>
      </c>
      <c r="AY576" s="63" t="str">
        <f t="shared" si="168"/>
        <v xml:space="preserve"> P-101 PRICHAY50</v>
      </c>
      <c r="AZ576" s="63" t="str">
        <f t="shared" si="169"/>
        <v xml:space="preserve"> P-101 PRI</v>
      </c>
      <c r="BA576" s="63" t="str">
        <f t="shared" si="170"/>
        <v>CHAY</v>
      </c>
      <c r="BB576" s="63" t="str">
        <f t="shared" si="171"/>
        <v>50</v>
      </c>
      <c r="BC576" s="135">
        <f t="shared" si="163"/>
        <v>2702.39</v>
      </c>
      <c r="BD576" s="62" t="s">
        <v>369</v>
      </c>
      <c r="BE576" s="55" t="s">
        <v>401</v>
      </c>
      <c r="BF576" s="55" t="s">
        <v>1075</v>
      </c>
      <c r="BG576" s="55" t="s">
        <v>309</v>
      </c>
    </row>
    <row r="577" spans="22:59" x14ac:dyDescent="0.35">
      <c r="V577" s="1" t="str">
        <v>O FLAKE - GNSS40L</v>
      </c>
      <c r="X577" s="1" t="str">
        <f t="shared" si="131"/>
        <v>O FLAKE - AGVE40L</v>
      </c>
      <c r="Y577" s="1" t="str" cm="1">
        <f t="array" ref="Y577">IFERROR(VLOOKUP($X577,$AN:AO,COLUMN(AO:AO)-COLUMN($AN:$AN)+1,FALSE),"")</f>
        <v>1-4IN DECO FLAKE - 40LB BAGAGAVE40LB BAG</v>
      </c>
      <c r="Z577" s="63" cm="1">
        <f t="array" ref="Z577">IFERROR(VLOOKUP($X577,$AN:AP,COLUMN(AP:AP)-COLUMN($AN:$AN)+1,FALSE),"")</f>
        <v>110</v>
      </c>
      <c r="AA577" s="1" t="str" cm="1">
        <f t="array" ref="AA577">IFERROR(VLOOKUP($X577,$AN:AQ,COLUMN(AQ:AQ)-COLUMN($AN:$AN)+1,FALSE),"")</f>
        <v>40LB BAG</v>
      </c>
      <c r="AC577" s="1" t="str" cm="1">
        <f t="array" ref="AC577">IFERROR(VLOOKUP($X577,$AN:AS,COLUMN(AS:AS)-COLUMN($AN:$AN)+1,FALSE),"")</f>
        <v>AGAVE</v>
      </c>
      <c r="AD577" s="1" t="s">
        <v>19</v>
      </c>
      <c r="AF577" s="1">
        <f>Table1[[#This Row],[C:C]]*1.1</f>
        <v>0</v>
      </c>
      <c r="AI577" s="1">
        <f>IFERROR(VLOOKUP(X577,#REF!,8,FALSE),0)</f>
        <v>0</v>
      </c>
      <c r="AN577" s="1" t="str">
        <f>PROD_ID_TABLE[[#This Row],[PROD ID]]</f>
        <v xml:space="preserve"> P-101 PRILIAY50</v>
      </c>
      <c r="AO577" s="1" t="str">
        <f t="shared" si="164"/>
        <v>CRYLAFLOR P-101 PRIMERLIGHT GRAY50 GAL KIT</v>
      </c>
      <c r="AP577" s="3">
        <f t="shared" si="165"/>
        <v>2702.39</v>
      </c>
      <c r="AQ577" s="1" t="str">
        <f t="shared" si="166"/>
        <v>50 GAL KIT</v>
      </c>
      <c r="AS577" s="1" t="str">
        <f t="shared" si="167"/>
        <v>LIGHT GRAY</v>
      </c>
      <c r="AY577" s="63" t="str">
        <f t="shared" si="168"/>
        <v xml:space="preserve"> P-101 PRILIAY50</v>
      </c>
      <c r="AZ577" s="63" t="str">
        <f t="shared" si="169"/>
        <v xml:space="preserve"> P-101 PRI</v>
      </c>
      <c r="BA577" s="63" t="str">
        <f t="shared" si="170"/>
        <v>LIAY</v>
      </c>
      <c r="BB577" s="63" t="str">
        <f t="shared" si="171"/>
        <v>50</v>
      </c>
      <c r="BC577" s="135">
        <f t="shared" si="163"/>
        <v>2702.39</v>
      </c>
      <c r="BD577" s="62" t="s">
        <v>369</v>
      </c>
      <c r="BE577" s="55" t="s">
        <v>384</v>
      </c>
      <c r="BF577" s="55" t="s">
        <v>1075</v>
      </c>
      <c r="BG577" s="55" t="s">
        <v>309</v>
      </c>
    </row>
    <row r="578" spans="22:59" x14ac:dyDescent="0.35">
      <c r="V578" s="1" t="str">
        <v>O FLAKE - GROT40L</v>
      </c>
      <c r="X578" s="1" t="str">
        <f t="shared" si="131"/>
        <v>O FLAKE - ALLK40L</v>
      </c>
      <c r="Y578" s="1" t="str" cm="1">
        <f t="array" ref="Y578">IFERROR(VLOOKUP($X578,$AN:AO,COLUMN(AO:AO)-COLUMN($AN:$AN)+1,FALSE),"")</f>
        <v>1-4IN DECO FLAKE - 40LB BAGALMOND MILK40LB BAG</v>
      </c>
      <c r="Z578" s="63" cm="1">
        <f t="array" ref="Z578">IFERROR(VLOOKUP($X578,$AN:AP,COLUMN(AP:AP)-COLUMN($AN:$AN)+1,FALSE),"")</f>
        <v>110</v>
      </c>
      <c r="AA578" s="1" t="str" cm="1">
        <f t="array" ref="AA578">IFERROR(VLOOKUP($X578,$AN:AQ,COLUMN(AQ:AQ)-COLUMN($AN:$AN)+1,FALSE),"")</f>
        <v>40LB BAG</v>
      </c>
      <c r="AC578" s="1" t="str" cm="1">
        <f t="array" ref="AC578">IFERROR(VLOOKUP($X578,$AN:AS,COLUMN(AS:AS)-COLUMN($AN:$AN)+1,FALSE),"")</f>
        <v>ALMOND MILK</v>
      </c>
      <c r="AD578" s="1" t="s">
        <v>19</v>
      </c>
      <c r="AF578" s="1">
        <f>Table1[[#This Row],[C:C]]*1.1</f>
        <v>0</v>
      </c>
      <c r="AI578" s="1">
        <f>IFERROR(VLOOKUP(X578,#REF!,8,FALSE),0)</f>
        <v>0</v>
      </c>
      <c r="AN578" s="1" t="str">
        <f>PROD_ID_TABLE[[#This Row],[PROD ID]]</f>
        <v xml:space="preserve"> P-101 PRIMEAY50</v>
      </c>
      <c r="AO578" s="1" t="str">
        <f t="shared" si="164"/>
        <v>CRYLAFLOR P-101 PRIMERMED. GRAY50 GAL KIT</v>
      </c>
      <c r="AP578" s="3">
        <f t="shared" si="165"/>
        <v>2702.39</v>
      </c>
      <c r="AQ578" s="1" t="str">
        <f t="shared" si="166"/>
        <v>50 GAL KIT</v>
      </c>
      <c r="AS578" s="1" t="str">
        <f t="shared" si="167"/>
        <v>MED. GRAY</v>
      </c>
      <c r="AY578" s="63" t="str">
        <f t="shared" si="168"/>
        <v xml:space="preserve"> P-101 PRIMEAY50</v>
      </c>
      <c r="AZ578" s="63" t="str">
        <f t="shared" si="169"/>
        <v xml:space="preserve"> P-101 PRI</v>
      </c>
      <c r="BA578" s="63" t="str">
        <f t="shared" si="170"/>
        <v>MEAY</v>
      </c>
      <c r="BB578" s="63" t="str">
        <f t="shared" si="171"/>
        <v>50</v>
      </c>
      <c r="BC578" s="135">
        <f t="shared" si="163"/>
        <v>2702.39</v>
      </c>
      <c r="BD578" s="62" t="s">
        <v>369</v>
      </c>
      <c r="BE578" s="55" t="s">
        <v>402</v>
      </c>
      <c r="BF578" s="55" t="s">
        <v>1075</v>
      </c>
      <c r="BG578" s="55" t="s">
        <v>309</v>
      </c>
    </row>
    <row r="579" spans="22:59" x14ac:dyDescent="0.35">
      <c r="V579" s="1" t="str">
        <v>O FLAKE - GREL40L</v>
      </c>
      <c r="X579" s="1" t="str">
        <f t="shared" si="131"/>
        <v>O FLAKE - BLAN40L</v>
      </c>
      <c r="Y579" s="1" t="str" cm="1">
        <f t="array" ref="Y579">IFERROR(VLOOKUP($X579,$AN:AO,COLUMN(AO:AO)-COLUMN($AN:$AN)+1,FALSE),"")</f>
        <v>1-4IN DECO FLAKE - 40LB BAGBLACK BEAN40LB BAG</v>
      </c>
      <c r="Z579" s="63" cm="1">
        <f t="array" ref="Z579">IFERROR(VLOOKUP($X579,$AN:AP,COLUMN(AP:AP)-COLUMN($AN:$AN)+1,FALSE),"")</f>
        <v>110</v>
      </c>
      <c r="AA579" s="1" t="str" cm="1">
        <f t="array" ref="AA579">IFERROR(VLOOKUP($X579,$AN:AQ,COLUMN(AQ:AQ)-COLUMN($AN:$AN)+1,FALSE),"")</f>
        <v>40LB BAG</v>
      </c>
      <c r="AC579" s="1" t="str" cm="1">
        <f t="array" ref="AC579">IFERROR(VLOOKUP($X579,$AN:AS,COLUMN(AS:AS)-COLUMN($AN:$AN)+1,FALSE),"")</f>
        <v>BLACK BEAN</v>
      </c>
      <c r="AD579" s="1" t="s">
        <v>19</v>
      </c>
      <c r="AF579" s="1">
        <f>Table1[[#This Row],[C:C]]*1.1</f>
        <v>0</v>
      </c>
      <c r="AI579" s="1">
        <f>IFERROR(VLOOKUP(X579,#REF!,8,FALSE),0)</f>
        <v>0</v>
      </c>
      <c r="AN579" s="1" t="str">
        <f>PROD_ID_TABLE[[#This Row],[PROD ID]]</f>
        <v xml:space="preserve"> P-101 PRISLAY50</v>
      </c>
      <c r="AO579" s="1" t="str">
        <f t="shared" si="164"/>
        <v>CRYLAFLOR P-101 PRIMERSLATE GRAY50 GAL KIT</v>
      </c>
      <c r="AP579" s="3">
        <f t="shared" si="165"/>
        <v>2702.39</v>
      </c>
      <c r="AQ579" s="1" t="str">
        <f t="shared" si="166"/>
        <v>50 GAL KIT</v>
      </c>
      <c r="AS579" s="1" t="str">
        <f t="shared" si="167"/>
        <v>SLATE GRAY</v>
      </c>
      <c r="AY579" s="63" t="str">
        <f t="shared" si="168"/>
        <v xml:space="preserve"> P-101 PRISLAY50</v>
      </c>
      <c r="AZ579" s="63" t="str">
        <f t="shared" si="169"/>
        <v xml:space="preserve"> P-101 PRI</v>
      </c>
      <c r="BA579" s="63" t="str">
        <f t="shared" si="170"/>
        <v>SLAY</v>
      </c>
      <c r="BB579" s="63" t="str">
        <f t="shared" si="171"/>
        <v>50</v>
      </c>
      <c r="BC579" s="135">
        <f t="shared" si="163"/>
        <v>2702.39</v>
      </c>
      <c r="BD579" s="62" t="s">
        <v>369</v>
      </c>
      <c r="BE579" s="55" t="s">
        <v>403</v>
      </c>
      <c r="BF579" s="55" t="s">
        <v>1075</v>
      </c>
      <c r="BG579" s="55" t="s">
        <v>309</v>
      </c>
    </row>
    <row r="580" spans="22:59" x14ac:dyDescent="0.35">
      <c r="V580" s="1" t="str">
        <v>O FLAKE - GRND40L</v>
      </c>
      <c r="X580" s="1" t="str">
        <f t="shared" si="131"/>
        <v>O FLAKE - BLND40L</v>
      </c>
      <c r="Y580" s="1" t="str" cm="1">
        <f t="array" ref="Y580">IFERROR(VLOOKUP($X580,$AN:AO,COLUMN(AO:AO)-COLUMN($AN:$AN)+1,FALSE),"")</f>
        <v>1-4IN DECO FLAKE - 40LB BAGBLACK DIAMOND40LB BAG</v>
      </c>
      <c r="Z580" s="63" cm="1">
        <f t="array" ref="Z580">IFERROR(VLOOKUP($X580,$AN:AP,COLUMN(AP:AP)-COLUMN($AN:$AN)+1,FALSE),"")</f>
        <v>110</v>
      </c>
      <c r="AA580" s="1" t="str" cm="1">
        <f t="array" ref="AA580">IFERROR(VLOOKUP($X580,$AN:AQ,COLUMN(AQ:AQ)-COLUMN($AN:$AN)+1,FALSE),"")</f>
        <v>40LB BAG</v>
      </c>
      <c r="AC580" s="1" t="str" cm="1">
        <f t="array" ref="AC580">IFERROR(VLOOKUP($X580,$AN:AS,COLUMN(AS:AS)-COLUMN($AN:$AN)+1,FALSE),"")</f>
        <v>BLACK DIAMOND</v>
      </c>
      <c r="AD580" s="1" t="s">
        <v>19</v>
      </c>
      <c r="AF580" s="1">
        <f>Table1[[#This Row],[C:C]]*1.1</f>
        <v>0</v>
      </c>
      <c r="AI580" s="1">
        <f>IFERROR(VLOOKUP(X580,#REF!,8,FALSE),0)</f>
        <v>0</v>
      </c>
      <c r="AN580" s="1" t="str">
        <f>PROD_ID_TABLE[[#This Row],[PROD ID]]</f>
        <v xml:space="preserve"> G-201 BINCLAR50</v>
      </c>
      <c r="AO580" s="1" t="str">
        <f t="shared" si="164"/>
        <v>CRYLAFLOR G-201 BINDERCLEAR50 GAL KIT</v>
      </c>
      <c r="AP580" s="3">
        <f t="shared" si="165"/>
        <v>3294.42</v>
      </c>
      <c r="AQ580" s="1" t="str">
        <f t="shared" si="166"/>
        <v>50 GAL KIT</v>
      </c>
      <c r="AS580" s="1" t="str">
        <f t="shared" si="167"/>
        <v>CLEAR</v>
      </c>
      <c r="AY580" s="63" t="str">
        <f t="shared" si="168"/>
        <v xml:space="preserve"> G-201 BINCLAR50</v>
      </c>
      <c r="AZ580" s="63" t="str">
        <f t="shared" si="169"/>
        <v xml:space="preserve"> G-201 BIN</v>
      </c>
      <c r="BA580" s="63" t="str">
        <f t="shared" si="170"/>
        <v>CLAR</v>
      </c>
      <c r="BB580" s="63" t="str">
        <f t="shared" si="171"/>
        <v>50</v>
      </c>
      <c r="BC580" s="135">
        <f t="shared" si="163"/>
        <v>3294.42</v>
      </c>
      <c r="BD580" s="1" t="s">
        <v>370</v>
      </c>
      <c r="BE580" s="14" t="s">
        <v>315</v>
      </c>
      <c r="BF580" s="55" t="s">
        <v>1075</v>
      </c>
      <c r="BG580" s="14" t="s">
        <v>309</v>
      </c>
    </row>
    <row r="581" spans="22:59" x14ac:dyDescent="0.35">
      <c r="V581" s="1" t="str">
        <v>O FLAKE - HUAY40</v>
      </c>
      <c r="X581" s="1" t="str">
        <f t="shared" si="131"/>
        <v>O FLAKE - BLOA40L</v>
      </c>
      <c r="Y581" s="1" t="str" cm="1">
        <f t="array" ref="Y581">IFERROR(VLOOKUP($X581,$AN:AO,COLUMN(AO:AO)-COLUMN($AN:$AN)+1,FALSE),"")</f>
        <v>1-4IN DECO FLAKE - 40LB BAGBLACK QUINOA40LB BAG</v>
      </c>
      <c r="Z581" s="63" cm="1">
        <f t="array" ref="Z581">IFERROR(VLOOKUP($X581,$AN:AP,COLUMN(AP:AP)-COLUMN($AN:$AN)+1,FALSE),"")</f>
        <v>110</v>
      </c>
      <c r="AA581" s="1" t="str" cm="1">
        <f t="array" ref="AA581">IFERROR(VLOOKUP($X581,$AN:AQ,COLUMN(AQ:AQ)-COLUMN($AN:$AN)+1,FALSE),"")</f>
        <v>40LB BAG</v>
      </c>
      <c r="AC581" s="1" t="str" cm="1">
        <f t="array" ref="AC581">IFERROR(VLOOKUP($X581,$AN:AS,COLUMN(AS:AS)-COLUMN($AN:$AN)+1,FALSE),"")</f>
        <v>BLACK QUINOA</v>
      </c>
      <c r="AD581" s="1" t="s">
        <v>19</v>
      </c>
      <c r="AF581" s="1">
        <f>Table1[[#This Row],[C:C]]*1.1</f>
        <v>0</v>
      </c>
      <c r="AI581" s="1">
        <f>IFERROR(VLOOKUP(X581,#REF!,8,FALSE),0)</f>
        <v>0</v>
      </c>
      <c r="AN581" s="1" t="str">
        <f>PROD_ID_TABLE[[#This Row],[PROD ID]]</f>
        <v xml:space="preserve"> G-201 BINBEGE50</v>
      </c>
      <c r="AO581" s="1" t="str">
        <f t="shared" si="164"/>
        <v>CRYLAFLOR G-201 BINDERBEIGE50 GAL KIT</v>
      </c>
      <c r="AP581" s="3">
        <f t="shared" si="165"/>
        <v>3294.42</v>
      </c>
      <c r="AQ581" s="1" t="str">
        <f t="shared" si="166"/>
        <v>50 GAL KIT</v>
      </c>
      <c r="AS581" s="1" t="str">
        <f t="shared" si="167"/>
        <v>BEIGE</v>
      </c>
      <c r="AY581" s="63" t="str">
        <f t="shared" si="168"/>
        <v xml:space="preserve"> G-201 BINBEGE50</v>
      </c>
      <c r="AZ581" s="63" t="str">
        <f t="shared" si="169"/>
        <v xml:space="preserve"> G-201 BIN</v>
      </c>
      <c r="BA581" s="63" t="str">
        <f t="shared" si="170"/>
        <v>BEGE</v>
      </c>
      <c r="BB581" s="63" t="str">
        <f t="shared" si="171"/>
        <v>50</v>
      </c>
      <c r="BC581" s="135">
        <f t="shared" si="163"/>
        <v>3294.42</v>
      </c>
      <c r="BD581" s="1" t="s">
        <v>370</v>
      </c>
      <c r="BE581" s="14" t="s">
        <v>399</v>
      </c>
      <c r="BF581" s="55" t="s">
        <v>1075</v>
      </c>
      <c r="BG581" s="14" t="s">
        <v>309</v>
      </c>
    </row>
    <row r="582" spans="22:59" x14ac:dyDescent="0.35">
      <c r="V582" s="1" t="str">
        <v>O FLAKE - KIKE40</v>
      </c>
      <c r="X582" s="1" t="str">
        <f t="shared" si="131"/>
        <v>O FLAKE - BOSE40L</v>
      </c>
      <c r="Y582" s="1" t="str" cm="1">
        <f t="array" ref="Y582">IFERROR(VLOOKUP($X582,$AN:AO,COLUMN(AO:AO)-COLUMN($AN:$AN)+1,FALSE),"")</f>
        <v>1-4IN DECO FLAKE - 40LB BAGBOTTLENOSE40LB BAG</v>
      </c>
      <c r="Z582" s="63" cm="1">
        <f t="array" ref="Z582">IFERROR(VLOOKUP($X582,$AN:AP,COLUMN(AP:AP)-COLUMN($AN:$AN)+1,FALSE),"")</f>
        <v>110</v>
      </c>
      <c r="AA582" s="1" t="str" cm="1">
        <f t="array" ref="AA582">IFERROR(VLOOKUP($X582,$AN:AQ,COLUMN(AQ:AQ)-COLUMN($AN:$AN)+1,FALSE),"")</f>
        <v>40LB BAG</v>
      </c>
      <c r="AC582" s="1" t="str" cm="1">
        <f t="array" ref="AC582">IFERROR(VLOOKUP($X582,$AN:AS,COLUMN(AS:AS)-COLUMN($AN:$AN)+1,FALSE),"")</f>
        <v>BOTTLENOSE</v>
      </c>
      <c r="AD582" s="1" t="s">
        <v>19</v>
      </c>
      <c r="AF582" s="1">
        <f>Table1[[#This Row],[C:C]]*1.1</f>
        <v>0</v>
      </c>
      <c r="AI582" s="1">
        <f>IFERROR(VLOOKUP(X582,#REF!,8,FALSE),0)</f>
        <v>0</v>
      </c>
      <c r="AN582" s="1" t="str">
        <f>PROD_ID_TABLE[[#This Row],[PROD ID]]</f>
        <v xml:space="preserve"> G-201 BINBROW50</v>
      </c>
      <c r="AO582" s="1" t="str">
        <f t="shared" si="164"/>
        <v>CRYLAFLOR G-201 BINDERBRIGHT YELLOW50 GAL KIT</v>
      </c>
      <c r="AP582" s="3">
        <f t="shared" si="165"/>
        <v>3294.42</v>
      </c>
      <c r="AQ582" s="1" t="str">
        <f t="shared" si="166"/>
        <v>50 GAL KIT</v>
      </c>
      <c r="AS582" s="1" t="str">
        <f t="shared" si="167"/>
        <v>BRIGHT YELLOW</v>
      </c>
      <c r="AY582" s="63" t="str">
        <f t="shared" si="168"/>
        <v xml:space="preserve"> G-201 BINBROW50</v>
      </c>
      <c r="AZ582" s="63" t="str">
        <f t="shared" si="169"/>
        <v xml:space="preserve"> G-201 BIN</v>
      </c>
      <c r="BA582" s="63" t="str">
        <f t="shared" si="170"/>
        <v>BROW</v>
      </c>
      <c r="BB582" s="63" t="str">
        <f t="shared" si="171"/>
        <v>50</v>
      </c>
      <c r="BC582" s="135">
        <f t="shared" si="163"/>
        <v>3294.42</v>
      </c>
      <c r="BD582" s="1" t="s">
        <v>370</v>
      </c>
      <c r="BE582" s="14" t="s">
        <v>400</v>
      </c>
      <c r="BF582" s="55" t="s">
        <v>1075</v>
      </c>
      <c r="BG582" s="14" t="s">
        <v>309</v>
      </c>
    </row>
    <row r="583" spans="22:59" x14ac:dyDescent="0.35">
      <c r="V583" s="1" t="str">
        <v>O FLAKE - KIIN40</v>
      </c>
      <c r="X583" s="1" t="str">
        <f t="shared" si="131"/>
        <v>O FLAKE - BUOD40L</v>
      </c>
      <c r="Y583" s="1" t="str" cm="1">
        <f t="array" ref="Y583">IFERROR(VLOOKUP($X583,$AN:AO,COLUMN(AO:AO)-COLUMN($AN:$AN)+1,FALSE),"")</f>
        <v>1-4IN DECO FLAKE - 40LB BAGBURNT WOOD40LB BAG</v>
      </c>
      <c r="Z583" s="63" cm="1">
        <f t="array" ref="Z583">IFERROR(VLOOKUP($X583,$AN:AP,COLUMN(AP:AP)-COLUMN($AN:$AN)+1,FALSE),"")</f>
        <v>110</v>
      </c>
      <c r="AA583" s="1" t="str" cm="1">
        <f t="array" ref="AA583">IFERROR(VLOOKUP($X583,$AN:AQ,COLUMN(AQ:AQ)-COLUMN($AN:$AN)+1,FALSE),"")</f>
        <v>40LB BAG</v>
      </c>
      <c r="AC583" s="1" t="str" cm="1">
        <f t="array" ref="AC583">IFERROR(VLOOKUP($X583,$AN:AS,COLUMN(AS:AS)-COLUMN($AN:$AN)+1,FALSE),"")</f>
        <v>BURNT WOOD</v>
      </c>
      <c r="AD583" s="1" t="s">
        <v>19</v>
      </c>
      <c r="AF583" s="1">
        <f>Table1[[#This Row],[C:C]]*1.1</f>
        <v>0</v>
      </c>
      <c r="AI583" s="1">
        <f>IFERROR(VLOOKUP(X583,#REF!,8,FALSE),0)</f>
        <v>0</v>
      </c>
      <c r="AN583" s="1" t="str">
        <f>PROD_ID_TABLE[[#This Row],[PROD ID]]</f>
        <v xml:space="preserve"> G-201 BINCOAY50</v>
      </c>
      <c r="AO583" s="1" t="str">
        <f t="shared" ref="AO583:AO621" si="172">_xlfn.CONCAT(BD583:BF583)</f>
        <v>CRYLAFLOR G-201 BINDERCONCRETE GRAY50 GAL KIT</v>
      </c>
      <c r="AP583" s="3">
        <f t="shared" ref="AP583:AP621" si="173">BC583</f>
        <v>3294.42</v>
      </c>
      <c r="AQ583" s="1" t="str">
        <f t="shared" ref="AQ583:AQ621" si="174">BF583</f>
        <v>50 GAL KIT</v>
      </c>
      <c r="AS583" s="1" t="str">
        <f t="shared" ref="AS583:AS621" si="175">BE583</f>
        <v>CONCRETE GRAY</v>
      </c>
      <c r="AY583" s="63" t="str">
        <f t="shared" si="168"/>
        <v xml:space="preserve"> G-201 BINCOAY50</v>
      </c>
      <c r="AZ583" s="63" t="str">
        <f t="shared" si="169"/>
        <v xml:space="preserve"> G-201 BIN</v>
      </c>
      <c r="BA583" s="63" t="str">
        <f t="shared" si="170"/>
        <v>COAY</v>
      </c>
      <c r="BB583" s="63" t="str">
        <f t="shared" si="171"/>
        <v>50</v>
      </c>
      <c r="BC583" s="135">
        <f t="shared" si="163"/>
        <v>3294.42</v>
      </c>
      <c r="BD583" s="1" t="s">
        <v>370</v>
      </c>
      <c r="BE583" s="14" t="s">
        <v>393</v>
      </c>
      <c r="BF583" s="55" t="s">
        <v>1075</v>
      </c>
      <c r="BG583" s="14" t="s">
        <v>309</v>
      </c>
    </row>
    <row r="584" spans="22:59" x14ac:dyDescent="0.35">
      <c r="V584" s="1" t="str">
        <v>O FLAKE - KOAT40</v>
      </c>
      <c r="X584" s="1" t="str">
        <f t="shared" si="131"/>
        <v>O FLAKE - CACK40L</v>
      </c>
      <c r="Y584" s="1" t="str" cm="1">
        <f t="array" ref="Y584">IFERROR(VLOOKUP($X584,$AN:AO,COLUMN(AO:AO)-COLUMN($AN:$AN)+1,FALSE),"")</f>
        <v>1-4IN DECO FLAKE - 40LB BAGCASTLEROCK40LB BAG</v>
      </c>
      <c r="Z584" s="63" cm="1">
        <f t="array" ref="Z584">IFERROR(VLOOKUP($X584,$AN:AP,COLUMN(AP:AP)-COLUMN($AN:$AN)+1,FALSE),"")</f>
        <v>110</v>
      </c>
      <c r="AA584" s="1" t="str" cm="1">
        <f t="array" ref="AA584">IFERROR(VLOOKUP($X584,$AN:AQ,COLUMN(AQ:AQ)-COLUMN($AN:$AN)+1,FALSE),"")</f>
        <v>40LB BAG</v>
      </c>
      <c r="AC584" s="1" t="str" cm="1">
        <f t="array" ref="AC584">IFERROR(VLOOKUP($X584,$AN:AS,COLUMN(AS:AS)-COLUMN($AN:$AN)+1,FALSE),"")</f>
        <v>CASTLEROCK</v>
      </c>
      <c r="AD584" s="1" t="s">
        <v>19</v>
      </c>
      <c r="AF584" s="1">
        <f>Table1[[#This Row],[C:C]]*1.1</f>
        <v>0</v>
      </c>
      <c r="AI584" s="1">
        <f>IFERROR(VLOOKUP(X584,#REF!,8,FALSE),0)</f>
        <v>0</v>
      </c>
      <c r="AN584" s="1" t="str">
        <f>PROD_ID_TABLE[[#This Row],[PROD ID]]</f>
        <v xml:space="preserve"> G-201 BINCHAY50</v>
      </c>
      <c r="AO584" s="1" t="str">
        <f t="shared" si="172"/>
        <v>CRYLAFLOR G-201 BINDERCHARCOAL GRAY50 GAL KIT</v>
      </c>
      <c r="AP584" s="3">
        <f t="shared" si="173"/>
        <v>3294.42</v>
      </c>
      <c r="AQ584" s="1" t="str">
        <f t="shared" si="174"/>
        <v>50 GAL KIT</v>
      </c>
      <c r="AS584" s="1" t="str">
        <f t="shared" si="175"/>
        <v>CHARCOAL GRAY</v>
      </c>
      <c r="AY584" s="63" t="str">
        <f t="shared" si="168"/>
        <v xml:space="preserve"> G-201 BINCHAY50</v>
      </c>
      <c r="AZ584" s="63" t="str">
        <f t="shared" si="169"/>
        <v xml:space="preserve"> G-201 BIN</v>
      </c>
      <c r="BA584" s="63" t="str">
        <f t="shared" si="170"/>
        <v>CHAY</v>
      </c>
      <c r="BB584" s="63" t="str">
        <f t="shared" si="171"/>
        <v>50</v>
      </c>
      <c r="BC584" s="135">
        <f t="shared" si="163"/>
        <v>3294.42</v>
      </c>
      <c r="BD584" s="1" t="s">
        <v>370</v>
      </c>
      <c r="BE584" s="14" t="s">
        <v>401</v>
      </c>
      <c r="BF584" s="55" t="s">
        <v>1075</v>
      </c>
      <c r="BG584" s="14" t="s">
        <v>309</v>
      </c>
    </row>
    <row r="585" spans="22:59" x14ac:dyDescent="0.35">
      <c r="V585" s="1" t="str">
        <v>O FLAKE - LINE40</v>
      </c>
      <c r="X585" s="1" t="str">
        <f t="shared" si="131"/>
        <v>O FLAKE - CHAL40L</v>
      </c>
      <c r="Y585" s="1" t="str" cm="1">
        <f t="array" ref="Y585">IFERROR(VLOOKUP($X585,$AN:AO,COLUMN(AO:AO)-COLUMN($AN:$AN)+1,FALSE),"")</f>
        <v>1-4IN DECO FLAKE - 40LB BAGCHERRY CORDIAL40LB BAG</v>
      </c>
      <c r="Z585" s="63" cm="1">
        <f t="array" ref="Z585">IFERROR(VLOOKUP($X585,$AN:AP,COLUMN(AP:AP)-COLUMN($AN:$AN)+1,FALSE),"")</f>
        <v>110</v>
      </c>
      <c r="AA585" s="1" t="str" cm="1">
        <f t="array" ref="AA585">IFERROR(VLOOKUP($X585,$AN:AQ,COLUMN(AQ:AQ)-COLUMN($AN:$AN)+1,FALSE),"")</f>
        <v>40LB BAG</v>
      </c>
      <c r="AC585" s="1" t="str" cm="1">
        <f t="array" ref="AC585">IFERROR(VLOOKUP($X585,$AN:AS,COLUMN(AS:AS)-COLUMN($AN:$AN)+1,FALSE),"")</f>
        <v>CHERRY CORDIAL</v>
      </c>
      <c r="AD585" s="1" t="s">
        <v>19</v>
      </c>
      <c r="AF585" s="1">
        <f>Table1[[#This Row],[C:C]]*1.1</f>
        <v>0</v>
      </c>
      <c r="AI585" s="1">
        <f>IFERROR(VLOOKUP(X585,#REF!,8,FALSE),0)</f>
        <v>0</v>
      </c>
      <c r="AN585" s="1" t="str">
        <f>PROD_ID_TABLE[[#This Row],[PROD ID]]</f>
        <v xml:space="preserve"> G-201 BINLIAY50</v>
      </c>
      <c r="AO585" s="1" t="str">
        <f t="shared" si="172"/>
        <v>CRYLAFLOR G-201 BINDERLIGHT GRAY50 GAL KIT</v>
      </c>
      <c r="AP585" s="3">
        <f t="shared" si="173"/>
        <v>3294.42</v>
      </c>
      <c r="AQ585" s="1" t="str">
        <f t="shared" si="174"/>
        <v>50 GAL KIT</v>
      </c>
      <c r="AS585" s="1" t="str">
        <f t="shared" si="175"/>
        <v>LIGHT GRAY</v>
      </c>
      <c r="AY585" s="63" t="str">
        <f t="shared" si="168"/>
        <v xml:space="preserve"> G-201 BINLIAY50</v>
      </c>
      <c r="AZ585" s="63" t="str">
        <f t="shared" si="169"/>
        <v xml:space="preserve"> G-201 BIN</v>
      </c>
      <c r="BA585" s="63" t="str">
        <f t="shared" si="170"/>
        <v>LIAY</v>
      </c>
      <c r="BB585" s="63" t="str">
        <f t="shared" si="171"/>
        <v>50</v>
      </c>
      <c r="BC585" s="135">
        <f t="shared" si="163"/>
        <v>3294.42</v>
      </c>
      <c r="BD585" s="1" t="s">
        <v>370</v>
      </c>
      <c r="BE585" s="14" t="s">
        <v>384</v>
      </c>
      <c r="BF585" s="55" t="s">
        <v>1075</v>
      </c>
      <c r="BG585" s="14" t="s">
        <v>309</v>
      </c>
    </row>
    <row r="586" spans="22:59" x14ac:dyDescent="0.35">
      <c r="V586" s="1" t="str">
        <v>O FLAKE - MAEL40</v>
      </c>
      <c r="X586" s="1" t="str">
        <f t="shared" si="131"/>
        <v>O FLAKE - CHLA40L</v>
      </c>
      <c r="Y586" s="1" t="str" cm="1">
        <f t="array" ref="Y586">IFERROR(VLOOKUP($X586,$AN:AO,COLUMN(AO:AO)-COLUMN($AN:$AN)+1,FALSE),"")</f>
        <v>1-4IN DECO FLAKE - 40LB BAGCHINCHILLA40LB BAG</v>
      </c>
      <c r="Z586" s="63" cm="1">
        <f t="array" ref="Z586">IFERROR(VLOOKUP($X586,$AN:AP,COLUMN(AP:AP)-COLUMN($AN:$AN)+1,FALSE),"")</f>
        <v>110</v>
      </c>
      <c r="AA586" s="1" t="str" cm="1">
        <f t="array" ref="AA586">IFERROR(VLOOKUP($X586,$AN:AQ,COLUMN(AQ:AQ)-COLUMN($AN:$AN)+1,FALSE),"")</f>
        <v>40LB BAG</v>
      </c>
      <c r="AC586" s="1" t="str" cm="1">
        <f t="array" ref="AC586">IFERROR(VLOOKUP($X586,$AN:AS,COLUMN(AS:AS)-COLUMN($AN:$AN)+1,FALSE),"")</f>
        <v>CHINCHILLA</v>
      </c>
      <c r="AD586" s="1" t="s">
        <v>19</v>
      </c>
      <c r="AF586" s="1">
        <f>Table1[[#This Row],[C:C]]*1.1</f>
        <v>0</v>
      </c>
      <c r="AI586" s="1">
        <f>IFERROR(VLOOKUP(X586,#REF!,8,FALSE),0)</f>
        <v>0</v>
      </c>
      <c r="AN586" s="1" t="str">
        <f>PROD_ID_TABLE[[#This Row],[PROD ID]]</f>
        <v xml:space="preserve"> G-201 BINMEAY50</v>
      </c>
      <c r="AO586" s="1" t="str">
        <f t="shared" si="172"/>
        <v>CRYLAFLOR G-201 BINDERMED. GRAY50 GAL KIT</v>
      </c>
      <c r="AP586" s="3">
        <f t="shared" si="173"/>
        <v>3294.42</v>
      </c>
      <c r="AQ586" s="1" t="str">
        <f t="shared" si="174"/>
        <v>50 GAL KIT</v>
      </c>
      <c r="AS586" s="1" t="str">
        <f t="shared" si="175"/>
        <v>MED. GRAY</v>
      </c>
      <c r="AY586" s="63" t="str">
        <f t="shared" si="168"/>
        <v xml:space="preserve"> G-201 BINMEAY50</v>
      </c>
      <c r="AZ586" s="63" t="str">
        <f t="shared" si="169"/>
        <v xml:space="preserve"> G-201 BIN</v>
      </c>
      <c r="BA586" s="63" t="str">
        <f t="shared" si="170"/>
        <v>MEAY</v>
      </c>
      <c r="BB586" s="63" t="str">
        <f t="shared" si="171"/>
        <v>50</v>
      </c>
      <c r="BC586" s="135">
        <f t="shared" si="163"/>
        <v>3294.42</v>
      </c>
      <c r="BD586" s="1" t="s">
        <v>370</v>
      </c>
      <c r="BE586" s="14" t="s">
        <v>402</v>
      </c>
      <c r="BF586" s="55" t="s">
        <v>1075</v>
      </c>
      <c r="BG586" s="14" t="s">
        <v>309</v>
      </c>
    </row>
    <row r="587" spans="22:59" x14ac:dyDescent="0.35">
      <c r="V587" s="1" t="str">
        <v>O FLAKE - METE40</v>
      </c>
      <c r="X587" s="1" t="str">
        <f t="shared" si="131"/>
        <v>O FLAKE - CUND40L</v>
      </c>
      <c r="Y587" s="1" t="str" cm="1">
        <f t="array" ref="Y587">IFERROR(VLOOKUP($X587,$AN:AO,COLUMN(AO:AO)-COLUMN($AN:$AN)+1,FALSE),"")</f>
        <v>1-4IN DECO FLAKE - 40LB BAGCUSTOM BLEND40LB BAG</v>
      </c>
      <c r="Z587" s="63" cm="1">
        <f t="array" ref="Z587">IFERROR(VLOOKUP($X587,$AN:AP,COLUMN(AP:AP)-COLUMN($AN:$AN)+1,FALSE),"")</f>
        <v>110</v>
      </c>
      <c r="AA587" s="1" t="str" cm="1">
        <f t="array" ref="AA587">IFERROR(VLOOKUP($X587,$AN:AQ,COLUMN(AQ:AQ)-COLUMN($AN:$AN)+1,FALSE),"")</f>
        <v>40LB BAG</v>
      </c>
      <c r="AC587" s="1" t="str" cm="1">
        <f t="array" ref="AC587">IFERROR(VLOOKUP($X587,$AN:AS,COLUMN(AS:AS)-COLUMN($AN:$AN)+1,FALSE),"")</f>
        <v>CUSTOM BLEND</v>
      </c>
      <c r="AD587" s="1" t="s">
        <v>19</v>
      </c>
      <c r="AF587" s="1">
        <f>Table1[[#This Row],[C:C]]*1.1</f>
        <v>0</v>
      </c>
      <c r="AI587" s="1">
        <f>IFERROR(VLOOKUP(X587,#REF!,8,FALSE),0)</f>
        <v>0</v>
      </c>
      <c r="AN587" s="1" t="str">
        <f>PROD_ID_TABLE[[#This Row],[PROD ID]]</f>
        <v xml:space="preserve"> G-201 BINSLAY50</v>
      </c>
      <c r="AO587" s="1" t="str">
        <f t="shared" si="172"/>
        <v>CRYLAFLOR G-201 BINDERSLATE GRAY50 GAL KIT</v>
      </c>
      <c r="AP587" s="3">
        <f t="shared" si="173"/>
        <v>3294.42</v>
      </c>
      <c r="AQ587" s="1" t="str">
        <f t="shared" si="174"/>
        <v>50 GAL KIT</v>
      </c>
      <c r="AS587" s="1" t="str">
        <f t="shared" si="175"/>
        <v>SLATE GRAY</v>
      </c>
      <c r="AY587" s="63" t="str">
        <f t="shared" si="168"/>
        <v xml:space="preserve"> G-201 BINSLAY50</v>
      </c>
      <c r="AZ587" s="63" t="str">
        <f t="shared" si="169"/>
        <v xml:space="preserve"> G-201 BIN</v>
      </c>
      <c r="BA587" s="63" t="str">
        <f t="shared" si="170"/>
        <v>SLAY</v>
      </c>
      <c r="BB587" s="63" t="str">
        <f t="shared" si="171"/>
        <v>50</v>
      </c>
      <c r="BC587" s="135">
        <f t="shared" si="163"/>
        <v>3294.42</v>
      </c>
      <c r="BD587" s="1" t="s">
        <v>370</v>
      </c>
      <c r="BE587" s="14" t="s">
        <v>403</v>
      </c>
      <c r="BF587" s="55" t="s">
        <v>1075</v>
      </c>
      <c r="BG587" s="14" t="s">
        <v>309</v>
      </c>
    </row>
    <row r="588" spans="22:59" x14ac:dyDescent="0.35">
      <c r="V588" s="1" t="str">
        <v>O FLAKE - MOON40</v>
      </c>
      <c r="X588" s="1" t="str">
        <f t="shared" si="131"/>
        <v>O FLAKE - FLED40L</v>
      </c>
      <c r="Y588" s="1" t="str" cm="1">
        <f t="array" ref="Y588">IFERROR(VLOOKUP($X588,$AN:AO,COLUMN(AO:AO)-COLUMN($AN:$AN)+1,FALSE),"")</f>
        <v>1-4IN DECO FLAKE - 40LB BAGFLAXSEED40LB BAG</v>
      </c>
      <c r="Z588" s="63" cm="1">
        <f t="array" ref="Z588">IFERROR(VLOOKUP($X588,$AN:AP,COLUMN(AP:AP)-COLUMN($AN:$AN)+1,FALSE),"")</f>
        <v>110</v>
      </c>
      <c r="AA588" s="1" t="str" cm="1">
        <f t="array" ref="AA588">IFERROR(VLOOKUP($X588,$AN:AQ,COLUMN(AQ:AQ)-COLUMN($AN:$AN)+1,FALSE),"")</f>
        <v>40LB BAG</v>
      </c>
      <c r="AC588" s="1" t="str" cm="1">
        <f t="array" ref="AC588">IFERROR(VLOOKUP($X588,$AN:AS,COLUMN(AS:AS)-COLUMN($AN:$AN)+1,FALSE),"")</f>
        <v>FLAXSEED</v>
      </c>
      <c r="AD588" s="1" t="s">
        <v>19</v>
      </c>
      <c r="AF588" s="1">
        <f>Table1[[#This Row],[C:C]]*1.1</f>
        <v>0</v>
      </c>
      <c r="AI588" s="1">
        <f>IFERROR(VLOOKUP(X588,#REF!,8,FALSE),0)</f>
        <v>0</v>
      </c>
      <c r="AN588" s="1" t="str">
        <f>PROD_ID_TABLE[[#This Row],[PROD ID]]</f>
        <v xml:space="preserve"> G-201 BINBLCK50</v>
      </c>
      <c r="AO588" s="1" t="str">
        <f t="shared" si="172"/>
        <v>CRYLAFLOR G-201 BINDERBLACK50 GAL KIT</v>
      </c>
      <c r="AP588" s="3">
        <f t="shared" si="173"/>
        <v>3294.42</v>
      </c>
      <c r="AQ588" s="1" t="str">
        <f t="shared" si="174"/>
        <v>50 GAL KIT</v>
      </c>
      <c r="AS588" s="1" t="str">
        <f t="shared" si="175"/>
        <v>BLACK</v>
      </c>
      <c r="AY588" s="63" t="str">
        <f t="shared" si="168"/>
        <v xml:space="preserve"> G-201 BINBLCK50</v>
      </c>
      <c r="AZ588" s="63" t="str">
        <f t="shared" si="169"/>
        <v xml:space="preserve"> G-201 BIN</v>
      </c>
      <c r="BA588" s="63" t="str">
        <f t="shared" si="170"/>
        <v>BLCK</v>
      </c>
      <c r="BB588" s="63" t="str">
        <f t="shared" si="171"/>
        <v>50</v>
      </c>
      <c r="BC588" s="135">
        <f t="shared" si="163"/>
        <v>3294.42</v>
      </c>
      <c r="BD588" s="1" t="s">
        <v>370</v>
      </c>
      <c r="BE588" s="14" t="s">
        <v>323</v>
      </c>
      <c r="BF588" s="55" t="s">
        <v>1075</v>
      </c>
      <c r="BG588" s="14" t="s">
        <v>309</v>
      </c>
    </row>
    <row r="589" spans="22:59" x14ac:dyDescent="0.35">
      <c r="V589" s="1" t="str">
        <v>O FLAKE - MOSE40</v>
      </c>
      <c r="X589" s="1" t="str">
        <f t="shared" ref="X589:X652" si="176">V577</f>
        <v>O FLAKE - GNSS40L</v>
      </c>
      <c r="Y589" s="1" t="str" cm="1">
        <f t="array" ref="Y589">IFERROR(VLOOKUP($X589,$AN:AO,COLUMN(AO:AO)-COLUMN($AN:$AN)+1,FALSE),"")</f>
        <v>1-4IN DECO FLAKE - 40LB BAGGNEISS40LB BAG</v>
      </c>
      <c r="Z589" s="63" cm="1">
        <f t="array" ref="Z589">IFERROR(VLOOKUP($X589,$AN:AP,COLUMN(AP:AP)-COLUMN($AN:$AN)+1,FALSE),"")</f>
        <v>110</v>
      </c>
      <c r="AA589" s="1" t="str" cm="1">
        <f t="array" ref="AA589">IFERROR(VLOOKUP($X589,$AN:AQ,COLUMN(AQ:AQ)-COLUMN($AN:$AN)+1,FALSE),"")</f>
        <v>40LB BAG</v>
      </c>
      <c r="AC589" s="1" t="str" cm="1">
        <f t="array" ref="AC589">IFERROR(VLOOKUP($X589,$AN:AS,COLUMN(AS:AS)-COLUMN($AN:$AN)+1,FALSE),"")</f>
        <v>GNEISS</v>
      </c>
      <c r="AD589" s="1" t="s">
        <v>19</v>
      </c>
      <c r="AF589" s="1">
        <f>Table1[[#This Row],[C:C]]*1.1</f>
        <v>0</v>
      </c>
      <c r="AI589" s="1">
        <f>IFERROR(VLOOKUP(X589,#REF!,8,FALSE),0)</f>
        <v>0</v>
      </c>
      <c r="AN589" s="1" t="str">
        <f>PROD_ID_TABLE[[#This Row],[PROD ID]]</f>
        <v xml:space="preserve"> G-201 BINGREN50</v>
      </c>
      <c r="AO589" s="1" t="str">
        <f t="shared" si="172"/>
        <v>CRYLAFLOR G-201 BINDERGREEN50 GAL KIT</v>
      </c>
      <c r="AP589" s="3">
        <f t="shared" si="173"/>
        <v>3294.42</v>
      </c>
      <c r="AQ589" s="1" t="str">
        <f t="shared" si="174"/>
        <v>50 GAL KIT</v>
      </c>
      <c r="AS589" s="1" t="str">
        <f t="shared" si="175"/>
        <v>GREEN</v>
      </c>
      <c r="AY589" s="63" t="str">
        <f t="shared" si="168"/>
        <v xml:space="preserve"> G-201 BINGREN50</v>
      </c>
      <c r="AZ589" s="63" t="str">
        <f t="shared" si="169"/>
        <v xml:space="preserve"> G-201 BIN</v>
      </c>
      <c r="BA589" s="63" t="str">
        <f t="shared" si="170"/>
        <v>GREN</v>
      </c>
      <c r="BB589" s="63" t="str">
        <f t="shared" si="171"/>
        <v>50</v>
      </c>
      <c r="BC589" s="135">
        <f t="shared" si="163"/>
        <v>3294.42</v>
      </c>
      <c r="BD589" s="1" t="s">
        <v>370</v>
      </c>
      <c r="BE589" s="14" t="s">
        <v>395</v>
      </c>
      <c r="BF589" s="55" t="s">
        <v>1075</v>
      </c>
      <c r="BG589" s="14" t="s">
        <v>309</v>
      </c>
    </row>
    <row r="590" spans="22:59" x14ac:dyDescent="0.35">
      <c r="V590" s="1" t="str">
        <v>O FLAKE - MOOG40</v>
      </c>
      <c r="X590" s="1" t="str">
        <f t="shared" si="176"/>
        <v>O FLAKE - GROT40L</v>
      </c>
      <c r="Y590" s="1" t="str" cm="1">
        <f t="array" ref="Y590">IFERROR(VLOOKUP($X590,$AN:AO,COLUMN(AO:AO)-COLUMN($AN:$AN)+1,FALSE),"")</f>
        <v>1-4IN DECO FLAKE - 40LB BAGGRAY PARROT40LB BAG</v>
      </c>
      <c r="Z590" s="63" cm="1">
        <f t="array" ref="Z590">IFERROR(VLOOKUP($X590,$AN:AP,COLUMN(AP:AP)-COLUMN($AN:$AN)+1,FALSE),"")</f>
        <v>110</v>
      </c>
      <c r="AA590" s="1" t="str" cm="1">
        <f t="array" ref="AA590">IFERROR(VLOOKUP($X590,$AN:AQ,COLUMN(AQ:AQ)-COLUMN($AN:$AN)+1,FALSE),"")</f>
        <v>40LB BAG</v>
      </c>
      <c r="AC590" s="1" t="str" cm="1">
        <f t="array" ref="AC590">IFERROR(VLOOKUP($X590,$AN:AS,COLUMN(AS:AS)-COLUMN($AN:$AN)+1,FALSE),"")</f>
        <v>GRAY PARROT</v>
      </c>
      <c r="AD590" s="1" t="s">
        <v>19</v>
      </c>
      <c r="AF590" s="1">
        <f>Table1[[#This Row],[C:C]]*1.1</f>
        <v>0</v>
      </c>
      <c r="AI590" s="1">
        <f>IFERROR(VLOOKUP(X590,#REF!,8,FALSE),0)</f>
        <v>0</v>
      </c>
      <c r="AN590" s="1" t="str">
        <f>PROD_ID_TABLE[[#This Row],[PROD ID]]</f>
        <v xml:space="preserve"> G-201 BINWHTE50</v>
      </c>
      <c r="AO590" s="1" t="str">
        <f t="shared" si="172"/>
        <v>CRYLAFLOR G-201 BINDERWHITE50 GAL KIT</v>
      </c>
      <c r="AP590" s="3">
        <f t="shared" si="173"/>
        <v>3294.42</v>
      </c>
      <c r="AQ590" s="1" t="str">
        <f t="shared" si="174"/>
        <v>50 GAL KIT</v>
      </c>
      <c r="AR590" s="1" t="str">
        <f t="shared" ref="AR590:AR605" si="177">_xlfn.CONCAT(BD554:BF554)</f>
        <v>HPF UNIVERSAL COLORANTBlack1 Pt</v>
      </c>
      <c r="AS590" s="1" t="str">
        <f t="shared" si="175"/>
        <v>WHITE</v>
      </c>
      <c r="AY590" s="63" t="str">
        <f t="shared" si="168"/>
        <v xml:space="preserve"> G-201 BINWHTE50</v>
      </c>
      <c r="AZ590" s="63" t="str">
        <f t="shared" si="169"/>
        <v xml:space="preserve"> G-201 BIN</v>
      </c>
      <c r="BA590" s="63" t="str">
        <f t="shared" si="170"/>
        <v>WHTE</v>
      </c>
      <c r="BB590" s="63" t="str">
        <f t="shared" si="171"/>
        <v>50</v>
      </c>
      <c r="BC590" s="135">
        <f t="shared" si="163"/>
        <v>3294.42</v>
      </c>
      <c r="BD590" s="1" t="s">
        <v>370</v>
      </c>
      <c r="BE590" s="14" t="s">
        <v>322</v>
      </c>
      <c r="BF590" s="55" t="s">
        <v>1075</v>
      </c>
      <c r="BG590" s="14" t="s">
        <v>309</v>
      </c>
    </row>
    <row r="591" spans="22:59" x14ac:dyDescent="0.35">
      <c r="V591" s="1" t="str">
        <v>N/A</v>
      </c>
      <c r="X591" s="1" t="str">
        <f t="shared" si="176"/>
        <v>O FLAKE - GREL40L</v>
      </c>
      <c r="Y591" s="1" t="str" cm="1">
        <f t="array" ref="Y591">IFERROR(VLOOKUP($X591,$AN:AO,COLUMN(AO:AO)-COLUMN($AN:$AN)+1,FALSE),"")</f>
        <v>1-4IN DECO FLAKE - 40LB BAGGRAY SQUIRREL40LB BAG</v>
      </c>
      <c r="Z591" s="63" cm="1">
        <f t="array" ref="Z591">IFERROR(VLOOKUP($X591,$AN:AP,COLUMN(AP:AP)-COLUMN($AN:$AN)+1,FALSE),"")</f>
        <v>110</v>
      </c>
      <c r="AA591" s="1" t="str" cm="1">
        <f t="array" ref="AA591">IFERROR(VLOOKUP($X591,$AN:AQ,COLUMN(AQ:AQ)-COLUMN($AN:$AN)+1,FALSE),"")</f>
        <v>40LB BAG</v>
      </c>
      <c r="AC591" s="1" t="str" cm="1">
        <f t="array" ref="AC591">IFERROR(VLOOKUP($X591,$AN:AS,COLUMN(AS:AS)-COLUMN($AN:$AN)+1,FALSE),"")</f>
        <v>GRAY SQUIRREL</v>
      </c>
      <c r="AD591" s="1" t="s">
        <v>19</v>
      </c>
      <c r="AF591" s="1">
        <f>Table1[[#This Row],[C:C]]*1.1</f>
        <v>0</v>
      </c>
      <c r="AI591" s="1">
        <f>IFERROR(VLOOKUP(X591,#REF!,8,FALSE),0)</f>
        <v>0</v>
      </c>
      <c r="AN591" s="1" t="str">
        <f>PROD_ID_TABLE[[#This Row],[PROD ID]]</f>
        <v xml:space="preserve"> G-201 BINSPAL50</v>
      </c>
      <c r="AO591" s="1" t="str">
        <f t="shared" si="172"/>
        <v>CRYLAFLOR G-201 BINDERSPECIAL50 GAL KIT</v>
      </c>
      <c r="AP591" s="3">
        <f t="shared" si="173"/>
        <v>3294.42</v>
      </c>
      <c r="AQ591" s="1" t="str">
        <f t="shared" si="174"/>
        <v>50 GAL KIT</v>
      </c>
      <c r="AR591" s="1" t="str">
        <f t="shared" si="177"/>
        <v>HPF UNIVERSAL COLORANTYellow1 Pt</v>
      </c>
      <c r="AS591" s="1" t="str">
        <f t="shared" si="175"/>
        <v>SPECIAL</v>
      </c>
      <c r="AY591" s="63" t="str">
        <f t="shared" si="168"/>
        <v xml:space="preserve"> G-201 BINSPAL50</v>
      </c>
      <c r="AZ591" s="63" t="str">
        <f t="shared" si="169"/>
        <v xml:space="preserve"> G-201 BIN</v>
      </c>
      <c r="BA591" s="63" t="str">
        <f t="shared" si="170"/>
        <v>SPAL</v>
      </c>
      <c r="BB591" s="63" t="str">
        <f t="shared" si="171"/>
        <v>50</v>
      </c>
      <c r="BC591" s="135">
        <f t="shared" si="163"/>
        <v>3294.42</v>
      </c>
      <c r="BD591" s="1" t="s">
        <v>370</v>
      </c>
      <c r="BE591" s="14" t="s">
        <v>404</v>
      </c>
      <c r="BF591" s="55" t="s">
        <v>1075</v>
      </c>
      <c r="BG591" s="14" t="s">
        <v>309</v>
      </c>
    </row>
    <row r="592" spans="22:59" x14ac:dyDescent="0.35">
      <c r="V592" s="1" t="str">
        <v>O FLAKE - PLER40</v>
      </c>
      <c r="X592" s="1" t="str">
        <f t="shared" si="176"/>
        <v>O FLAKE - GRND40L</v>
      </c>
      <c r="Y592" s="1" t="str" cm="1">
        <f t="array" ref="Y592">IFERROR(VLOOKUP($X592,$AN:AO,COLUMN(AO:AO)-COLUMN($AN:$AN)+1,FALSE),"")</f>
        <v>1-4IN DECO FLAKE - 40LB BAGGREYHOUND40LB BAG</v>
      </c>
      <c r="Z592" s="63" cm="1">
        <f t="array" ref="Z592">IFERROR(VLOOKUP($X592,$AN:AP,COLUMN(AP:AP)-COLUMN($AN:$AN)+1,FALSE),"")</f>
        <v>110</v>
      </c>
      <c r="AA592" s="1" t="str" cm="1">
        <f t="array" ref="AA592">IFERROR(VLOOKUP($X592,$AN:AQ,COLUMN(AQ:AQ)-COLUMN($AN:$AN)+1,FALSE),"")</f>
        <v>40LB BAG</v>
      </c>
      <c r="AC592" s="1" t="str" cm="1">
        <f t="array" ref="AC592">IFERROR(VLOOKUP($X592,$AN:AS,COLUMN(AS:AS)-COLUMN($AN:$AN)+1,FALSE),"")</f>
        <v>GREYHOUND</v>
      </c>
      <c r="AD592" s="1" t="s">
        <v>19</v>
      </c>
      <c r="AF592" s="1">
        <f>Table1[[#This Row],[C:C]]*1.1</f>
        <v>0</v>
      </c>
      <c r="AI592" s="1">
        <f>IFERROR(VLOOKUP(X592,#REF!,8,FALSE),0)</f>
        <v>0</v>
      </c>
      <c r="AN592" s="1" t="str">
        <f>PROD_ID_TABLE[[#This Row],[PROD ID]]</f>
        <v xml:space="preserve"> G-201 BINTIED50</v>
      </c>
      <c r="AO592" s="1" t="str">
        <f t="shared" si="172"/>
        <v>CRYLAFLOR G-201 BINDERTILE RED50 GAL KIT</v>
      </c>
      <c r="AP592" s="3">
        <f t="shared" si="173"/>
        <v>3294.42</v>
      </c>
      <c r="AQ592" s="1" t="str">
        <f t="shared" si="174"/>
        <v>50 GAL KIT</v>
      </c>
      <c r="AR592" s="1" t="str">
        <f t="shared" si="177"/>
        <v>HPF UNIVERSAL COLORANTCanada Gray1 Pt</v>
      </c>
      <c r="AS592" s="1" t="str">
        <f t="shared" si="175"/>
        <v>TILE RED</v>
      </c>
      <c r="AY592" s="63" t="str">
        <f t="shared" si="168"/>
        <v xml:space="preserve"> G-201 BINTIED50</v>
      </c>
      <c r="AZ592" s="63" t="str">
        <f t="shared" si="169"/>
        <v xml:space="preserve"> G-201 BIN</v>
      </c>
      <c r="BA592" s="63" t="str">
        <f t="shared" si="170"/>
        <v>TIED</v>
      </c>
      <c r="BB592" s="63" t="str">
        <f t="shared" si="171"/>
        <v>50</v>
      </c>
      <c r="BC592" s="135">
        <f t="shared" si="163"/>
        <v>3294.42</v>
      </c>
      <c r="BD592" s="1" t="s">
        <v>370</v>
      </c>
      <c r="BE592" s="14" t="s">
        <v>387</v>
      </c>
      <c r="BF592" s="55" t="s">
        <v>1075</v>
      </c>
      <c r="BG592" s="14" t="s">
        <v>309</v>
      </c>
    </row>
    <row r="593" spans="22:59" x14ac:dyDescent="0.35">
      <c r="V593" s="1" t="str">
        <v>O FLAKE - PREL40</v>
      </c>
      <c r="X593" s="1" t="str">
        <f t="shared" si="176"/>
        <v>O FLAKE - HUAY40</v>
      </c>
      <c r="Y593" s="1" t="str" cm="1">
        <f t="array" ref="Y593">IFERROR(VLOOKUP($X593,$AN:AO,COLUMN(AO:AO)-COLUMN($AN:$AN)+1,FALSE),"")</f>
        <v>1-4IN DECO FLAKE - 40LB BAGHUSKY GRAY40LB BAG</v>
      </c>
      <c r="Z593" s="63" cm="1">
        <f t="array" ref="Z593">IFERROR(VLOOKUP($X593,$AN:AP,COLUMN(AP:AP)-COLUMN($AN:$AN)+1,FALSE),"")</f>
        <v>110</v>
      </c>
      <c r="AA593" s="1" t="str" cm="1">
        <f t="array" ref="AA593">IFERROR(VLOOKUP($X593,$AN:AQ,COLUMN(AQ:AQ)-COLUMN($AN:$AN)+1,FALSE),"")</f>
        <v>40LB BAG</v>
      </c>
      <c r="AC593" s="1" t="str" cm="1">
        <f t="array" ref="AC593">IFERROR(VLOOKUP($X593,$AN:AS,COLUMN(AS:AS)-COLUMN($AN:$AN)+1,FALSE),"")</f>
        <v>HUSKY GRAY</v>
      </c>
      <c r="AD593" s="1" t="s">
        <v>19</v>
      </c>
      <c r="AF593" s="1">
        <f>Table1[[#This Row],[C:C]]*1.1</f>
        <v>0</v>
      </c>
      <c r="AI593" s="1">
        <f>IFERROR(VLOOKUP(X593,#REF!,8,FALSE),0)</f>
        <v>0</v>
      </c>
      <c r="AN593" s="1" t="str">
        <f>PROD_ID_TABLE[[#This Row],[PROD ID]]</f>
        <v xml:space="preserve"> T-301 TOPCLAR50</v>
      </c>
      <c r="AO593" s="1" t="str">
        <f t="shared" si="172"/>
        <v>CRYLAFLOR T-301 TOPCOATCLEAR50 GAL KIT</v>
      </c>
      <c r="AP593" s="3">
        <f t="shared" si="173"/>
        <v>3206.15</v>
      </c>
      <c r="AQ593" s="1" t="str">
        <f t="shared" si="174"/>
        <v>50 GAL KIT</v>
      </c>
      <c r="AR593" s="1" t="str">
        <f t="shared" si="177"/>
        <v>HPF UNIVERSAL COLORANTCharcoal1 Pt</v>
      </c>
      <c r="AS593" s="1" t="str">
        <f t="shared" si="175"/>
        <v>CLEAR</v>
      </c>
      <c r="AY593" s="63" t="str">
        <f t="shared" si="168"/>
        <v xml:space="preserve"> T-301 TOPCLAR50</v>
      </c>
      <c r="AZ593" s="63" t="str">
        <f t="shared" si="169"/>
        <v xml:space="preserve"> T-301 TOP</v>
      </c>
      <c r="BA593" s="63" t="str">
        <f t="shared" si="170"/>
        <v>CLAR</v>
      </c>
      <c r="BB593" s="63" t="str">
        <f t="shared" si="171"/>
        <v>50</v>
      </c>
      <c r="BC593" s="135">
        <f t="shared" si="163"/>
        <v>3206.15</v>
      </c>
      <c r="BD593" s="62" t="s">
        <v>371</v>
      </c>
      <c r="BE593" s="55" t="s">
        <v>315</v>
      </c>
      <c r="BF593" s="55" t="s">
        <v>1075</v>
      </c>
      <c r="BG593" s="55" t="s">
        <v>309</v>
      </c>
    </row>
    <row r="594" spans="22:59" x14ac:dyDescent="0.35">
      <c r="V594" s="1" t="str">
        <v>O FLAKE - RHNO40</v>
      </c>
      <c r="X594" s="1" t="str">
        <f t="shared" si="176"/>
        <v>O FLAKE - KIKE40</v>
      </c>
      <c r="Y594" s="1" t="str" cm="1">
        <f t="array" ref="Y594">IFERROR(VLOOKUP($X594,$AN:AO,COLUMN(AO:AO)-COLUMN($AN:$AN)+1,FALSE),"")</f>
        <v>1-4IN DECO FLAKE - 40LB BAGKINGSNAKE40LB BAG</v>
      </c>
      <c r="Z594" s="63" cm="1">
        <f t="array" ref="Z594">IFERROR(VLOOKUP($X594,$AN:AP,COLUMN(AP:AP)-COLUMN($AN:$AN)+1,FALSE),"")</f>
        <v>110</v>
      </c>
      <c r="AA594" s="1" t="str" cm="1">
        <f t="array" ref="AA594">IFERROR(VLOOKUP($X594,$AN:AQ,COLUMN(AQ:AQ)-COLUMN($AN:$AN)+1,FALSE),"")</f>
        <v>40LB BAG</v>
      </c>
      <c r="AC594" s="1" t="str" cm="1">
        <f t="array" ref="AC594">IFERROR(VLOOKUP($X594,$AN:AS,COLUMN(AS:AS)-COLUMN($AN:$AN)+1,FALSE),"")</f>
        <v>KINGSNAKE</v>
      </c>
      <c r="AD594" s="1" t="s">
        <v>19</v>
      </c>
      <c r="AF594" s="1">
        <f>Table1[[#This Row],[C:C]]*1.1</f>
        <v>0</v>
      </c>
      <c r="AI594" s="1">
        <f>IFERROR(VLOOKUP(X594,#REF!,8,FALSE),0)</f>
        <v>0</v>
      </c>
      <c r="AN594" s="1" t="str">
        <f>PROD_ID_TABLE[[#This Row],[PROD ID]]</f>
        <v xml:space="preserve"> T-301 TOPBEGE50</v>
      </c>
      <c r="AO594" s="1" t="str">
        <f t="shared" si="172"/>
        <v>CRYLAFLOR T-301 TOPCOATBEIGE50 GAL KIT</v>
      </c>
      <c r="AP594" s="3">
        <f t="shared" si="173"/>
        <v>3206.15</v>
      </c>
      <c r="AQ594" s="1" t="str">
        <f t="shared" si="174"/>
        <v>50 GAL KIT</v>
      </c>
      <c r="AR594" s="1" t="str">
        <f t="shared" si="177"/>
        <v>HPF UNIVERSAL COLORANTLight Gray1 Pt</v>
      </c>
      <c r="AS594" s="1" t="str">
        <f t="shared" si="175"/>
        <v>BEIGE</v>
      </c>
      <c r="AY594" s="63" t="str">
        <f t="shared" si="168"/>
        <v xml:space="preserve"> T-301 TOPBEGE50</v>
      </c>
      <c r="AZ594" s="63" t="str">
        <f t="shared" si="169"/>
        <v xml:space="preserve"> T-301 TOP</v>
      </c>
      <c r="BA594" s="63" t="str">
        <f t="shared" si="170"/>
        <v>BEGE</v>
      </c>
      <c r="BB594" s="63" t="str">
        <f t="shared" si="171"/>
        <v>50</v>
      </c>
      <c r="BC594" s="135">
        <f t="shared" si="163"/>
        <v>3206.15</v>
      </c>
      <c r="BD594" s="62" t="s">
        <v>371</v>
      </c>
      <c r="BE594" s="55" t="s">
        <v>399</v>
      </c>
      <c r="BF594" s="55" t="s">
        <v>1075</v>
      </c>
      <c r="BG594" s="55" t="s">
        <v>309</v>
      </c>
    </row>
    <row r="595" spans="22:59" x14ac:dyDescent="0.35">
      <c r="V595" s="1" t="str">
        <v>O FLAKE - SINE40</v>
      </c>
      <c r="X595" s="1" t="str">
        <f t="shared" si="176"/>
        <v>O FLAKE - KIIN40</v>
      </c>
      <c r="Y595" s="1" t="str" cm="1">
        <f t="array" ref="Y595">IFERROR(VLOOKUP($X595,$AN:AO,COLUMN(AO:AO)-COLUMN($AN:$AN)+1,FALSE),"")</f>
        <v>1-4IN DECO FLAKE - 40LB BAGKIWI SKIN40LB BAG</v>
      </c>
      <c r="Z595" s="63" cm="1">
        <f t="array" ref="Z595">IFERROR(VLOOKUP($X595,$AN:AP,COLUMN(AP:AP)-COLUMN($AN:$AN)+1,FALSE),"")</f>
        <v>110</v>
      </c>
      <c r="AA595" s="1" t="str" cm="1">
        <f t="array" ref="AA595">IFERROR(VLOOKUP($X595,$AN:AQ,COLUMN(AQ:AQ)-COLUMN($AN:$AN)+1,FALSE),"")</f>
        <v>40LB BAG</v>
      </c>
      <c r="AC595" s="1" t="str" cm="1">
        <f t="array" ref="AC595">IFERROR(VLOOKUP($X595,$AN:AS,COLUMN(AS:AS)-COLUMN($AN:$AN)+1,FALSE),"")</f>
        <v>KIWI SKIN</v>
      </c>
      <c r="AD595" s="1" t="s">
        <v>19</v>
      </c>
      <c r="AF595" s="1">
        <f>Table1[[#This Row],[C:C]]*1.1</f>
        <v>0</v>
      </c>
      <c r="AI595" s="1">
        <f>IFERROR(VLOOKUP(X595,#REF!,8,FALSE),0)</f>
        <v>0</v>
      </c>
      <c r="AN595" s="1" t="str">
        <f>PROD_ID_TABLE[[#This Row],[PROD ID]]</f>
        <v xml:space="preserve"> T-301 TOPBROW50</v>
      </c>
      <c r="AO595" s="1" t="str">
        <f t="shared" si="172"/>
        <v>CRYLAFLOR T-301 TOPCOATBRIGHT YELLOW50 GAL KIT</v>
      </c>
      <c r="AP595" s="3">
        <f t="shared" si="173"/>
        <v>3206.15</v>
      </c>
      <c r="AQ595" s="1" t="str">
        <f t="shared" si="174"/>
        <v>50 GAL KIT</v>
      </c>
      <c r="AR595" s="1" t="str">
        <f t="shared" si="177"/>
        <v>HPF UNIVERSAL COLORANTRegal Blue1 Pt</v>
      </c>
      <c r="AS595" s="1" t="str">
        <f t="shared" si="175"/>
        <v>BRIGHT YELLOW</v>
      </c>
      <c r="AY595" s="63" t="str">
        <f t="shared" si="168"/>
        <v xml:space="preserve"> T-301 TOPBROW50</v>
      </c>
      <c r="AZ595" s="63" t="str">
        <f t="shared" si="169"/>
        <v xml:space="preserve"> T-301 TOP</v>
      </c>
      <c r="BA595" s="63" t="str">
        <f t="shared" si="170"/>
        <v>BROW</v>
      </c>
      <c r="BB595" s="63" t="str">
        <f t="shared" si="171"/>
        <v>50</v>
      </c>
      <c r="BC595" s="135">
        <f t="shared" si="163"/>
        <v>3206.15</v>
      </c>
      <c r="BD595" s="62" t="s">
        <v>371</v>
      </c>
      <c r="BE595" s="55" t="s">
        <v>400</v>
      </c>
      <c r="BF595" s="55" t="s">
        <v>1075</v>
      </c>
      <c r="BG595" s="55" t="s">
        <v>309</v>
      </c>
    </row>
    <row r="596" spans="22:59" x14ac:dyDescent="0.35">
      <c r="V596" s="1" t="str">
        <v>O FLAKE - SPSH40</v>
      </c>
      <c r="X596" s="1" t="str">
        <f t="shared" si="176"/>
        <v>O FLAKE - KOAT40</v>
      </c>
      <c r="Y596" s="1" t="str" cm="1">
        <f t="array" ref="Y596">IFERROR(VLOOKUP($X596,$AN:AO,COLUMN(AO:AO)-COLUMN($AN:$AN)+1,FALSE),"")</f>
        <v>1-4IN DECO FLAKE - 40LB BAGKORAT40LB BAG</v>
      </c>
      <c r="Z596" s="63" cm="1">
        <f t="array" ref="Z596">IFERROR(VLOOKUP($X596,$AN:AP,COLUMN(AP:AP)-COLUMN($AN:$AN)+1,FALSE),"")</f>
        <v>110</v>
      </c>
      <c r="AA596" s="1" t="str" cm="1">
        <f t="array" ref="AA596">IFERROR(VLOOKUP($X596,$AN:AQ,COLUMN(AQ:AQ)-COLUMN($AN:$AN)+1,FALSE),"")</f>
        <v>40LB BAG</v>
      </c>
      <c r="AC596" s="1" t="str" cm="1">
        <f t="array" ref="AC596">IFERROR(VLOOKUP($X596,$AN:AS,COLUMN(AS:AS)-COLUMN($AN:$AN)+1,FALSE),"")</f>
        <v>KORAT</v>
      </c>
      <c r="AD596" s="1" t="s">
        <v>19</v>
      </c>
      <c r="AF596" s="1">
        <f>Table1[[#This Row],[C:C]]*1.1</f>
        <v>0</v>
      </c>
      <c r="AI596" s="1">
        <f>IFERROR(VLOOKUP(X596,#REF!,8,FALSE),0)</f>
        <v>0</v>
      </c>
      <c r="AN596" s="1" t="str">
        <f>PROD_ID_TABLE[[#This Row],[PROD ID]]</f>
        <v xml:space="preserve"> T-301 TOPCOAY50</v>
      </c>
      <c r="AO596" s="1" t="str">
        <f t="shared" si="172"/>
        <v>CRYLAFLOR T-301 TOPCOATCONCRETE GRAY50 GAL KIT</v>
      </c>
      <c r="AP596" s="3">
        <f t="shared" si="173"/>
        <v>3206.15</v>
      </c>
      <c r="AQ596" s="1" t="str">
        <f t="shared" si="174"/>
        <v>50 GAL KIT</v>
      </c>
      <c r="AR596" s="1" t="str">
        <f t="shared" si="177"/>
        <v>HPF UNIVERSAL COLORANTRich Green1 Pt</v>
      </c>
      <c r="AS596" s="1" t="str">
        <f t="shared" si="175"/>
        <v>CONCRETE GRAY</v>
      </c>
      <c r="AY596" s="63" t="str">
        <f t="shared" si="168"/>
        <v xml:space="preserve"> T-301 TOPCOAY50</v>
      </c>
      <c r="AZ596" s="63" t="str">
        <f t="shared" si="169"/>
        <v xml:space="preserve"> T-301 TOP</v>
      </c>
      <c r="BA596" s="63" t="str">
        <f t="shared" si="170"/>
        <v>COAY</v>
      </c>
      <c r="BB596" s="63" t="str">
        <f t="shared" si="171"/>
        <v>50</v>
      </c>
      <c r="BC596" s="135">
        <f t="shared" si="163"/>
        <v>3206.15</v>
      </c>
      <c r="BD596" s="62" t="s">
        <v>371</v>
      </c>
      <c r="BE596" s="55" t="s">
        <v>393</v>
      </c>
      <c r="BF596" s="55" t="s">
        <v>1075</v>
      </c>
      <c r="BG596" s="55" t="s">
        <v>309</v>
      </c>
    </row>
    <row r="597" spans="22:59" x14ac:dyDescent="0.35">
      <c r="V597" s="1" t="str">
        <v>O FLAKE - TUEN40</v>
      </c>
      <c r="X597" s="1" t="str">
        <f t="shared" si="176"/>
        <v>O FLAKE - LINE40</v>
      </c>
      <c r="Y597" s="1" t="str" cm="1">
        <f t="array" ref="Y597">IFERROR(VLOOKUP($X597,$AN:AO,COLUMN(AO:AO)-COLUMN($AN:$AN)+1,FALSE),"")</f>
        <v>1-4IN DECO FLAKE - 40LB BAGLIMESTONE40LB BAG</v>
      </c>
      <c r="Z597" s="63" cm="1">
        <f t="array" ref="Z597">IFERROR(VLOOKUP($X597,$AN:AP,COLUMN(AP:AP)-COLUMN($AN:$AN)+1,FALSE),"")</f>
        <v>110</v>
      </c>
      <c r="AA597" s="1" t="str" cm="1">
        <f t="array" ref="AA597">IFERROR(VLOOKUP($X597,$AN:AQ,COLUMN(AQ:AQ)-COLUMN($AN:$AN)+1,FALSE),"")</f>
        <v>40LB BAG</v>
      </c>
      <c r="AC597" s="1" t="str" cm="1">
        <f t="array" ref="AC597">IFERROR(VLOOKUP($X597,$AN:AS,COLUMN(AS:AS)-COLUMN($AN:$AN)+1,FALSE),"")</f>
        <v>LIMESTONE</v>
      </c>
      <c r="AD597" s="1" t="s">
        <v>19</v>
      </c>
      <c r="AF597" s="1">
        <f>Table1[[#This Row],[C:C]]*1.1</f>
        <v>0</v>
      </c>
      <c r="AI597" s="1">
        <f>IFERROR(VLOOKUP(X597,#REF!,8,FALSE),0)</f>
        <v>0</v>
      </c>
      <c r="AN597" s="1" t="str">
        <f>PROD_ID_TABLE[[#This Row],[PROD ID]]</f>
        <v xml:space="preserve"> T-301 TOPCHAY50</v>
      </c>
      <c r="AO597" s="1" t="str">
        <f t="shared" si="172"/>
        <v>CRYLAFLOR T-301 TOPCOATCHARCOAL GRAY50 GAL KIT</v>
      </c>
      <c r="AP597" s="3">
        <f t="shared" si="173"/>
        <v>3206.15</v>
      </c>
      <c r="AQ597" s="1" t="str">
        <f t="shared" si="174"/>
        <v>50 GAL KIT</v>
      </c>
      <c r="AR597" s="1" t="str">
        <f t="shared" si="177"/>
        <v>HPF UNIVERSAL COLORANTRotunda Red1 Pt</v>
      </c>
      <c r="AS597" s="1" t="str">
        <f t="shared" si="175"/>
        <v>CHARCOAL GRAY</v>
      </c>
      <c r="AY597" s="63" t="str">
        <f t="shared" si="168"/>
        <v xml:space="preserve"> T-301 TOPCHAY50</v>
      </c>
      <c r="AZ597" s="63" t="str">
        <f t="shared" si="169"/>
        <v xml:space="preserve"> T-301 TOP</v>
      </c>
      <c r="BA597" s="63" t="str">
        <f t="shared" si="170"/>
        <v>CHAY</v>
      </c>
      <c r="BB597" s="63" t="str">
        <f t="shared" si="171"/>
        <v>50</v>
      </c>
      <c r="BC597" s="135">
        <f t="shared" si="163"/>
        <v>3206.15</v>
      </c>
      <c r="BD597" s="62" t="s">
        <v>371</v>
      </c>
      <c r="BE597" s="55" t="s">
        <v>401</v>
      </c>
      <c r="BF597" s="55" t="s">
        <v>1075</v>
      </c>
      <c r="BG597" s="55" t="s">
        <v>309</v>
      </c>
    </row>
    <row r="598" spans="22:59" x14ac:dyDescent="0.35">
      <c r="V598" s="1" t="str">
        <v>O FLAKE  -AGVE40</v>
      </c>
      <c r="X598" s="1" t="str">
        <f t="shared" si="176"/>
        <v>O FLAKE - MAEL40</v>
      </c>
      <c r="Y598" s="1" t="str" cm="1">
        <f t="array" ref="Y598">IFERROR(VLOOKUP($X598,$AN:AO,COLUMN(AO:AO)-COLUMN($AN:$AN)+1,FALSE),"")</f>
        <v>1-4IN DECO FLAKE - 40LB BAGMACKEREL40LB BAG</v>
      </c>
      <c r="Z598" s="63" cm="1">
        <f t="array" ref="Z598">IFERROR(VLOOKUP($X598,$AN:AP,COLUMN(AP:AP)-COLUMN($AN:$AN)+1,FALSE),"")</f>
        <v>110</v>
      </c>
      <c r="AA598" s="1" t="str" cm="1">
        <f t="array" ref="AA598">IFERROR(VLOOKUP($X598,$AN:AQ,COLUMN(AQ:AQ)-COLUMN($AN:$AN)+1,FALSE),"")</f>
        <v>40LB BAG</v>
      </c>
      <c r="AC598" s="1" t="str" cm="1">
        <f t="array" ref="AC598">IFERROR(VLOOKUP($X598,$AN:AS,COLUMN(AS:AS)-COLUMN($AN:$AN)+1,FALSE),"")</f>
        <v>MACKEREL</v>
      </c>
      <c r="AD598" s="1" t="s">
        <v>19</v>
      </c>
      <c r="AF598" s="1">
        <f>Table1[[#This Row],[C:C]]*1.1</f>
        <v>0</v>
      </c>
      <c r="AI598" s="1">
        <f>IFERROR(VLOOKUP(X598,#REF!,8,FALSE),0)</f>
        <v>0</v>
      </c>
      <c r="AN598" s="1" t="str">
        <f>PROD_ID_TABLE[[#This Row],[PROD ID]]</f>
        <v xml:space="preserve"> T-301 TOPLIAY50</v>
      </c>
      <c r="AO598" s="1" t="str">
        <f t="shared" si="172"/>
        <v>CRYLAFLOR T-301 TOPCOATLIGHT GRAY50 GAL KIT</v>
      </c>
      <c r="AP598" s="3">
        <f t="shared" si="173"/>
        <v>3206.15</v>
      </c>
      <c r="AQ598" s="1" t="str">
        <f t="shared" si="174"/>
        <v>50 GAL KIT</v>
      </c>
      <c r="AR598" s="1" t="str">
        <f t="shared" si="177"/>
        <v>HPF UNIVERSAL COLORANTSandy Beige1 Pt</v>
      </c>
      <c r="AS598" s="1" t="str">
        <f t="shared" si="175"/>
        <v>LIGHT GRAY</v>
      </c>
      <c r="AY598" s="63" t="str">
        <f t="shared" si="168"/>
        <v xml:space="preserve"> T-301 TOPLIAY50</v>
      </c>
      <c r="AZ598" s="63" t="str">
        <f t="shared" si="169"/>
        <v xml:space="preserve"> T-301 TOP</v>
      </c>
      <c r="BA598" s="63" t="str">
        <f t="shared" si="170"/>
        <v>LIAY</v>
      </c>
      <c r="BB598" s="63" t="str">
        <f t="shared" si="171"/>
        <v>50</v>
      </c>
      <c r="BC598" s="135">
        <f t="shared" si="163"/>
        <v>3206.15</v>
      </c>
      <c r="BD598" s="62" t="s">
        <v>371</v>
      </c>
      <c r="BE598" s="55" t="s">
        <v>384</v>
      </c>
      <c r="BF598" s="55" t="s">
        <v>1075</v>
      </c>
      <c r="BG598" s="55" t="s">
        <v>309</v>
      </c>
    </row>
    <row r="599" spans="22:59" x14ac:dyDescent="0.35">
      <c r="V599" s="1" t="str">
        <v>O FLAKE  -ALLK40</v>
      </c>
      <c r="X599" s="1" t="str">
        <f t="shared" si="176"/>
        <v>O FLAKE - METE40</v>
      </c>
      <c r="Y599" s="1" t="str" cm="1">
        <f t="array" ref="Y599">IFERROR(VLOOKUP($X599,$AN:AO,COLUMN(AO:AO)-COLUMN($AN:$AN)+1,FALSE),"")</f>
        <v>1-4IN DECO FLAKE - 40LB BAGMETEORITE40LB BAG</v>
      </c>
      <c r="Z599" s="63" cm="1">
        <f t="array" ref="Z599">IFERROR(VLOOKUP($X599,$AN:AP,COLUMN(AP:AP)-COLUMN($AN:$AN)+1,FALSE),"")</f>
        <v>110</v>
      </c>
      <c r="AA599" s="1" t="str" cm="1">
        <f t="array" ref="AA599">IFERROR(VLOOKUP($X599,$AN:AQ,COLUMN(AQ:AQ)-COLUMN($AN:$AN)+1,FALSE),"")</f>
        <v>40LB BAG</v>
      </c>
      <c r="AC599" s="1" t="str" cm="1">
        <f t="array" ref="AC599">IFERROR(VLOOKUP($X599,$AN:AS,COLUMN(AS:AS)-COLUMN($AN:$AN)+1,FALSE),"")</f>
        <v>METEORITE</v>
      </c>
      <c r="AD599" s="1" t="s">
        <v>19</v>
      </c>
      <c r="AF599" s="1">
        <f>Table1[[#This Row],[C:C]]*1.1</f>
        <v>0</v>
      </c>
      <c r="AI599" s="1">
        <f>IFERROR(VLOOKUP(X599,#REF!,8,FALSE),0)</f>
        <v>0</v>
      </c>
      <c r="AN599" s="1" t="str">
        <f>PROD_ID_TABLE[[#This Row],[PROD ID]]</f>
        <v xml:space="preserve"> T-301 TOPMEAY50</v>
      </c>
      <c r="AO599" s="1" t="str">
        <f t="shared" si="172"/>
        <v>CRYLAFLOR T-301 TOPCOATMED. GRAY50 GAL KIT</v>
      </c>
      <c r="AP599" s="3">
        <f t="shared" si="173"/>
        <v>3206.15</v>
      </c>
      <c r="AQ599" s="1" t="str">
        <f t="shared" si="174"/>
        <v>50 GAL KIT</v>
      </c>
      <c r="AR599" s="1" t="str">
        <f t="shared" si="177"/>
        <v>HPF UNIVERSAL COLORANTSteel Gray1 Pt</v>
      </c>
      <c r="AS599" s="1" t="str">
        <f t="shared" si="175"/>
        <v>MED. GRAY</v>
      </c>
      <c r="AY599" s="63" t="str">
        <f t="shared" si="168"/>
        <v xml:space="preserve"> T-301 TOPMEAY50</v>
      </c>
      <c r="AZ599" s="63" t="str">
        <f t="shared" si="169"/>
        <v xml:space="preserve"> T-301 TOP</v>
      </c>
      <c r="BA599" s="63" t="str">
        <f t="shared" si="170"/>
        <v>MEAY</v>
      </c>
      <c r="BB599" s="63" t="str">
        <f t="shared" si="171"/>
        <v>50</v>
      </c>
      <c r="BC599" s="135">
        <f t="shared" si="163"/>
        <v>3206.15</v>
      </c>
      <c r="BD599" s="62" t="s">
        <v>371</v>
      </c>
      <c r="BE599" s="55" t="s">
        <v>402</v>
      </c>
      <c r="BF599" s="55" t="s">
        <v>1075</v>
      </c>
      <c r="BG599" s="55" t="s">
        <v>309</v>
      </c>
    </row>
    <row r="600" spans="22:59" x14ac:dyDescent="0.35">
      <c r="V600" s="1" t="str">
        <v>O FLAKE  -ASSH40</v>
      </c>
      <c r="X600" s="1" t="str">
        <f t="shared" si="176"/>
        <v>O FLAKE - MOON40</v>
      </c>
      <c r="Y600" s="1" t="str" cm="1">
        <f t="array" ref="Y600">IFERROR(VLOOKUP($X600,$AN:AO,COLUMN(AO:AO)-COLUMN($AN:$AN)+1,FALSE),"")</f>
        <v>1-4IN DECO FLAKE - 40LB BAGMOON40LB BAG</v>
      </c>
      <c r="Z600" s="63" cm="1">
        <f t="array" ref="Z600">IFERROR(VLOOKUP($X600,$AN:AP,COLUMN(AP:AP)-COLUMN($AN:$AN)+1,FALSE),"")</f>
        <v>110</v>
      </c>
      <c r="AA600" s="1" t="str" cm="1">
        <f t="array" ref="AA600">IFERROR(VLOOKUP($X600,$AN:AQ,COLUMN(AQ:AQ)-COLUMN($AN:$AN)+1,FALSE),"")</f>
        <v>40LB BAG</v>
      </c>
      <c r="AC600" s="1" t="str" cm="1">
        <f t="array" ref="AC600">IFERROR(VLOOKUP($X600,$AN:AS,COLUMN(AS:AS)-COLUMN($AN:$AN)+1,FALSE),"")</f>
        <v>MOON</v>
      </c>
      <c r="AD600" s="1" t="s">
        <v>19</v>
      </c>
      <c r="AF600" s="1">
        <f>Table1[[#This Row],[C:C]]*1.1</f>
        <v>0</v>
      </c>
      <c r="AI600" s="1">
        <f>IFERROR(VLOOKUP(X600,#REF!,8,FALSE),0)</f>
        <v>0</v>
      </c>
      <c r="AN600" s="1" t="str">
        <f>PROD_ID_TABLE[[#This Row],[PROD ID]]</f>
        <v xml:space="preserve"> T-301 TOPSLAY50</v>
      </c>
      <c r="AO600" s="1" t="str">
        <f t="shared" si="172"/>
        <v>CRYLAFLOR T-301 TOPCOATSLATE GRAY50 GAL KIT</v>
      </c>
      <c r="AP600" s="3">
        <f t="shared" si="173"/>
        <v>3206.15</v>
      </c>
      <c r="AQ600" s="1" t="str">
        <f t="shared" si="174"/>
        <v>50 GAL KIT</v>
      </c>
      <c r="AR600" s="1" t="str">
        <f t="shared" si="177"/>
        <v>HPF UNIVERSAL COLORANTTile Red1 Pt</v>
      </c>
      <c r="AS600" s="1" t="str">
        <f t="shared" si="175"/>
        <v>SLATE GRAY</v>
      </c>
      <c r="AY600" s="63" t="str">
        <f t="shared" si="168"/>
        <v xml:space="preserve"> T-301 TOPSLAY50</v>
      </c>
      <c r="AZ600" s="63" t="str">
        <f t="shared" si="169"/>
        <v xml:space="preserve"> T-301 TOP</v>
      </c>
      <c r="BA600" s="63" t="str">
        <f t="shared" si="170"/>
        <v>SLAY</v>
      </c>
      <c r="BB600" s="63" t="str">
        <f t="shared" si="171"/>
        <v>50</v>
      </c>
      <c r="BC600" s="135">
        <f t="shared" si="163"/>
        <v>3206.15</v>
      </c>
      <c r="BD600" s="62" t="s">
        <v>371</v>
      </c>
      <c r="BE600" s="55" t="s">
        <v>403</v>
      </c>
      <c r="BF600" s="55" t="s">
        <v>1075</v>
      </c>
      <c r="BG600" s="55" t="s">
        <v>309</v>
      </c>
    </row>
    <row r="601" spans="22:59" x14ac:dyDescent="0.35">
      <c r="V601" s="1" t="str">
        <v>O FLAKE  -BLAN40</v>
      </c>
      <c r="X601" s="1" t="str">
        <f t="shared" si="176"/>
        <v>O FLAKE - MOSE40</v>
      </c>
      <c r="Y601" s="1" t="str" cm="1">
        <f t="array" ref="Y601">IFERROR(VLOOKUP($X601,$AN:AO,COLUMN(AO:AO)-COLUMN($AN:$AN)+1,FALSE),"")</f>
        <v>1-4IN DECO FLAKE - 40LB BAGMOOSE40LB BAG</v>
      </c>
      <c r="Z601" s="63" cm="1">
        <f t="array" ref="Z601">IFERROR(VLOOKUP($X601,$AN:AP,COLUMN(AP:AP)-COLUMN($AN:$AN)+1,FALSE),"")</f>
        <v>110</v>
      </c>
      <c r="AA601" s="1" t="str" cm="1">
        <f t="array" ref="AA601">IFERROR(VLOOKUP($X601,$AN:AQ,COLUMN(AQ:AQ)-COLUMN($AN:$AN)+1,FALSE),"")</f>
        <v>40LB BAG</v>
      </c>
      <c r="AC601" s="1" t="str" cm="1">
        <f t="array" ref="AC601">IFERROR(VLOOKUP($X601,$AN:AS,COLUMN(AS:AS)-COLUMN($AN:$AN)+1,FALSE),"")</f>
        <v>MOOSE</v>
      </c>
      <c r="AD601" s="1" t="s">
        <v>19</v>
      </c>
      <c r="AF601" s="1">
        <f>Table1[[#This Row],[C:C]]*1.1</f>
        <v>0</v>
      </c>
      <c r="AI601" s="1">
        <f>IFERROR(VLOOKUP(X601,#REF!,8,FALSE),0)</f>
        <v>0</v>
      </c>
      <c r="AN601" s="1" t="str">
        <f>PROD_ID_TABLE[[#This Row],[PROD ID]]</f>
        <v xml:space="preserve"> T-301 TOPBLCK50</v>
      </c>
      <c r="AO601" s="1" t="str">
        <f t="shared" si="172"/>
        <v>CRYLAFLOR T-301 TOPCOATBLACK50 GAL KIT</v>
      </c>
      <c r="AP601" s="3">
        <f t="shared" si="173"/>
        <v>3206.15</v>
      </c>
      <c r="AQ601" s="1" t="str">
        <f t="shared" si="174"/>
        <v>50 GAL KIT</v>
      </c>
      <c r="AR601" s="1" t="str">
        <f t="shared" si="177"/>
        <v>HPF UNIVERSAL COLORANTWhite1 Pt</v>
      </c>
      <c r="AS601" s="1" t="str">
        <f t="shared" si="175"/>
        <v>BLACK</v>
      </c>
      <c r="AY601" s="63" t="str">
        <f t="shared" si="168"/>
        <v xml:space="preserve"> T-301 TOPBLCK50</v>
      </c>
      <c r="AZ601" s="63" t="str">
        <f t="shared" si="169"/>
        <v xml:space="preserve"> T-301 TOP</v>
      </c>
      <c r="BA601" s="63" t="str">
        <f t="shared" si="170"/>
        <v>BLCK</v>
      </c>
      <c r="BB601" s="63" t="str">
        <f t="shared" si="171"/>
        <v>50</v>
      </c>
      <c r="BC601" s="135">
        <f t="shared" si="163"/>
        <v>3206.15</v>
      </c>
      <c r="BD601" s="62" t="s">
        <v>371</v>
      </c>
      <c r="BE601" s="55" t="s">
        <v>323</v>
      </c>
      <c r="BF601" s="55" t="s">
        <v>1075</v>
      </c>
      <c r="BG601" s="55" t="s">
        <v>309</v>
      </c>
    </row>
    <row r="602" spans="22:59" x14ac:dyDescent="0.35">
      <c r="V602" s="1" t="str">
        <v>O FLAKE  -BLND40</v>
      </c>
      <c r="X602" s="1" t="str">
        <f t="shared" si="176"/>
        <v>O FLAKE - MOOG40</v>
      </c>
      <c r="Y602" s="1" t="str" cm="1">
        <f t="array" ref="Y602">IFERROR(VLOOKUP($X602,$AN:AO,COLUMN(AO:AO)-COLUMN($AN:$AN)+1,FALSE),"")</f>
        <v>1-4IN DECO FLAKE - 40LB BAGMOUNTAIN FOG40LB BAG</v>
      </c>
      <c r="Z602" s="63" cm="1">
        <f t="array" ref="Z602">IFERROR(VLOOKUP($X602,$AN:AP,COLUMN(AP:AP)-COLUMN($AN:$AN)+1,FALSE),"")</f>
        <v>110</v>
      </c>
      <c r="AA602" s="1" t="str" cm="1">
        <f t="array" ref="AA602">IFERROR(VLOOKUP($X602,$AN:AQ,COLUMN(AQ:AQ)-COLUMN($AN:$AN)+1,FALSE),"")</f>
        <v>40LB BAG</v>
      </c>
      <c r="AC602" s="1" t="str" cm="1">
        <f t="array" ref="AC602">IFERROR(VLOOKUP($X602,$AN:AS,COLUMN(AS:AS)-COLUMN($AN:$AN)+1,FALSE),"")</f>
        <v>MOUNTAIN FOG</v>
      </c>
      <c r="AD602" s="1" t="s">
        <v>19</v>
      </c>
      <c r="AF602" s="1">
        <f>Table1[[#This Row],[C:C]]*1.1</f>
        <v>0</v>
      </c>
      <c r="AI602" s="1">
        <f>IFERROR(VLOOKUP(X602,#REF!,8,FALSE),0)</f>
        <v>0</v>
      </c>
      <c r="AN602" s="1" t="str">
        <f>PROD_ID_TABLE[[#This Row],[PROD ID]]</f>
        <v xml:space="preserve"> T-301 TOPGREN50</v>
      </c>
      <c r="AO602" s="1" t="str">
        <f t="shared" si="172"/>
        <v>CRYLAFLOR T-301 TOPCOATGREEN50 GAL KIT</v>
      </c>
      <c r="AP602" s="3">
        <f t="shared" si="173"/>
        <v>3206.15</v>
      </c>
      <c r="AQ602" s="1" t="str">
        <f t="shared" si="174"/>
        <v>50 GAL KIT</v>
      </c>
      <c r="AR602" s="1" t="str">
        <f t="shared" si="177"/>
        <v>HPF UNIVERSAL COLORANTCanada Gray25 Pt</v>
      </c>
      <c r="AS602" s="1" t="str">
        <f t="shared" si="175"/>
        <v>GREEN</v>
      </c>
      <c r="AY602" s="63" t="str">
        <f t="shared" si="168"/>
        <v xml:space="preserve"> T-301 TOPGREN50</v>
      </c>
      <c r="AZ602" s="63" t="str">
        <f t="shared" si="169"/>
        <v xml:space="preserve"> T-301 TOP</v>
      </c>
      <c r="BA602" s="63" t="str">
        <f t="shared" si="170"/>
        <v>GREN</v>
      </c>
      <c r="BB602" s="63" t="str">
        <f t="shared" si="171"/>
        <v>50</v>
      </c>
      <c r="BC602" s="135">
        <f t="shared" si="163"/>
        <v>3206.15</v>
      </c>
      <c r="BD602" s="62" t="s">
        <v>371</v>
      </c>
      <c r="BE602" s="55" t="s">
        <v>395</v>
      </c>
      <c r="BF602" s="55" t="s">
        <v>1075</v>
      </c>
      <c r="BG602" s="55" t="s">
        <v>309</v>
      </c>
    </row>
    <row r="603" spans="22:59" x14ac:dyDescent="0.35">
      <c r="V603" s="1" t="str">
        <v>O FLAKE  -BLOA40</v>
      </c>
      <c r="X603" s="1" t="str">
        <f t="shared" si="176"/>
        <v>N/A</v>
      </c>
      <c r="Y603" s="1" t="str" cm="1">
        <f t="array" ref="Y603">IFERROR(VLOOKUP($X603,$AN:AO,COLUMN(AO:AO)-COLUMN($AN:$AN)+1,FALSE),"")</f>
        <v>1-4IN DECO FLAKE - 40LB BAGOCELOT40LB BAG</v>
      </c>
      <c r="Z603" s="63" cm="1">
        <f t="array" ref="Z603">IFERROR(VLOOKUP($X603,$AN:AP,COLUMN(AP:AP)-COLUMN($AN:$AN)+1,FALSE),"")</f>
        <v>110</v>
      </c>
      <c r="AA603" s="1" t="str" cm="1">
        <f t="array" ref="AA603">IFERROR(VLOOKUP($X603,$AN:AQ,COLUMN(AQ:AQ)-COLUMN($AN:$AN)+1,FALSE),"")</f>
        <v>40LB BAG</v>
      </c>
      <c r="AC603" s="1" t="str" cm="1">
        <f t="array" ref="AC603">IFERROR(VLOOKUP($X603,$AN:AS,COLUMN(AS:AS)-COLUMN($AN:$AN)+1,FALSE),"")</f>
        <v>OCELOT</v>
      </c>
      <c r="AD603" s="1" t="s">
        <v>19</v>
      </c>
      <c r="AF603" s="1">
        <f>Table1[[#This Row],[C:C]]*1.1</f>
        <v>0</v>
      </c>
      <c r="AI603" s="1">
        <f>IFERROR(VLOOKUP(X603,#REF!,8,FALSE),0)</f>
        <v>0</v>
      </c>
      <c r="AN603" s="1" t="str">
        <f>PROD_ID_TABLE[[#This Row],[PROD ID]]</f>
        <v xml:space="preserve"> T-301 TOPWHTE50</v>
      </c>
      <c r="AO603" s="1" t="str">
        <f t="shared" si="172"/>
        <v>CRYLAFLOR T-301 TOPCOATWHITE50 GAL KIT</v>
      </c>
      <c r="AP603" s="3">
        <f t="shared" si="173"/>
        <v>3206.15</v>
      </c>
      <c r="AQ603" s="1" t="str">
        <f t="shared" si="174"/>
        <v>50 GAL KIT</v>
      </c>
      <c r="AR603" s="1" t="str">
        <f t="shared" si="177"/>
        <v>HPF UNIVERSAL COLORANTCharcoal25 Pt</v>
      </c>
      <c r="AS603" s="1" t="str">
        <f t="shared" si="175"/>
        <v>WHITE</v>
      </c>
      <c r="AY603" s="63" t="str">
        <f t="shared" si="168"/>
        <v xml:space="preserve"> T-301 TOPWHTE50</v>
      </c>
      <c r="AZ603" s="63" t="str">
        <f t="shared" si="169"/>
        <v xml:space="preserve"> T-301 TOP</v>
      </c>
      <c r="BA603" s="63" t="str">
        <f t="shared" si="170"/>
        <v>WHTE</v>
      </c>
      <c r="BB603" s="63" t="str">
        <f t="shared" si="171"/>
        <v>50</v>
      </c>
      <c r="BC603" s="135">
        <f t="shared" si="163"/>
        <v>3206.15</v>
      </c>
      <c r="BD603" s="62" t="s">
        <v>371</v>
      </c>
      <c r="BE603" s="55" t="s">
        <v>322</v>
      </c>
      <c r="BF603" s="55" t="s">
        <v>1075</v>
      </c>
      <c r="BG603" s="55" t="s">
        <v>309</v>
      </c>
    </row>
    <row r="604" spans="22:59" x14ac:dyDescent="0.35">
      <c r="V604" s="1" t="str">
        <v>O FLAKE  -BOSE40</v>
      </c>
      <c r="X604" s="1" t="str">
        <f t="shared" si="176"/>
        <v>O FLAKE - PLER40</v>
      </c>
      <c r="Y604" s="1" t="str" cm="1">
        <f t="array" ref="Y604">IFERROR(VLOOKUP($X604,$AN:AO,COLUMN(AO:AO)-COLUMN($AN:$AN)+1,FALSE),"")</f>
        <v>1-4IN DECO FLAKE - 40LB BAGPLOVER40LB BAG</v>
      </c>
      <c r="Z604" s="63" cm="1">
        <f t="array" ref="Z604">IFERROR(VLOOKUP($X604,$AN:AP,COLUMN(AP:AP)-COLUMN($AN:$AN)+1,FALSE),"")</f>
        <v>110</v>
      </c>
      <c r="AA604" s="1" t="str" cm="1">
        <f t="array" ref="AA604">IFERROR(VLOOKUP($X604,$AN:AQ,COLUMN(AQ:AQ)-COLUMN($AN:$AN)+1,FALSE),"")</f>
        <v>40LB BAG</v>
      </c>
      <c r="AC604" s="1" t="str" cm="1">
        <f t="array" ref="AC604">IFERROR(VLOOKUP($X604,$AN:AS,COLUMN(AS:AS)-COLUMN($AN:$AN)+1,FALSE),"")</f>
        <v>PLOVER</v>
      </c>
      <c r="AD604" s="1" t="s">
        <v>19</v>
      </c>
      <c r="AF604" s="1">
        <f>Table1[[#This Row],[C:C]]*1.1</f>
        <v>0</v>
      </c>
      <c r="AI604" s="1">
        <f>IFERROR(VLOOKUP(X604,#REF!,8,FALSE),0)</f>
        <v>0</v>
      </c>
      <c r="AN604" s="1" t="str">
        <f>PROD_ID_TABLE[[#This Row],[PROD ID]]</f>
        <v xml:space="preserve"> T-301 TOPSPAL50</v>
      </c>
      <c r="AO604" s="1" t="str">
        <f t="shared" si="172"/>
        <v>CRYLAFLOR T-301 TOPCOATSPECIAL50 GAL KIT</v>
      </c>
      <c r="AP604" s="3">
        <f t="shared" si="173"/>
        <v>3206.15</v>
      </c>
      <c r="AQ604" s="1" t="str">
        <f t="shared" si="174"/>
        <v>50 GAL KIT</v>
      </c>
      <c r="AR604" s="1" t="str">
        <f t="shared" si="177"/>
        <v>HPF UNIVERSAL COLORANTLight Gray25 Pt</v>
      </c>
      <c r="AS604" s="1" t="str">
        <f t="shared" si="175"/>
        <v>SPECIAL</v>
      </c>
      <c r="AY604" s="63" t="str">
        <f t="shared" si="168"/>
        <v xml:space="preserve"> T-301 TOPSPAL50</v>
      </c>
      <c r="AZ604" s="63" t="str">
        <f t="shared" si="169"/>
        <v xml:space="preserve"> T-301 TOP</v>
      </c>
      <c r="BA604" s="63" t="str">
        <f t="shared" si="170"/>
        <v>SPAL</v>
      </c>
      <c r="BB604" s="63" t="str">
        <f t="shared" si="171"/>
        <v>50</v>
      </c>
      <c r="BC604" s="135">
        <f t="shared" si="163"/>
        <v>3206.15</v>
      </c>
      <c r="BD604" s="62" t="s">
        <v>371</v>
      </c>
      <c r="BE604" s="55" t="s">
        <v>404</v>
      </c>
      <c r="BF604" s="55" t="s">
        <v>1075</v>
      </c>
      <c r="BG604" s="55" t="s">
        <v>309</v>
      </c>
    </row>
    <row r="605" spans="22:59" x14ac:dyDescent="0.35">
      <c r="V605" s="1" t="str">
        <v>O FLAKE  -BUOD40</v>
      </c>
      <c r="X605" s="1" t="str">
        <f t="shared" si="176"/>
        <v>O FLAKE - PREL40</v>
      </c>
      <c r="Y605" s="1" t="str" cm="1">
        <f t="array" ref="Y605">IFERROR(VLOOKUP($X605,$AN:AO,COLUMN(AO:AO)-COLUMN($AN:$AN)+1,FALSE),"")</f>
        <v>1-4IN DECO FLAKE - 40LB BAGPRETZEL40LB BAG</v>
      </c>
      <c r="Z605" s="63" cm="1">
        <f t="array" ref="Z605">IFERROR(VLOOKUP($X605,$AN:AP,COLUMN(AP:AP)-COLUMN($AN:$AN)+1,FALSE),"")</f>
        <v>110</v>
      </c>
      <c r="AA605" s="1" t="str" cm="1">
        <f t="array" ref="AA605">IFERROR(VLOOKUP($X605,$AN:AQ,COLUMN(AQ:AQ)-COLUMN($AN:$AN)+1,FALSE),"")</f>
        <v>40LB BAG</v>
      </c>
      <c r="AC605" s="1" t="str" cm="1">
        <f t="array" ref="AC605">IFERROR(VLOOKUP($X605,$AN:AS,COLUMN(AS:AS)-COLUMN($AN:$AN)+1,FALSE),"")</f>
        <v>PRETZEL</v>
      </c>
      <c r="AD605" s="1" t="s">
        <v>19</v>
      </c>
      <c r="AF605" s="1">
        <f>Table1[[#This Row],[C:C]]*1.1</f>
        <v>0</v>
      </c>
      <c r="AI605" s="1">
        <f>IFERROR(VLOOKUP(X605,#REF!,8,FALSE),0)</f>
        <v>0</v>
      </c>
      <c r="AN605" s="1" t="str">
        <f>PROD_ID_TABLE[[#This Row],[PROD ID]]</f>
        <v xml:space="preserve"> T-301 TOPTIED50</v>
      </c>
      <c r="AO605" s="1" t="str">
        <f t="shared" si="172"/>
        <v>CRYLAFLOR T-301 TOPCOATTILE RED50 GAL KIT</v>
      </c>
      <c r="AP605" s="3">
        <f t="shared" si="173"/>
        <v>3206.15</v>
      </c>
      <c r="AQ605" s="1" t="str">
        <f t="shared" si="174"/>
        <v>50 GAL KIT</v>
      </c>
      <c r="AR605" s="1" t="str">
        <f t="shared" si="177"/>
        <v>HPF UNIVERSAL COLORANTSandy Beige25 Pt</v>
      </c>
      <c r="AS605" s="1" t="str">
        <f t="shared" si="175"/>
        <v>TILE RED</v>
      </c>
      <c r="AY605" s="63" t="str">
        <f t="shared" si="168"/>
        <v xml:space="preserve"> T-301 TOPTIED50</v>
      </c>
      <c r="AZ605" s="63" t="str">
        <f t="shared" si="169"/>
        <v xml:space="preserve"> T-301 TOP</v>
      </c>
      <c r="BA605" s="63" t="str">
        <f t="shared" si="170"/>
        <v>TIED</v>
      </c>
      <c r="BB605" s="63" t="str">
        <f t="shared" si="171"/>
        <v>50</v>
      </c>
      <c r="BC605" s="135">
        <f t="shared" si="163"/>
        <v>3206.15</v>
      </c>
      <c r="BD605" s="62" t="s">
        <v>371</v>
      </c>
      <c r="BE605" s="55" t="s">
        <v>387</v>
      </c>
      <c r="BF605" s="55" t="s">
        <v>1075</v>
      </c>
      <c r="BG605" s="55" t="s">
        <v>309</v>
      </c>
    </row>
    <row r="606" spans="22:59" x14ac:dyDescent="0.35">
      <c r="V606" s="1" t="str">
        <v>O FLAKE  -CACK40</v>
      </c>
      <c r="X606" s="1" t="str">
        <f t="shared" si="176"/>
        <v>O FLAKE - RHNO40</v>
      </c>
      <c r="Y606" s="1" t="str" cm="1">
        <f t="array" ref="Y606">IFERROR(VLOOKUP($X606,$AN:AO,COLUMN(AO:AO)-COLUMN($AN:$AN)+1,FALSE),"")</f>
        <v>1-4IN DECO FLAKE - 40LB BAGRHINO40LB BAG</v>
      </c>
      <c r="Z606" s="63" cm="1">
        <f t="array" ref="Z606">IFERROR(VLOOKUP($X606,$AN:AP,COLUMN(AP:AP)-COLUMN($AN:$AN)+1,FALSE),"")</f>
        <v>110</v>
      </c>
      <c r="AA606" s="1" t="str" cm="1">
        <f t="array" ref="AA606">IFERROR(VLOOKUP($X606,$AN:AQ,COLUMN(AQ:AQ)-COLUMN($AN:$AN)+1,FALSE),"")</f>
        <v>40LB BAG</v>
      </c>
      <c r="AC606" s="1" t="str" cm="1">
        <f t="array" ref="AC606">IFERROR(VLOOKUP($X606,$AN:AS,COLUMN(AS:AS)-COLUMN($AN:$AN)+1,FALSE),"")</f>
        <v>RHINO</v>
      </c>
      <c r="AD606" s="1" t="s">
        <v>19</v>
      </c>
      <c r="AF606" s="1">
        <f>Table1[[#This Row],[C:C]]*1.1</f>
        <v>0</v>
      </c>
      <c r="AI606" s="1">
        <f>IFERROR(VLOOKUP(X606,#REF!,8,FALSE),0)</f>
        <v>0</v>
      </c>
      <c r="AN606" s="1" t="str">
        <f>PROD_ID_TABLE[[#This Row],[PROD ID]]</f>
        <v xml:space="preserve"> T-301 TOPSMUE50</v>
      </c>
      <c r="AO606" s="1" t="str">
        <f t="shared" si="172"/>
        <v>CRYLAFLOR T-301 TOPCOATSMOKE BLUE50 GAL KIT</v>
      </c>
      <c r="AP606" s="3">
        <f t="shared" si="173"/>
        <v>3206.15</v>
      </c>
      <c r="AQ606" s="1" t="str">
        <f t="shared" si="174"/>
        <v>50 GAL KIT</v>
      </c>
      <c r="AS606" s="1" t="str">
        <f t="shared" si="175"/>
        <v>SMOKE BLUE</v>
      </c>
      <c r="AY606" s="63" t="str">
        <f t="shared" si="168"/>
        <v xml:space="preserve"> T-301 TOPSMUE50</v>
      </c>
      <c r="AZ606" s="63" t="str">
        <f t="shared" si="169"/>
        <v xml:space="preserve"> T-301 TOP</v>
      </c>
      <c r="BA606" s="63" t="str">
        <f t="shared" si="170"/>
        <v>SMUE</v>
      </c>
      <c r="BB606" s="63" t="str">
        <f t="shared" si="171"/>
        <v>50</v>
      </c>
      <c r="BC606" s="135">
        <f t="shared" si="163"/>
        <v>3206.15</v>
      </c>
      <c r="BD606" s="62" t="s">
        <v>371</v>
      </c>
      <c r="BE606" s="55" t="s">
        <v>405</v>
      </c>
      <c r="BF606" s="55" t="s">
        <v>1075</v>
      </c>
      <c r="BG606" s="55" t="s">
        <v>309</v>
      </c>
    </row>
    <row r="607" spans="22:59" x14ac:dyDescent="0.35">
      <c r="V607" s="1" t="str">
        <v>O FLAKE  -CHAL40</v>
      </c>
      <c r="X607" s="1" t="str">
        <f t="shared" si="176"/>
        <v>O FLAKE - SINE40</v>
      </c>
      <c r="Y607" s="1" t="str" cm="1">
        <f t="array" ref="Y607">IFERROR(VLOOKUP($X607,$AN:AO,COLUMN(AO:AO)-COLUMN($AN:$AN)+1,FALSE),"")</f>
        <v>1-4IN DECO FLAKE - 40LB BAGSILTSTONE40LB BAG</v>
      </c>
      <c r="Z607" s="63" cm="1">
        <f t="array" ref="Z607">IFERROR(VLOOKUP($X607,$AN:AP,COLUMN(AP:AP)-COLUMN($AN:$AN)+1,FALSE),"")</f>
        <v>110</v>
      </c>
      <c r="AA607" s="1" t="str" cm="1">
        <f t="array" ref="AA607">IFERROR(VLOOKUP($X607,$AN:AQ,COLUMN(AQ:AQ)-COLUMN($AN:$AN)+1,FALSE),"")</f>
        <v>40LB BAG</v>
      </c>
      <c r="AC607" s="1" t="str" cm="1">
        <f t="array" ref="AC607">IFERROR(VLOOKUP($X607,$AN:AS,COLUMN(AS:AS)-COLUMN($AN:$AN)+1,FALSE),"")</f>
        <v>SILTSTONE</v>
      </c>
      <c r="AD607" s="1" t="s">
        <v>19</v>
      </c>
      <c r="AF607" s="1">
        <f>Table1[[#This Row],[C:C]]*1.1</f>
        <v>0</v>
      </c>
      <c r="AI607" s="1">
        <f>IFERROR(VLOOKUP(X607,#REF!,8,FALSE),0)</f>
        <v>0</v>
      </c>
      <c r="AN607" s="1" t="str">
        <f>PROD_ID_TABLE[[#This Row],[PROD ID]]</f>
        <v xml:space="preserve"> T-303 FLECLAR50</v>
      </c>
      <c r="AO607" s="1" t="str">
        <f t="shared" si="172"/>
        <v>CRYLAFLOR T-303 FLEXIBLE TOPCOATCLEAR50 GAL KIT</v>
      </c>
      <c r="AP607" s="3">
        <f t="shared" si="173"/>
        <v>3999.45</v>
      </c>
      <c r="AQ607" s="1" t="str">
        <f t="shared" si="174"/>
        <v>50 GAL KIT</v>
      </c>
      <c r="AS607" s="1" t="str">
        <f t="shared" si="175"/>
        <v>CLEAR</v>
      </c>
      <c r="AY607" s="63" t="str">
        <f t="shared" ref="AY607:AY630" si="178">_xlfn.CONCAT(AZ607:BB607)</f>
        <v xml:space="preserve"> T-303 FLECLAR50</v>
      </c>
      <c r="AZ607" s="63" t="str">
        <f t="shared" ref="AZ607:AZ630" si="179">MID(BD607,10,10)</f>
        <v xml:space="preserve"> T-303 FLE</v>
      </c>
      <c r="BA607" s="63" t="str">
        <f t="shared" ref="BA607:BA630" si="180">LEFT(BE607,2)&amp;RIGHT(BE607,2)</f>
        <v>CLAR</v>
      </c>
      <c r="BB607" s="63" t="str">
        <f t="shared" ref="BB607:BB630" si="181">LEFT(BF607,2)</f>
        <v>50</v>
      </c>
      <c r="BC607" s="135">
        <f t="shared" si="163"/>
        <v>3999.45</v>
      </c>
      <c r="BD607" s="1" t="s">
        <v>372</v>
      </c>
      <c r="BE607" s="14" t="s">
        <v>315</v>
      </c>
      <c r="BF607" s="55" t="s">
        <v>1075</v>
      </c>
      <c r="BG607" s="14" t="s">
        <v>309</v>
      </c>
    </row>
    <row r="608" spans="22:59" x14ac:dyDescent="0.35">
      <c r="V608" s="1" t="str">
        <v>O FLAKE  -CHLA40</v>
      </c>
      <c r="X608" s="1" t="str">
        <f t="shared" si="176"/>
        <v>O FLAKE - SPSH40</v>
      </c>
      <c r="Y608" s="1" t="str" cm="1">
        <f t="array" ref="Y608">IFERROR(VLOOKUP($X608,$AN:AO,COLUMN(AO:AO)-COLUMN($AN:$AN)+1,FALSE),"")</f>
        <v>1-4IN DECO FLAKE - 40LB BAGSPECKLED ASH40LB BAG</v>
      </c>
      <c r="Z608" s="63" cm="1">
        <f t="array" ref="Z608">IFERROR(VLOOKUP($X608,$AN:AP,COLUMN(AP:AP)-COLUMN($AN:$AN)+1,FALSE),"")</f>
        <v>110</v>
      </c>
      <c r="AA608" s="1" t="str" cm="1">
        <f t="array" ref="AA608">IFERROR(VLOOKUP($X608,$AN:AQ,COLUMN(AQ:AQ)-COLUMN($AN:$AN)+1,FALSE),"")</f>
        <v>40LB BAG</v>
      </c>
      <c r="AC608" s="1" t="str" cm="1">
        <f t="array" ref="AC608">IFERROR(VLOOKUP($X608,$AN:AS,COLUMN(AS:AS)-COLUMN($AN:$AN)+1,FALSE),"")</f>
        <v>SPECKLED ASH</v>
      </c>
      <c r="AD608" s="1" t="s">
        <v>19</v>
      </c>
      <c r="AF608" s="1">
        <f>Table1[[#This Row],[C:C]]*1.1</f>
        <v>0</v>
      </c>
      <c r="AI608" s="1">
        <f>IFERROR(VLOOKUP(X608,#REF!,8,FALSE),0)</f>
        <v>0</v>
      </c>
      <c r="AN608" s="1" t="str">
        <f>PROD_ID_TABLE[[#This Row],[PROD ID]]</f>
        <v xml:space="preserve"> T-303 FLEBEGE50</v>
      </c>
      <c r="AO608" s="1" t="str">
        <f t="shared" si="172"/>
        <v>CRYLAFLOR T-303 FLEXIBLE TOPCOATBEIGE50 GAL KIT</v>
      </c>
      <c r="AP608" s="3">
        <f t="shared" si="173"/>
        <v>3999.45</v>
      </c>
      <c r="AQ608" s="1" t="str">
        <f t="shared" si="174"/>
        <v>50 GAL KIT</v>
      </c>
      <c r="AS608" s="1" t="str">
        <f t="shared" si="175"/>
        <v>BEIGE</v>
      </c>
      <c r="AY608" s="63" t="str">
        <f t="shared" si="178"/>
        <v xml:space="preserve"> T-303 FLEBEGE50</v>
      </c>
      <c r="AZ608" s="63" t="str">
        <f t="shared" si="179"/>
        <v xml:space="preserve"> T-303 FLE</v>
      </c>
      <c r="BA608" s="63" t="str">
        <f t="shared" si="180"/>
        <v>BEGE</v>
      </c>
      <c r="BB608" s="63" t="str">
        <f t="shared" si="181"/>
        <v>50</v>
      </c>
      <c r="BC608" s="135">
        <f t="shared" si="163"/>
        <v>3999.45</v>
      </c>
      <c r="BD608" s="1" t="s">
        <v>372</v>
      </c>
      <c r="BE608" s="14" t="s">
        <v>399</v>
      </c>
      <c r="BF608" s="55" t="s">
        <v>1075</v>
      </c>
      <c r="BG608" s="14" t="s">
        <v>309</v>
      </c>
    </row>
    <row r="609" spans="22:59" x14ac:dyDescent="0.35">
      <c r="V609" s="1" t="str">
        <v>O FLAKE  -CUOM40</v>
      </c>
      <c r="X609" s="1" t="str">
        <f t="shared" si="176"/>
        <v>O FLAKE - TUEN40</v>
      </c>
      <c r="Y609" s="1" t="str" cm="1">
        <f t="array" ref="Y609">IFERROR(VLOOKUP($X609,$AN:AO,COLUMN(AO:AO)-COLUMN($AN:$AN)+1,FALSE),"")</f>
        <v>1-4IN DECO FLAKE - 40LB BAGTUNGSTEN40LB BAG</v>
      </c>
      <c r="Z609" s="63" cm="1">
        <f t="array" ref="Z609">IFERROR(VLOOKUP($X609,$AN:AP,COLUMN(AP:AP)-COLUMN($AN:$AN)+1,FALSE),"")</f>
        <v>110</v>
      </c>
      <c r="AA609" s="1" t="str" cm="1">
        <f t="array" ref="AA609">IFERROR(VLOOKUP($X609,$AN:AQ,COLUMN(AQ:AQ)-COLUMN($AN:$AN)+1,FALSE),"")</f>
        <v>40LB BAG</v>
      </c>
      <c r="AC609" s="1" t="str" cm="1">
        <f t="array" ref="AC609">IFERROR(VLOOKUP($X609,$AN:AS,COLUMN(AS:AS)-COLUMN($AN:$AN)+1,FALSE),"")</f>
        <v>TUNGSTEN</v>
      </c>
      <c r="AD609" s="1" t="s">
        <v>19</v>
      </c>
      <c r="AF609" s="1">
        <f>Table1[[#This Row],[C:C]]*1.1</f>
        <v>0</v>
      </c>
      <c r="AI609" s="1">
        <f>IFERROR(VLOOKUP(X609,#REF!,8,FALSE),0)</f>
        <v>0</v>
      </c>
      <c r="AN609" s="1" t="str">
        <f>PROD_ID_TABLE[[#This Row],[PROD ID]]</f>
        <v xml:space="preserve"> T-303 FLEBROW50</v>
      </c>
      <c r="AO609" s="1" t="str">
        <f t="shared" si="172"/>
        <v>CRYLAFLOR T-303 FLEXIBLE TOPCOATBRIGHT YELLOW50 GAL KIT</v>
      </c>
      <c r="AP609" s="3">
        <f t="shared" si="173"/>
        <v>3999.45</v>
      </c>
      <c r="AQ609" s="1" t="str">
        <f t="shared" si="174"/>
        <v>50 GAL KIT</v>
      </c>
      <c r="AS609" s="1" t="str">
        <f t="shared" si="175"/>
        <v>BRIGHT YELLOW</v>
      </c>
      <c r="AY609" s="63" t="str">
        <f t="shared" si="178"/>
        <v xml:space="preserve"> T-303 FLEBROW50</v>
      </c>
      <c r="AZ609" s="63" t="str">
        <f t="shared" si="179"/>
        <v xml:space="preserve"> T-303 FLE</v>
      </c>
      <c r="BA609" s="63" t="str">
        <f t="shared" si="180"/>
        <v>BROW</v>
      </c>
      <c r="BB609" s="63" t="str">
        <f t="shared" si="181"/>
        <v>50</v>
      </c>
      <c r="BC609" s="135">
        <f t="shared" si="163"/>
        <v>3999.45</v>
      </c>
      <c r="BD609" s="1" t="s">
        <v>372</v>
      </c>
      <c r="BE609" s="14" t="s">
        <v>400</v>
      </c>
      <c r="BF609" s="55" t="s">
        <v>1075</v>
      </c>
      <c r="BG609" s="14" t="s">
        <v>309</v>
      </c>
    </row>
    <row r="610" spans="22:59" x14ac:dyDescent="0.35">
      <c r="V610" s="1" t="str">
        <v>O FLAKE  -FLED40</v>
      </c>
      <c r="X610" s="1" t="str">
        <f t="shared" si="176"/>
        <v>O FLAKE  -AGVE40</v>
      </c>
      <c r="Y610" s="1" t="str" cm="1">
        <f t="array" ref="Y610">IFERROR(VLOOKUP($X610,$AN:AO,COLUMN(AO:AO)-COLUMN($AN:$AN)+1,FALSE),"")</f>
        <v>1-8IN DECO FLAKE  - 40LB BAGAGAVE40LB BAG</v>
      </c>
      <c r="Z610" s="63" cm="1">
        <f t="array" ref="Z610">IFERROR(VLOOKUP($X610,$AN:AP,COLUMN(AP:AP)-COLUMN($AN:$AN)+1,FALSE),"")</f>
        <v>110</v>
      </c>
      <c r="AA610" s="1" t="str" cm="1">
        <f t="array" ref="AA610">IFERROR(VLOOKUP($X610,$AN:AQ,COLUMN(AQ:AQ)-COLUMN($AN:$AN)+1,FALSE),"")</f>
        <v>40LB BAG</v>
      </c>
      <c r="AC610" s="1" t="str" cm="1">
        <f t="array" ref="AC610">IFERROR(VLOOKUP($X610,$AN:AS,COLUMN(AS:AS)-COLUMN($AN:$AN)+1,FALSE),"")</f>
        <v>AGAVE</v>
      </c>
      <c r="AD610" s="1" t="s">
        <v>19</v>
      </c>
      <c r="AF610" s="1">
        <f>Table1[[#This Row],[C:C]]*1.1</f>
        <v>0</v>
      </c>
      <c r="AI610" s="1">
        <f>IFERROR(VLOOKUP(X610,#REF!,8,FALSE),0)</f>
        <v>0</v>
      </c>
      <c r="AN610" s="1" t="str">
        <f>PROD_ID_TABLE[[#This Row],[PROD ID]]</f>
        <v xml:space="preserve"> T-303 FLECOAY50</v>
      </c>
      <c r="AO610" s="1" t="str">
        <f t="shared" si="172"/>
        <v>CRYLAFLOR T-303 FLEXIBLE TOPCOATCONCRETE GRAY50 GAL KIT</v>
      </c>
      <c r="AP610" s="3">
        <f t="shared" si="173"/>
        <v>3999.45</v>
      </c>
      <c r="AQ610" s="1" t="str">
        <f t="shared" si="174"/>
        <v>50 GAL KIT</v>
      </c>
      <c r="AS610" s="1" t="str">
        <f t="shared" si="175"/>
        <v>CONCRETE GRAY</v>
      </c>
      <c r="AY610" s="63" t="str">
        <f t="shared" si="178"/>
        <v xml:space="preserve"> T-303 FLECOAY50</v>
      </c>
      <c r="AZ610" s="63" t="str">
        <f t="shared" si="179"/>
        <v xml:space="preserve"> T-303 FLE</v>
      </c>
      <c r="BA610" s="63" t="str">
        <f t="shared" si="180"/>
        <v>COAY</v>
      </c>
      <c r="BB610" s="63" t="str">
        <f t="shared" si="181"/>
        <v>50</v>
      </c>
      <c r="BC610" s="135">
        <f t="shared" si="163"/>
        <v>3999.45</v>
      </c>
      <c r="BD610" s="1" t="s">
        <v>372</v>
      </c>
      <c r="BE610" s="14" t="s">
        <v>393</v>
      </c>
      <c r="BF610" s="55" t="s">
        <v>1075</v>
      </c>
      <c r="BG610" s="14" t="s">
        <v>309</v>
      </c>
    </row>
    <row r="611" spans="22:59" x14ac:dyDescent="0.35">
      <c r="V611" s="1" t="str">
        <v>O FLAKE  -FONG40</v>
      </c>
      <c r="X611" s="1" t="str">
        <f t="shared" si="176"/>
        <v>O FLAKE  -ALLK40</v>
      </c>
      <c r="Y611" s="1" t="str" cm="1">
        <f t="array" ref="Y611">IFERROR(VLOOKUP($X611,$AN:AO,COLUMN(AO:AO)-COLUMN($AN:$AN)+1,FALSE),"")</f>
        <v>1-8IN DECO FLAKE  - 40LB BAGALMOND MILK40LB BAG</v>
      </c>
      <c r="Z611" s="63" cm="1">
        <f t="array" ref="Z611">IFERROR(VLOOKUP($X611,$AN:AP,COLUMN(AP:AP)-COLUMN($AN:$AN)+1,FALSE),"")</f>
        <v>110</v>
      </c>
      <c r="AA611" s="1" t="str" cm="1">
        <f t="array" ref="AA611">IFERROR(VLOOKUP($X611,$AN:AQ,COLUMN(AQ:AQ)-COLUMN($AN:$AN)+1,FALSE),"")</f>
        <v>40LB BAG</v>
      </c>
      <c r="AC611" s="1" t="str" cm="1">
        <f t="array" ref="AC611">IFERROR(VLOOKUP($X611,$AN:AS,COLUMN(AS:AS)-COLUMN($AN:$AN)+1,FALSE),"")</f>
        <v>ALMOND MILK</v>
      </c>
      <c r="AD611" s="1" t="s">
        <v>19</v>
      </c>
      <c r="AF611" s="1">
        <f>Table1[[#This Row],[C:C]]*1.1</f>
        <v>0</v>
      </c>
      <c r="AI611" s="1">
        <f>IFERROR(VLOOKUP(X611,#REF!,8,FALSE),0)</f>
        <v>0</v>
      </c>
      <c r="AN611" s="1" t="str">
        <f>PROD_ID_TABLE[[#This Row],[PROD ID]]</f>
        <v xml:space="preserve"> T-303 FLECHAY50</v>
      </c>
      <c r="AO611" s="1" t="str">
        <f t="shared" si="172"/>
        <v>CRYLAFLOR T-303 FLEXIBLE TOPCOATCHARCOAL GRAY50 GAL KIT</v>
      </c>
      <c r="AP611" s="3">
        <f t="shared" si="173"/>
        <v>3999.45</v>
      </c>
      <c r="AQ611" s="1" t="str">
        <f t="shared" si="174"/>
        <v>50 GAL KIT</v>
      </c>
      <c r="AS611" s="1" t="str">
        <f t="shared" si="175"/>
        <v>CHARCOAL GRAY</v>
      </c>
      <c r="AY611" s="63" t="str">
        <f t="shared" si="178"/>
        <v xml:space="preserve"> T-303 FLECHAY50</v>
      </c>
      <c r="AZ611" s="63" t="str">
        <f t="shared" si="179"/>
        <v xml:space="preserve"> T-303 FLE</v>
      </c>
      <c r="BA611" s="63" t="str">
        <f t="shared" si="180"/>
        <v>CHAY</v>
      </c>
      <c r="BB611" s="63" t="str">
        <f t="shared" si="181"/>
        <v>50</v>
      </c>
      <c r="BC611" s="135">
        <f t="shared" si="163"/>
        <v>3999.45</v>
      </c>
      <c r="BD611" s="1" t="s">
        <v>372</v>
      </c>
      <c r="BE611" s="14" t="s">
        <v>401</v>
      </c>
      <c r="BF611" s="55" t="s">
        <v>1075</v>
      </c>
      <c r="BG611" s="14" t="s">
        <v>309</v>
      </c>
    </row>
    <row r="612" spans="22:59" x14ac:dyDescent="0.35">
      <c r="V612" s="1" t="str">
        <v>O FLAKE  -GNSS40</v>
      </c>
      <c r="X612" s="1" t="str">
        <f t="shared" si="176"/>
        <v>O FLAKE  -ASSH40</v>
      </c>
      <c r="Y612" s="1" t="str" cm="1">
        <f t="array" ref="Y612">IFERROR(VLOOKUP($X612,$AN:AO,COLUMN(AO:AO)-COLUMN($AN:$AN)+1,FALSE),"")</f>
        <v>1-8IN DECO FLAKE  - 40LB BAGASH40LB BAG</v>
      </c>
      <c r="Z612" s="63" cm="1">
        <f t="array" ref="Z612">IFERROR(VLOOKUP($X612,$AN:AP,COLUMN(AP:AP)-COLUMN($AN:$AN)+1,FALSE),"")</f>
        <v>110</v>
      </c>
      <c r="AA612" s="1" t="str" cm="1">
        <f t="array" ref="AA612">IFERROR(VLOOKUP($X612,$AN:AQ,COLUMN(AQ:AQ)-COLUMN($AN:$AN)+1,FALSE),"")</f>
        <v>40LB BAG</v>
      </c>
      <c r="AC612" s="1" t="str" cm="1">
        <f t="array" ref="AC612">IFERROR(VLOOKUP($X612,$AN:AS,COLUMN(AS:AS)-COLUMN($AN:$AN)+1,FALSE),"")</f>
        <v>ASH</v>
      </c>
      <c r="AD612" s="1" t="s">
        <v>19</v>
      </c>
      <c r="AF612" s="1">
        <f>Table1[[#This Row],[C:C]]*1.1</f>
        <v>0</v>
      </c>
      <c r="AI612" s="1">
        <f>IFERROR(VLOOKUP(X612,#REF!,8,FALSE),0)</f>
        <v>0</v>
      </c>
      <c r="AN612" s="1" t="str">
        <f>PROD_ID_TABLE[[#This Row],[PROD ID]]</f>
        <v xml:space="preserve"> T-303 FLELIAY50</v>
      </c>
      <c r="AO612" s="1" t="str">
        <f t="shared" si="172"/>
        <v>CRYLAFLOR T-303 FLEXIBLE TOPCOATLIGHT GRAY50 GAL KIT</v>
      </c>
      <c r="AP612" s="3">
        <f t="shared" si="173"/>
        <v>3999.45</v>
      </c>
      <c r="AQ612" s="1" t="str">
        <f t="shared" si="174"/>
        <v>50 GAL KIT</v>
      </c>
      <c r="AS612" s="1" t="str">
        <f t="shared" si="175"/>
        <v>LIGHT GRAY</v>
      </c>
      <c r="AY612" s="63" t="str">
        <f t="shared" si="178"/>
        <v xml:space="preserve"> T-303 FLELIAY50</v>
      </c>
      <c r="AZ612" s="63" t="str">
        <f t="shared" si="179"/>
        <v xml:space="preserve"> T-303 FLE</v>
      </c>
      <c r="BA612" s="63" t="str">
        <f t="shared" si="180"/>
        <v>LIAY</v>
      </c>
      <c r="BB612" s="63" t="str">
        <f t="shared" si="181"/>
        <v>50</v>
      </c>
      <c r="BC612" s="135">
        <f t="shared" si="163"/>
        <v>3999.45</v>
      </c>
      <c r="BD612" s="1" t="s">
        <v>372</v>
      </c>
      <c r="BE612" s="14" t="s">
        <v>384</v>
      </c>
      <c r="BF612" s="55" t="s">
        <v>1075</v>
      </c>
      <c r="BG612" s="14" t="s">
        <v>309</v>
      </c>
    </row>
    <row r="613" spans="22:59" x14ac:dyDescent="0.35">
      <c r="V613" s="1" t="str">
        <v>O FLAKE  -GROT40</v>
      </c>
      <c r="X613" s="1" t="str">
        <f t="shared" si="176"/>
        <v>O FLAKE  -BLAN40</v>
      </c>
      <c r="Y613" s="1" t="str" cm="1">
        <f t="array" ref="Y613">IFERROR(VLOOKUP($X613,$AN:AO,COLUMN(AO:AO)-COLUMN($AN:$AN)+1,FALSE),"")</f>
        <v>1-8IN DECO FLAKE  - 40LB BAGBLACK BEAN40LB BAG</v>
      </c>
      <c r="Z613" s="63" cm="1">
        <f t="array" ref="Z613">IFERROR(VLOOKUP($X613,$AN:AP,COLUMN(AP:AP)-COLUMN($AN:$AN)+1,FALSE),"")</f>
        <v>110</v>
      </c>
      <c r="AA613" s="1" t="str" cm="1">
        <f t="array" ref="AA613">IFERROR(VLOOKUP($X613,$AN:AQ,COLUMN(AQ:AQ)-COLUMN($AN:$AN)+1,FALSE),"")</f>
        <v>40LB BAG</v>
      </c>
      <c r="AC613" s="1" t="str" cm="1">
        <f t="array" ref="AC613">IFERROR(VLOOKUP($X613,$AN:AS,COLUMN(AS:AS)-COLUMN($AN:$AN)+1,FALSE),"")</f>
        <v>BLACK BEAN</v>
      </c>
      <c r="AD613" s="1" t="s">
        <v>19</v>
      </c>
      <c r="AF613" s="1">
        <f>Table1[[#This Row],[C:C]]*1.1</f>
        <v>0</v>
      </c>
      <c r="AI613" s="1">
        <f>IFERROR(VLOOKUP(X613,#REF!,8,FALSE),0)</f>
        <v>0</v>
      </c>
      <c r="AN613" s="1" t="str">
        <f>PROD_ID_TABLE[[#This Row],[PROD ID]]</f>
        <v xml:space="preserve"> T-303 FLEMEAY50</v>
      </c>
      <c r="AO613" s="1" t="str">
        <f t="shared" si="172"/>
        <v>CRYLAFLOR T-303 FLEXIBLE TOPCOATMED. GRAY50 GAL KIT</v>
      </c>
      <c r="AP613" s="3">
        <f t="shared" si="173"/>
        <v>3999.45</v>
      </c>
      <c r="AQ613" s="1" t="str">
        <f t="shared" si="174"/>
        <v>50 GAL KIT</v>
      </c>
      <c r="AS613" s="1" t="str">
        <f t="shared" si="175"/>
        <v>MED. GRAY</v>
      </c>
      <c r="AY613" s="63" t="str">
        <f t="shared" si="178"/>
        <v xml:space="preserve"> T-303 FLEMEAY50</v>
      </c>
      <c r="AZ613" s="63" t="str">
        <f t="shared" si="179"/>
        <v xml:space="preserve"> T-303 FLE</v>
      </c>
      <c r="BA613" s="63" t="str">
        <f t="shared" si="180"/>
        <v>MEAY</v>
      </c>
      <c r="BB613" s="63" t="str">
        <f t="shared" si="181"/>
        <v>50</v>
      </c>
      <c r="BC613" s="135">
        <f t="shared" si="163"/>
        <v>3999.45</v>
      </c>
      <c r="BD613" s="1" t="s">
        <v>372</v>
      </c>
      <c r="BE613" s="14" t="s">
        <v>402</v>
      </c>
      <c r="BF613" s="55" t="s">
        <v>1075</v>
      </c>
      <c r="BG613" s="14" t="s">
        <v>309</v>
      </c>
    </row>
    <row r="614" spans="22:59" x14ac:dyDescent="0.35">
      <c r="V614" s="1" t="str">
        <v>O FLAKE  -GREL40</v>
      </c>
      <c r="X614" s="1" t="str">
        <f t="shared" si="176"/>
        <v>O FLAKE  -BLND40</v>
      </c>
      <c r="Y614" s="1" t="str" cm="1">
        <f t="array" ref="Y614">IFERROR(VLOOKUP($X614,$AN:AO,COLUMN(AO:AO)-COLUMN($AN:$AN)+1,FALSE),"")</f>
        <v>1-8IN DECO FLAKE  - 40LB BAGBLACK DIAMOND40LB BAG</v>
      </c>
      <c r="Z614" s="63" cm="1">
        <f t="array" ref="Z614">IFERROR(VLOOKUP($X614,$AN:AP,COLUMN(AP:AP)-COLUMN($AN:$AN)+1,FALSE),"")</f>
        <v>110</v>
      </c>
      <c r="AA614" s="1" t="str" cm="1">
        <f t="array" ref="AA614">IFERROR(VLOOKUP($X614,$AN:AQ,COLUMN(AQ:AQ)-COLUMN($AN:$AN)+1,FALSE),"")</f>
        <v>40LB BAG</v>
      </c>
      <c r="AC614" s="1" t="str" cm="1">
        <f t="array" ref="AC614">IFERROR(VLOOKUP($X614,$AN:AS,COLUMN(AS:AS)-COLUMN($AN:$AN)+1,FALSE),"")</f>
        <v>BLACK DIAMOND</v>
      </c>
      <c r="AD614" s="1" t="s">
        <v>19</v>
      </c>
      <c r="AF614" s="1">
        <f>Table1[[#This Row],[C:C]]*1.1</f>
        <v>0</v>
      </c>
      <c r="AI614" s="1">
        <f>IFERROR(VLOOKUP(X614,#REF!,8,FALSE),0)</f>
        <v>0</v>
      </c>
      <c r="AN614" s="1" t="str">
        <f>PROD_ID_TABLE[[#This Row],[PROD ID]]</f>
        <v xml:space="preserve"> T-303 FLESLAY50</v>
      </c>
      <c r="AO614" s="1" t="str">
        <f t="shared" si="172"/>
        <v>CRYLAFLOR T-303 FLEXIBLE TOPCOATSLATE GRAY50 GAL KIT</v>
      </c>
      <c r="AP614" s="3">
        <f t="shared" si="173"/>
        <v>3999.45</v>
      </c>
      <c r="AQ614" s="1" t="str">
        <f t="shared" si="174"/>
        <v>50 GAL KIT</v>
      </c>
      <c r="AS614" s="1" t="str">
        <f t="shared" si="175"/>
        <v>SLATE GRAY</v>
      </c>
      <c r="AY614" s="63" t="str">
        <f t="shared" si="178"/>
        <v xml:space="preserve"> T-303 FLESLAY50</v>
      </c>
      <c r="AZ614" s="63" t="str">
        <f t="shared" si="179"/>
        <v xml:space="preserve"> T-303 FLE</v>
      </c>
      <c r="BA614" s="63" t="str">
        <f t="shared" si="180"/>
        <v>SLAY</v>
      </c>
      <c r="BB614" s="63" t="str">
        <f t="shared" si="181"/>
        <v>50</v>
      </c>
      <c r="BC614" s="135">
        <f t="shared" si="163"/>
        <v>3999.45</v>
      </c>
      <c r="BD614" s="1" t="s">
        <v>372</v>
      </c>
      <c r="BE614" s="14" t="s">
        <v>403</v>
      </c>
      <c r="BF614" s="55" t="s">
        <v>1075</v>
      </c>
      <c r="BG614" s="14" t="s">
        <v>309</v>
      </c>
    </row>
    <row r="615" spans="22:59" x14ac:dyDescent="0.35">
      <c r="V615" s="1" t="str">
        <v>O FLAKE  -GRND40</v>
      </c>
      <c r="X615" s="1" t="str">
        <f t="shared" si="176"/>
        <v>O FLAKE  -BLOA40</v>
      </c>
      <c r="Y615" s="1" t="str" cm="1">
        <f t="array" ref="Y615">IFERROR(VLOOKUP($X615,$AN:AO,COLUMN(AO:AO)-COLUMN($AN:$AN)+1,FALSE),"")</f>
        <v>1-8IN DECO FLAKE  - 40LB BAGBLACK QUINOA40LB BAG</v>
      </c>
      <c r="Z615" s="63" cm="1">
        <f t="array" ref="Z615">IFERROR(VLOOKUP($X615,$AN:AP,COLUMN(AP:AP)-COLUMN($AN:$AN)+1,FALSE),"")</f>
        <v>110</v>
      </c>
      <c r="AA615" s="1" t="str" cm="1">
        <f t="array" ref="AA615">IFERROR(VLOOKUP($X615,$AN:AQ,COLUMN(AQ:AQ)-COLUMN($AN:$AN)+1,FALSE),"")</f>
        <v>40LB BAG</v>
      </c>
      <c r="AC615" s="1" t="str" cm="1">
        <f t="array" ref="AC615">IFERROR(VLOOKUP($X615,$AN:AS,COLUMN(AS:AS)-COLUMN($AN:$AN)+1,FALSE),"")</f>
        <v>BLACK QUINOA</v>
      </c>
      <c r="AD615" s="1" t="s">
        <v>19</v>
      </c>
      <c r="AF615" s="1">
        <f>Table1[[#This Row],[C:C]]*1.1</f>
        <v>0</v>
      </c>
      <c r="AI615" s="1">
        <f>IFERROR(VLOOKUP(X615,#REF!,8,FALSE),0)</f>
        <v>0</v>
      </c>
      <c r="AN615" s="1" t="str">
        <f>PROD_ID_TABLE[[#This Row],[PROD ID]]</f>
        <v xml:space="preserve"> T-303 FLEBLCK50</v>
      </c>
      <c r="AO615" s="1" t="str">
        <f t="shared" si="172"/>
        <v>CRYLAFLOR T-303 FLEXIBLE TOPCOATBLACK50 GAL KIT</v>
      </c>
      <c r="AP615" s="3">
        <f t="shared" si="173"/>
        <v>3999.45</v>
      </c>
      <c r="AQ615" s="1" t="str">
        <f t="shared" si="174"/>
        <v>50 GAL KIT</v>
      </c>
      <c r="AS615" s="1" t="str">
        <f t="shared" si="175"/>
        <v>BLACK</v>
      </c>
      <c r="AY615" s="63" t="str">
        <f t="shared" si="178"/>
        <v xml:space="preserve"> T-303 FLEBLCK50</v>
      </c>
      <c r="AZ615" s="63" t="str">
        <f t="shared" si="179"/>
        <v xml:space="preserve"> T-303 FLE</v>
      </c>
      <c r="BA615" s="63" t="str">
        <f t="shared" si="180"/>
        <v>BLCK</v>
      </c>
      <c r="BB615" s="63" t="str">
        <f t="shared" si="181"/>
        <v>50</v>
      </c>
      <c r="BC615" s="135">
        <f t="shared" si="163"/>
        <v>3999.45</v>
      </c>
      <c r="BD615" s="1" t="s">
        <v>372</v>
      </c>
      <c r="BE615" s="14" t="s">
        <v>323</v>
      </c>
      <c r="BF615" s="55" t="s">
        <v>1075</v>
      </c>
      <c r="BG615" s="14" t="s">
        <v>309</v>
      </c>
    </row>
    <row r="616" spans="22:59" x14ac:dyDescent="0.35">
      <c r="V616" s="1" t="str">
        <v>O FLAKE  -HUAY40</v>
      </c>
      <c r="X616" s="1" t="str">
        <f t="shared" si="176"/>
        <v>O FLAKE  -BOSE40</v>
      </c>
      <c r="Y616" s="1" t="str" cm="1">
        <f t="array" ref="Y616">IFERROR(VLOOKUP($X616,$AN:AO,COLUMN(AO:AO)-COLUMN($AN:$AN)+1,FALSE),"")</f>
        <v>1-8IN DECO FLAKE  - 40LB BAGBOTTLENOSE40LB BAG</v>
      </c>
      <c r="Z616" s="63" cm="1">
        <f t="array" ref="Z616">IFERROR(VLOOKUP($X616,$AN:AP,COLUMN(AP:AP)-COLUMN($AN:$AN)+1,FALSE),"")</f>
        <v>110</v>
      </c>
      <c r="AA616" s="1" t="str" cm="1">
        <f t="array" ref="AA616">IFERROR(VLOOKUP($X616,$AN:AQ,COLUMN(AQ:AQ)-COLUMN($AN:$AN)+1,FALSE),"")</f>
        <v>40LB BAG</v>
      </c>
      <c r="AC616" s="1" t="str" cm="1">
        <f t="array" ref="AC616">IFERROR(VLOOKUP($X616,$AN:AS,COLUMN(AS:AS)-COLUMN($AN:$AN)+1,FALSE),"")</f>
        <v>BOTTLENOSE</v>
      </c>
      <c r="AD616" s="1" t="s">
        <v>19</v>
      </c>
      <c r="AF616" s="1">
        <f>Table1[[#This Row],[C:C]]*1.1</f>
        <v>0</v>
      </c>
      <c r="AI616" s="1">
        <f>IFERROR(VLOOKUP(X616,#REF!,8,FALSE),0)</f>
        <v>0</v>
      </c>
      <c r="AN616" s="1" t="str">
        <f>PROD_ID_TABLE[[#This Row],[PROD ID]]</f>
        <v xml:space="preserve"> T-303 FLEGREN50</v>
      </c>
      <c r="AO616" s="1" t="str">
        <f t="shared" si="172"/>
        <v>CRYLAFLOR T-303 FLEXIBLE TOPCOATGREEN50 GAL KIT</v>
      </c>
      <c r="AP616" s="3">
        <f t="shared" si="173"/>
        <v>3999.45</v>
      </c>
      <c r="AQ616" s="1" t="str">
        <f t="shared" si="174"/>
        <v>50 GAL KIT</v>
      </c>
      <c r="AS616" s="1" t="str">
        <f t="shared" si="175"/>
        <v>GREEN</v>
      </c>
      <c r="AY616" s="63" t="str">
        <f t="shared" si="178"/>
        <v xml:space="preserve"> T-303 FLEGREN50</v>
      </c>
      <c r="AZ616" s="63" t="str">
        <f t="shared" si="179"/>
        <v xml:space="preserve"> T-303 FLE</v>
      </c>
      <c r="BA616" s="63" t="str">
        <f t="shared" si="180"/>
        <v>GREN</v>
      </c>
      <c r="BB616" s="63" t="str">
        <f t="shared" si="181"/>
        <v>50</v>
      </c>
      <c r="BC616" s="135">
        <f t="shared" si="163"/>
        <v>3999.45</v>
      </c>
      <c r="BD616" s="1" t="s">
        <v>372</v>
      </c>
      <c r="BE616" s="14" t="s">
        <v>395</v>
      </c>
      <c r="BF616" s="55" t="s">
        <v>1075</v>
      </c>
      <c r="BG616" s="14" t="s">
        <v>309</v>
      </c>
    </row>
    <row r="617" spans="22:59" x14ac:dyDescent="0.35">
      <c r="V617" s="1" t="str">
        <v>O FLAKE  -KIKE40</v>
      </c>
      <c r="X617" s="1" t="str">
        <f t="shared" si="176"/>
        <v>O FLAKE  -BUOD40</v>
      </c>
      <c r="Y617" s="1" t="str" cm="1">
        <f t="array" ref="Y617">IFERROR(VLOOKUP($X617,$AN:AO,COLUMN(AO:AO)-COLUMN($AN:$AN)+1,FALSE),"")</f>
        <v>1-8IN DECO FLAKE  - 40LB BAGBURNT WOOD40LB BAG</v>
      </c>
      <c r="Z617" s="63" cm="1">
        <f t="array" ref="Z617">IFERROR(VLOOKUP($X617,$AN:AP,COLUMN(AP:AP)-COLUMN($AN:$AN)+1,FALSE),"")</f>
        <v>110</v>
      </c>
      <c r="AA617" s="1" t="str" cm="1">
        <f t="array" ref="AA617">IFERROR(VLOOKUP($X617,$AN:AQ,COLUMN(AQ:AQ)-COLUMN($AN:$AN)+1,FALSE),"")</f>
        <v>40LB BAG</v>
      </c>
      <c r="AC617" s="1" t="str" cm="1">
        <f t="array" ref="AC617">IFERROR(VLOOKUP($X617,$AN:AS,COLUMN(AS:AS)-COLUMN($AN:$AN)+1,FALSE),"")</f>
        <v>BURNT WOOD</v>
      </c>
      <c r="AD617" s="1" t="s">
        <v>19</v>
      </c>
      <c r="AF617" s="1">
        <f>Table1[[#This Row],[C:C]]*1.1</f>
        <v>0</v>
      </c>
      <c r="AI617" s="1">
        <f>IFERROR(VLOOKUP(X617,#REF!,8,FALSE),0)</f>
        <v>0</v>
      </c>
      <c r="AN617" s="1" t="str">
        <f>PROD_ID_TABLE[[#This Row],[PROD ID]]</f>
        <v xml:space="preserve"> T-303 FLEWHTE50</v>
      </c>
      <c r="AO617" s="1" t="str">
        <f t="shared" si="172"/>
        <v>CRYLAFLOR T-303 FLEXIBLE TOPCOATWHITE50 GAL KIT</v>
      </c>
      <c r="AP617" s="3">
        <f t="shared" si="173"/>
        <v>3999.45</v>
      </c>
      <c r="AQ617" s="1" t="str">
        <f t="shared" si="174"/>
        <v>50 GAL KIT</v>
      </c>
      <c r="AS617" s="1" t="str">
        <f t="shared" si="175"/>
        <v>WHITE</v>
      </c>
      <c r="AY617" s="63" t="str">
        <f t="shared" si="178"/>
        <v xml:space="preserve"> T-303 FLEWHTE50</v>
      </c>
      <c r="AZ617" s="63" t="str">
        <f t="shared" si="179"/>
        <v xml:space="preserve"> T-303 FLE</v>
      </c>
      <c r="BA617" s="63" t="str">
        <f t="shared" si="180"/>
        <v>WHTE</v>
      </c>
      <c r="BB617" s="63" t="str">
        <f t="shared" si="181"/>
        <v>50</v>
      </c>
      <c r="BC617" s="135">
        <f t="shared" si="163"/>
        <v>3999.45</v>
      </c>
      <c r="BD617" s="1" t="s">
        <v>372</v>
      </c>
      <c r="BE617" s="14" t="s">
        <v>322</v>
      </c>
      <c r="BF617" s="55" t="s">
        <v>1075</v>
      </c>
      <c r="BG617" s="14" t="s">
        <v>309</v>
      </c>
    </row>
    <row r="618" spans="22:59" x14ac:dyDescent="0.35">
      <c r="V618" s="1" t="str">
        <v>O FLAKE  -KIIN40</v>
      </c>
      <c r="X618" s="1" t="str">
        <f t="shared" si="176"/>
        <v>O FLAKE  -CACK40</v>
      </c>
      <c r="Y618" s="1" t="str" cm="1">
        <f t="array" ref="Y618">IFERROR(VLOOKUP($X618,$AN:AO,COLUMN(AO:AO)-COLUMN($AN:$AN)+1,FALSE),"")</f>
        <v>1-8IN DECO FLAKE  - 40LB BAGCASTLEROCK40LB BAG</v>
      </c>
      <c r="Z618" s="63" cm="1">
        <f t="array" ref="Z618">IFERROR(VLOOKUP($X618,$AN:AP,COLUMN(AP:AP)-COLUMN($AN:$AN)+1,FALSE),"")</f>
        <v>110</v>
      </c>
      <c r="AA618" s="1" t="str" cm="1">
        <f t="array" ref="AA618">IFERROR(VLOOKUP($X618,$AN:AQ,COLUMN(AQ:AQ)-COLUMN($AN:$AN)+1,FALSE),"")</f>
        <v>40LB BAG</v>
      </c>
      <c r="AC618" s="1" t="str" cm="1">
        <f t="array" ref="AC618">IFERROR(VLOOKUP($X618,$AN:AS,COLUMN(AS:AS)-COLUMN($AN:$AN)+1,FALSE),"")</f>
        <v>CASTLEROCK</v>
      </c>
      <c r="AD618" s="1" t="s">
        <v>19</v>
      </c>
      <c r="AF618" s="1">
        <f>Table1[[#This Row],[C:C]]*1.1</f>
        <v>0</v>
      </c>
      <c r="AI618" s="1">
        <f>IFERROR(VLOOKUP(X618,#REF!,8,FALSE),0)</f>
        <v>0</v>
      </c>
      <c r="AN618" s="1" t="str">
        <f>PROD_ID_TABLE[[#This Row],[PROD ID]]</f>
        <v xml:space="preserve"> T-303 FLESPAL50</v>
      </c>
      <c r="AO618" s="1" t="str">
        <f t="shared" si="172"/>
        <v>CRYLAFLOR T-303 FLEXIBLE TOPCOATSPECIAL50 GAL KIT</v>
      </c>
      <c r="AP618" s="3">
        <f t="shared" si="173"/>
        <v>3999.45</v>
      </c>
      <c r="AQ618" s="1" t="str">
        <f t="shared" si="174"/>
        <v>50 GAL KIT</v>
      </c>
      <c r="AS618" s="1" t="str">
        <f t="shared" si="175"/>
        <v>SPECIAL</v>
      </c>
      <c r="AY618" s="63" t="str">
        <f t="shared" si="178"/>
        <v xml:space="preserve"> T-303 FLESPAL50</v>
      </c>
      <c r="AZ618" s="63" t="str">
        <f t="shared" si="179"/>
        <v xml:space="preserve"> T-303 FLE</v>
      </c>
      <c r="BA618" s="63" t="str">
        <f t="shared" si="180"/>
        <v>SPAL</v>
      </c>
      <c r="BB618" s="63" t="str">
        <f t="shared" si="181"/>
        <v>50</v>
      </c>
      <c r="BC618" s="135">
        <f t="shared" si="163"/>
        <v>3999.45</v>
      </c>
      <c r="BD618" s="1" t="s">
        <v>372</v>
      </c>
      <c r="BE618" s="14" t="s">
        <v>404</v>
      </c>
      <c r="BF618" s="55" t="s">
        <v>1075</v>
      </c>
      <c r="BG618" s="14" t="s">
        <v>309</v>
      </c>
    </row>
    <row r="619" spans="22:59" x14ac:dyDescent="0.35">
      <c r="V619" s="1" t="str">
        <v>O FLAKE  -KOAT40</v>
      </c>
      <c r="X619" s="1" t="str">
        <f t="shared" si="176"/>
        <v>O FLAKE  -CHAL40</v>
      </c>
      <c r="Y619" s="1" t="str" cm="1">
        <f t="array" ref="Y619">IFERROR(VLOOKUP($X619,$AN:AO,COLUMN(AO:AO)-COLUMN($AN:$AN)+1,FALSE),"")</f>
        <v>1-8IN DECO FLAKE  - 40LB BAGCHERRY CORDIAL40LB BAG</v>
      </c>
      <c r="Z619" s="63" cm="1">
        <f t="array" ref="Z619">IFERROR(VLOOKUP($X619,$AN:AP,COLUMN(AP:AP)-COLUMN($AN:$AN)+1,FALSE),"")</f>
        <v>110</v>
      </c>
      <c r="AA619" s="1" t="str" cm="1">
        <f t="array" ref="AA619">IFERROR(VLOOKUP($X619,$AN:AQ,COLUMN(AQ:AQ)-COLUMN($AN:$AN)+1,FALSE),"")</f>
        <v>40LB BAG</v>
      </c>
      <c r="AC619" s="1" t="str" cm="1">
        <f t="array" ref="AC619">IFERROR(VLOOKUP($X619,$AN:AS,COLUMN(AS:AS)-COLUMN($AN:$AN)+1,FALSE),"")</f>
        <v>CHERRY CORDIAL</v>
      </c>
      <c r="AD619" s="1" t="s">
        <v>19</v>
      </c>
      <c r="AF619" s="1">
        <f>Table1[[#This Row],[C:C]]*1.1</f>
        <v>0</v>
      </c>
      <c r="AI619" s="1">
        <f>IFERROR(VLOOKUP(X619,#REF!,8,FALSE),0)</f>
        <v>0</v>
      </c>
      <c r="AN619" s="1" t="str">
        <f>PROD_ID_TABLE[[#This Row],[PROD ID]]</f>
        <v xml:space="preserve"> T-303 FLETIED50</v>
      </c>
      <c r="AO619" s="1" t="str">
        <f t="shared" si="172"/>
        <v>CRYLAFLOR T-303 FLEXIBLE TOPCOATTILE RED50 GAL KIT</v>
      </c>
      <c r="AP619" s="3">
        <f t="shared" si="173"/>
        <v>3999.45</v>
      </c>
      <c r="AQ619" s="1" t="str">
        <f t="shared" si="174"/>
        <v>50 GAL KIT</v>
      </c>
      <c r="AS619" s="1" t="str">
        <f t="shared" si="175"/>
        <v>TILE RED</v>
      </c>
      <c r="AY619" s="63" t="str">
        <f t="shared" si="178"/>
        <v xml:space="preserve"> T-303 FLETIED50</v>
      </c>
      <c r="AZ619" s="63" t="str">
        <f t="shared" si="179"/>
        <v xml:space="preserve"> T-303 FLE</v>
      </c>
      <c r="BA619" s="63" t="str">
        <f t="shared" si="180"/>
        <v>TIED</v>
      </c>
      <c r="BB619" s="63" t="str">
        <f t="shared" si="181"/>
        <v>50</v>
      </c>
      <c r="BC619" s="135">
        <f t="shared" si="163"/>
        <v>3999.45</v>
      </c>
      <c r="BD619" s="1" t="s">
        <v>372</v>
      </c>
      <c r="BE619" s="14" t="s">
        <v>387</v>
      </c>
      <c r="BF619" s="55" t="s">
        <v>1075</v>
      </c>
      <c r="BG619" s="14" t="s">
        <v>309</v>
      </c>
    </row>
    <row r="620" spans="22:59" x14ac:dyDescent="0.35">
      <c r="V620" s="1" t="str">
        <v>O FLAKE  -LINE40</v>
      </c>
      <c r="X620" s="1" t="str">
        <f t="shared" si="176"/>
        <v>O FLAKE  -CHLA40</v>
      </c>
      <c r="Y620" s="1" t="str" cm="1">
        <f t="array" ref="Y620">IFERROR(VLOOKUP($X620,$AN:AO,COLUMN(AO:AO)-COLUMN($AN:$AN)+1,FALSE),"")</f>
        <v>1-8IN DECO FLAKE  - 40LB BAGCHINCHILLA40LB BAG</v>
      </c>
      <c r="Z620" s="63" cm="1">
        <f t="array" ref="Z620">IFERROR(VLOOKUP($X620,$AN:AP,COLUMN(AP:AP)-COLUMN($AN:$AN)+1,FALSE),"")</f>
        <v>110</v>
      </c>
      <c r="AA620" s="1" t="str" cm="1">
        <f t="array" ref="AA620">IFERROR(VLOOKUP($X620,$AN:AQ,COLUMN(AQ:AQ)-COLUMN($AN:$AN)+1,FALSE),"")</f>
        <v>40LB BAG</v>
      </c>
      <c r="AC620" s="1" t="str" cm="1">
        <f t="array" ref="AC620">IFERROR(VLOOKUP($X620,$AN:AS,COLUMN(AS:AS)-COLUMN($AN:$AN)+1,FALSE),"")</f>
        <v>CHINCHILLA</v>
      </c>
      <c r="AD620" s="1" t="s">
        <v>19</v>
      </c>
      <c r="AF620" s="1">
        <f>Table1[[#This Row],[C:C]]*1.1</f>
        <v>0</v>
      </c>
      <c r="AI620" s="1">
        <f>IFERROR(VLOOKUP(X620,#REF!,8,FALSE),0)</f>
        <v>0</v>
      </c>
      <c r="AN620" s="1" t="str">
        <f>PROD_ID_TABLE[[#This Row],[PROD ID]]</f>
        <v xml:space="preserve"> T-303 FLESMUE50</v>
      </c>
      <c r="AO620" s="1" t="str">
        <f t="shared" si="172"/>
        <v>CRYLAFLOR T-303 FLEXIBLE TOPCOATSMOKE BLUE50 GAL KIT</v>
      </c>
      <c r="AP620" s="3">
        <f t="shared" si="173"/>
        <v>3999.45</v>
      </c>
      <c r="AQ620" s="1" t="str">
        <f t="shared" si="174"/>
        <v>50 GAL KIT</v>
      </c>
      <c r="AS620" s="1" t="str">
        <f t="shared" si="175"/>
        <v>SMOKE BLUE</v>
      </c>
      <c r="AY620" s="63" t="str">
        <f t="shared" si="178"/>
        <v xml:space="preserve"> T-303 FLESMUE50</v>
      </c>
      <c r="AZ620" s="63" t="str">
        <f t="shared" si="179"/>
        <v xml:space="preserve"> T-303 FLE</v>
      </c>
      <c r="BA620" s="63" t="str">
        <f t="shared" si="180"/>
        <v>SMUE</v>
      </c>
      <c r="BB620" s="63" t="str">
        <f t="shared" si="181"/>
        <v>50</v>
      </c>
      <c r="BC620" s="135">
        <f t="shared" si="163"/>
        <v>3999.45</v>
      </c>
      <c r="BD620" s="1" t="s">
        <v>372</v>
      </c>
      <c r="BE620" s="14" t="s">
        <v>405</v>
      </c>
      <c r="BF620" s="55" t="s">
        <v>1075</v>
      </c>
      <c r="BG620" s="14" t="s">
        <v>309</v>
      </c>
    </row>
    <row r="621" spans="22:59" x14ac:dyDescent="0.35">
      <c r="V621" s="1" t="str">
        <v>O FLAKE  -MAEL40</v>
      </c>
      <c r="X621" s="1" t="str">
        <f t="shared" si="176"/>
        <v>O FLAKE  -CUOM40</v>
      </c>
      <c r="Y621" s="1" t="str" cm="1">
        <f t="array" ref="Y621">IFERROR(VLOOKUP($X621,$AN:AO,COLUMN(AO:AO)-COLUMN($AN:$AN)+1,FALSE),"")</f>
        <v>1-8IN DECO FLAKE  - 40LB BAGCUSTOM40LB BAG</v>
      </c>
      <c r="Z621" s="63" cm="1">
        <f t="array" ref="Z621">IFERROR(VLOOKUP($X621,$AN:AP,COLUMN(AP:AP)-COLUMN($AN:$AN)+1,FALSE),"")</f>
        <v>110</v>
      </c>
      <c r="AA621" s="1" t="str" cm="1">
        <f t="array" ref="AA621">IFERROR(VLOOKUP($X621,$AN:AQ,COLUMN(AQ:AQ)-COLUMN($AN:$AN)+1,FALSE),"")</f>
        <v>40LB BAG</v>
      </c>
      <c r="AC621" s="1" t="str" cm="1">
        <f t="array" ref="AC621">IFERROR(VLOOKUP($X621,$AN:AS,COLUMN(AS:AS)-COLUMN($AN:$AN)+1,FALSE),"")</f>
        <v>CUSTOM</v>
      </c>
      <c r="AD621" s="1" t="s">
        <v>19</v>
      </c>
      <c r="AF621" s="1">
        <f>Table1[[#This Row],[C:C]]*1.1</f>
        <v>0</v>
      </c>
      <c r="AI621" s="1">
        <f>IFERROR(VLOOKUP(X621,#REF!,8,FALSE),0)</f>
        <v>0</v>
      </c>
      <c r="AN621" s="1" t="str">
        <f>PROD_ID_TABLE[[#This Row],[PROD ID]]</f>
        <v xml:space="preserve"> COVECLAR5 </v>
      </c>
      <c r="AO621" s="1" t="str">
        <f t="shared" si="172"/>
        <v>CRYLAFLOR COVECLEAR5 GAL KIT</v>
      </c>
      <c r="AP621" s="3">
        <f t="shared" si="173"/>
        <v>477.86</v>
      </c>
      <c r="AQ621" s="1" t="str">
        <f t="shared" si="174"/>
        <v>5 GAL KIT</v>
      </c>
      <c r="AS621" s="1" t="str">
        <f t="shared" si="175"/>
        <v>CLEAR</v>
      </c>
      <c r="AY621" s="63" t="str">
        <f t="shared" si="178"/>
        <v xml:space="preserve"> COVECLAR5 </v>
      </c>
      <c r="AZ621" s="63" t="str">
        <f t="shared" si="179"/>
        <v xml:space="preserve"> COVE</v>
      </c>
      <c r="BA621" s="63" t="str">
        <f t="shared" si="180"/>
        <v>CLAR</v>
      </c>
      <c r="BB621" s="63" t="str">
        <f t="shared" si="181"/>
        <v xml:space="preserve">5 </v>
      </c>
      <c r="BC621" s="135">
        <f t="shared" si="163"/>
        <v>477.86</v>
      </c>
      <c r="BD621" s="62" t="s">
        <v>373</v>
      </c>
      <c r="BE621" s="55" t="s">
        <v>315</v>
      </c>
      <c r="BF621" s="55" t="s">
        <v>1072</v>
      </c>
      <c r="BG621" s="55" t="s">
        <v>309</v>
      </c>
    </row>
    <row r="622" spans="22:59" x14ac:dyDescent="0.35">
      <c r="V622" s="1" t="str">
        <v>O FLAKE  -METE40</v>
      </c>
      <c r="X622" s="1" t="str">
        <f t="shared" si="176"/>
        <v>O FLAKE  -FLED40</v>
      </c>
      <c r="Y622" s="1" t="str" cm="1">
        <f t="array" ref="Y622">IFERROR(VLOOKUP($X622,$AN:AO,COLUMN(AO:AO)-COLUMN($AN:$AN)+1,FALSE),"")</f>
        <v>1-8IN DECO FLAKE  - 40LB BAGFLAXSEED40LB BAG</v>
      </c>
      <c r="Z622" s="63" cm="1">
        <f t="array" ref="Z622">IFERROR(VLOOKUP($X622,$AN:AP,COLUMN(AP:AP)-COLUMN($AN:$AN)+1,FALSE),"")</f>
        <v>110</v>
      </c>
      <c r="AA622" s="1" t="str" cm="1">
        <f t="array" ref="AA622">IFERROR(VLOOKUP($X622,$AN:AQ,COLUMN(AQ:AQ)-COLUMN($AN:$AN)+1,FALSE),"")</f>
        <v>40LB BAG</v>
      </c>
      <c r="AC622" s="1" t="str" cm="1">
        <f t="array" ref="AC622">IFERROR(VLOOKUP($X622,$AN:AS,COLUMN(AS:AS)-COLUMN($AN:$AN)+1,FALSE),"")</f>
        <v>FLAXSEED</v>
      </c>
      <c r="AD622" s="1" t="s">
        <v>19</v>
      </c>
      <c r="AF622" s="1">
        <f>Table1[[#This Row],[C:C]]*1.1</f>
        <v>0</v>
      </c>
      <c r="AI622" s="1">
        <f>IFERROR(VLOOKUP(X622,#REF!,8,FALSE),0)</f>
        <v>0</v>
      </c>
      <c r="AN622" s="1" t="str">
        <f>PROD_ID_TABLE[[#This Row],[PROD ID]]</f>
        <v xml:space="preserve"> COVECOAY5 </v>
      </c>
      <c r="AO622" s="1" t="str">
        <f t="shared" ref="AO622:AO652" si="182">_xlfn.CONCAT(BD622:BF622)</f>
        <v>CRYLAFLOR COVECONCRETE GRAY5 GAL KIT</v>
      </c>
      <c r="AP622" s="3">
        <f t="shared" ref="AP622:AP652" si="183">BC622</f>
        <v>477.86</v>
      </c>
      <c r="AQ622" s="1" t="str">
        <f t="shared" ref="AQ622:AQ652" si="184">BF622</f>
        <v>5 GAL KIT</v>
      </c>
      <c r="AS622" s="1" t="str">
        <f t="shared" ref="AS622:AS652" si="185">BE622</f>
        <v>CONCRETE GRAY</v>
      </c>
      <c r="AY622" s="63" t="str">
        <f t="shared" si="178"/>
        <v xml:space="preserve"> COVECOAY5 </v>
      </c>
      <c r="AZ622" s="63" t="str">
        <f t="shared" si="179"/>
        <v xml:space="preserve"> COVE</v>
      </c>
      <c r="BA622" s="63" t="str">
        <f t="shared" si="180"/>
        <v>COAY</v>
      </c>
      <c r="BB622" s="63" t="str">
        <f t="shared" si="181"/>
        <v xml:space="preserve">5 </v>
      </c>
      <c r="BC622" s="135">
        <f t="shared" si="163"/>
        <v>477.86</v>
      </c>
      <c r="BD622" s="62" t="s">
        <v>373</v>
      </c>
      <c r="BE622" s="55" t="s">
        <v>393</v>
      </c>
      <c r="BF622" s="55" t="s">
        <v>1072</v>
      </c>
      <c r="BG622" s="55" t="s">
        <v>309</v>
      </c>
    </row>
    <row r="623" spans="22:59" x14ac:dyDescent="0.35">
      <c r="V623" s="1" t="str">
        <v>O FLAKE  -MOON40</v>
      </c>
      <c r="X623" s="1" t="str">
        <f t="shared" si="176"/>
        <v>O FLAKE  -FONG40</v>
      </c>
      <c r="Y623" s="1" t="str" cm="1">
        <f t="array" ref="Y623">IFERROR(VLOOKUP($X623,$AN:AO,COLUMN(AO:AO)-COLUMN($AN:$AN)+1,FALSE),"")</f>
        <v>1-8IN DECO FLAKE  - 40LB BAGFOGGY MORNING40LB BAG</v>
      </c>
      <c r="Z623" s="63" cm="1">
        <f t="array" ref="Z623">IFERROR(VLOOKUP($X623,$AN:AP,COLUMN(AP:AP)-COLUMN($AN:$AN)+1,FALSE),"")</f>
        <v>110</v>
      </c>
      <c r="AA623" s="1" t="str" cm="1">
        <f t="array" ref="AA623">IFERROR(VLOOKUP($X623,$AN:AQ,COLUMN(AQ:AQ)-COLUMN($AN:$AN)+1,FALSE),"")</f>
        <v>40LB BAG</v>
      </c>
      <c r="AC623" s="1" t="str" cm="1">
        <f t="array" ref="AC623">IFERROR(VLOOKUP($X623,$AN:AS,COLUMN(AS:AS)-COLUMN($AN:$AN)+1,FALSE),"")</f>
        <v>FOGGY MORNING</v>
      </c>
      <c r="AD623" s="1" t="s">
        <v>19</v>
      </c>
      <c r="AF623" s="1">
        <f>Table1[[#This Row],[C:C]]*1.1</f>
        <v>0</v>
      </c>
      <c r="AI623" s="1">
        <f>IFERROR(VLOOKUP(X623,#REF!,8,FALSE),0)</f>
        <v>0</v>
      </c>
      <c r="AN623" s="1" t="str">
        <f>PROD_ID_TABLE[[#This Row],[PROD ID]]</f>
        <v xml:space="preserve"> COVEMEAY5 </v>
      </c>
      <c r="AO623" s="1" t="str">
        <f t="shared" si="182"/>
        <v>CRYLAFLOR COVEMED. GRAY5 GAL KIT</v>
      </c>
      <c r="AP623" s="3">
        <f t="shared" si="183"/>
        <v>477.86</v>
      </c>
      <c r="AQ623" s="1" t="str">
        <f t="shared" si="184"/>
        <v>5 GAL KIT</v>
      </c>
      <c r="AS623" s="1" t="str">
        <f t="shared" si="185"/>
        <v>MED. GRAY</v>
      </c>
      <c r="AY623" s="63" t="str">
        <f t="shared" si="178"/>
        <v xml:space="preserve"> COVEMEAY5 </v>
      </c>
      <c r="AZ623" s="63" t="str">
        <f t="shared" si="179"/>
        <v xml:space="preserve"> COVE</v>
      </c>
      <c r="BA623" s="63" t="str">
        <f t="shared" si="180"/>
        <v>MEAY</v>
      </c>
      <c r="BB623" s="63" t="str">
        <f t="shared" si="181"/>
        <v xml:space="preserve">5 </v>
      </c>
      <c r="BC623" s="135">
        <f t="shared" si="163"/>
        <v>477.86</v>
      </c>
      <c r="BD623" s="62" t="s">
        <v>373</v>
      </c>
      <c r="BE623" s="55" t="s">
        <v>402</v>
      </c>
      <c r="BF623" s="55" t="s">
        <v>1072</v>
      </c>
      <c r="BG623" s="55" t="s">
        <v>309</v>
      </c>
    </row>
    <row r="624" spans="22:59" x14ac:dyDescent="0.35">
      <c r="V624" s="1" t="str">
        <v>O FLAKE  -MOSE40</v>
      </c>
      <c r="X624" s="1" t="str">
        <f t="shared" si="176"/>
        <v>O FLAKE  -GNSS40</v>
      </c>
      <c r="Y624" s="1" t="str" cm="1">
        <f t="array" ref="Y624">IFERROR(VLOOKUP($X624,$AN:AO,COLUMN(AO:AO)-COLUMN($AN:$AN)+1,FALSE),"")</f>
        <v>1-8IN DECO FLAKE  - 40LB BAGGNEISS40LB BAG</v>
      </c>
      <c r="Z624" s="63" cm="1">
        <f t="array" ref="Z624">IFERROR(VLOOKUP($X624,$AN:AP,COLUMN(AP:AP)-COLUMN($AN:$AN)+1,FALSE),"")</f>
        <v>110</v>
      </c>
      <c r="AA624" s="1" t="str" cm="1">
        <f t="array" ref="AA624">IFERROR(VLOOKUP($X624,$AN:AQ,COLUMN(AQ:AQ)-COLUMN($AN:$AN)+1,FALSE),"")</f>
        <v>40LB BAG</v>
      </c>
      <c r="AC624" s="1" t="str" cm="1">
        <f t="array" ref="AC624">IFERROR(VLOOKUP($X624,$AN:AS,COLUMN(AS:AS)-COLUMN($AN:$AN)+1,FALSE),"")</f>
        <v>GNEISS</v>
      </c>
      <c r="AD624" s="1" t="s">
        <v>19</v>
      </c>
      <c r="AF624" s="1">
        <f>Table1[[#This Row],[C:C]]*1.1</f>
        <v>0</v>
      </c>
      <c r="AI624" s="1">
        <f>IFERROR(VLOOKUP(X624,#REF!,8,FALSE),0)</f>
        <v>0</v>
      </c>
      <c r="AN624" s="1" t="str">
        <f>PROD_ID_TABLE[[#This Row],[PROD ID]]</f>
        <v xml:space="preserve"> COVESLAY5 </v>
      </c>
      <c r="AO624" s="1" t="str">
        <f t="shared" si="182"/>
        <v>CRYLAFLOR COVESLATE GRAY5 GAL KIT</v>
      </c>
      <c r="AP624" s="3">
        <f t="shared" si="183"/>
        <v>477.86</v>
      </c>
      <c r="AQ624" s="1" t="str">
        <f t="shared" si="184"/>
        <v>5 GAL KIT</v>
      </c>
      <c r="AS624" s="1" t="str">
        <f t="shared" si="185"/>
        <v>SLATE GRAY</v>
      </c>
      <c r="AY624" s="63" t="str">
        <f t="shared" si="178"/>
        <v xml:space="preserve"> COVESLAY5 </v>
      </c>
      <c r="AZ624" s="63" t="str">
        <f t="shared" si="179"/>
        <v xml:space="preserve"> COVE</v>
      </c>
      <c r="BA624" s="63" t="str">
        <f t="shared" si="180"/>
        <v>SLAY</v>
      </c>
      <c r="BB624" s="63" t="str">
        <f t="shared" si="181"/>
        <v xml:space="preserve">5 </v>
      </c>
      <c r="BC624" s="135">
        <f t="shared" si="163"/>
        <v>477.86</v>
      </c>
      <c r="BD624" s="62" t="s">
        <v>373</v>
      </c>
      <c r="BE624" s="55" t="s">
        <v>403</v>
      </c>
      <c r="BF624" s="55" t="s">
        <v>1072</v>
      </c>
      <c r="BG624" s="55" t="s">
        <v>309</v>
      </c>
    </row>
    <row r="625" spans="22:59" x14ac:dyDescent="0.35">
      <c r="V625" s="1" t="str">
        <v>O FLAKE  -MOOG40</v>
      </c>
      <c r="X625" s="1" t="str">
        <f t="shared" si="176"/>
        <v>O FLAKE  -GROT40</v>
      </c>
      <c r="Y625" s="1" t="str" cm="1">
        <f t="array" ref="Y625">IFERROR(VLOOKUP($X625,$AN:AO,COLUMN(AO:AO)-COLUMN($AN:$AN)+1,FALSE),"")</f>
        <v>1-8IN DECO FLAKE  - 40LB BAGGRAY PARROT40LB BAG</v>
      </c>
      <c r="Z625" s="63" cm="1">
        <f t="array" ref="Z625">IFERROR(VLOOKUP($X625,$AN:AP,COLUMN(AP:AP)-COLUMN($AN:$AN)+1,FALSE),"")</f>
        <v>110</v>
      </c>
      <c r="AA625" s="1" t="str" cm="1">
        <f t="array" ref="AA625">IFERROR(VLOOKUP($X625,$AN:AQ,COLUMN(AQ:AQ)-COLUMN($AN:$AN)+1,FALSE),"")</f>
        <v>40LB BAG</v>
      </c>
      <c r="AC625" s="1" t="str" cm="1">
        <f t="array" ref="AC625">IFERROR(VLOOKUP($X625,$AN:AS,COLUMN(AS:AS)-COLUMN($AN:$AN)+1,FALSE),"")</f>
        <v>GRAY PARROT</v>
      </c>
      <c r="AD625" s="1" t="s">
        <v>19</v>
      </c>
      <c r="AF625" s="1">
        <f>Table1[[#This Row],[C:C]]*1.1</f>
        <v>0</v>
      </c>
      <c r="AI625" s="1">
        <f>IFERROR(VLOOKUP(X625,#REF!,8,FALSE),0)</f>
        <v>0</v>
      </c>
      <c r="AN625" s="1" t="str">
        <f>PROD_ID_TABLE[[#This Row],[PROD ID]]</f>
        <v xml:space="preserve"> COVESPAL5 </v>
      </c>
      <c r="AO625" s="1" t="str">
        <f t="shared" si="182"/>
        <v>CRYLAFLOR COVESPECIAL5 GAL KIT</v>
      </c>
      <c r="AP625" s="3">
        <f t="shared" si="183"/>
        <v>477.86</v>
      </c>
      <c r="AQ625" s="1" t="str">
        <f t="shared" si="184"/>
        <v>5 GAL KIT</v>
      </c>
      <c r="AS625" s="1" t="str">
        <f t="shared" si="185"/>
        <v>SPECIAL</v>
      </c>
      <c r="AY625" s="63" t="str">
        <f t="shared" si="178"/>
        <v xml:space="preserve"> COVESPAL5 </v>
      </c>
      <c r="AZ625" s="63" t="str">
        <f t="shared" si="179"/>
        <v xml:space="preserve"> COVE</v>
      </c>
      <c r="BA625" s="63" t="str">
        <f t="shared" si="180"/>
        <v>SPAL</v>
      </c>
      <c r="BB625" s="63" t="str">
        <f t="shared" si="181"/>
        <v xml:space="preserve">5 </v>
      </c>
      <c r="BC625" s="135">
        <f t="shared" si="163"/>
        <v>477.86</v>
      </c>
      <c r="BD625" s="62" t="s">
        <v>373</v>
      </c>
      <c r="BE625" s="55" t="s">
        <v>404</v>
      </c>
      <c r="BF625" s="55" t="s">
        <v>1072</v>
      </c>
      <c r="BG625" s="55" t="s">
        <v>309</v>
      </c>
    </row>
    <row r="626" spans="22:59" x14ac:dyDescent="0.35">
      <c r="V626" s="1" t="str">
        <v>O FLAKE  -OCOT40</v>
      </c>
      <c r="X626" s="1" t="str">
        <f t="shared" si="176"/>
        <v>O FLAKE  -GREL40</v>
      </c>
      <c r="Y626" s="1" t="str" cm="1">
        <f t="array" ref="Y626">IFERROR(VLOOKUP($X626,$AN:AO,COLUMN(AO:AO)-COLUMN($AN:$AN)+1,FALSE),"")</f>
        <v>1-8IN DECO FLAKE  - 40LB BAGGRAY SQUIRREL40LB BAG</v>
      </c>
      <c r="Z626" s="63" cm="1">
        <f t="array" ref="Z626">IFERROR(VLOOKUP($X626,$AN:AP,COLUMN(AP:AP)-COLUMN($AN:$AN)+1,FALSE),"")</f>
        <v>110</v>
      </c>
      <c r="AA626" s="1" t="str" cm="1">
        <f t="array" ref="AA626">IFERROR(VLOOKUP($X626,$AN:AQ,COLUMN(AQ:AQ)-COLUMN($AN:$AN)+1,FALSE),"")</f>
        <v>40LB BAG</v>
      </c>
      <c r="AC626" s="1" t="str" cm="1">
        <f t="array" ref="AC626">IFERROR(VLOOKUP($X626,$AN:AS,COLUMN(AS:AS)-COLUMN($AN:$AN)+1,FALSE),"")</f>
        <v>GRAY SQUIRREL</v>
      </c>
      <c r="AD626" s="1" t="s">
        <v>19</v>
      </c>
      <c r="AF626" s="1">
        <f>Table1[[#This Row],[C:C]]*1.1</f>
        <v>0</v>
      </c>
      <c r="AI626" s="1">
        <f>IFERROR(VLOOKUP(X626,#REF!,8,FALSE),0)</f>
        <v>0</v>
      </c>
      <c r="AN626" s="1" t="str">
        <f>PROD_ID_TABLE[[#This Row],[PROD ID]]</f>
        <v xml:space="preserve"> COVEWHTE5 </v>
      </c>
      <c r="AO626" s="1" t="str">
        <f t="shared" si="182"/>
        <v>CRYLAFLOR COVEWHITE5 GAL KIT</v>
      </c>
      <c r="AP626" s="3">
        <f t="shared" si="183"/>
        <v>477.86</v>
      </c>
      <c r="AQ626" s="1" t="str">
        <f t="shared" si="184"/>
        <v>5 GAL KIT</v>
      </c>
      <c r="AS626" s="1" t="str">
        <f t="shared" si="185"/>
        <v>WHITE</v>
      </c>
      <c r="AY626" s="63" t="str">
        <f t="shared" si="178"/>
        <v xml:space="preserve"> COVEWHTE5 </v>
      </c>
      <c r="AZ626" s="63" t="str">
        <f t="shared" si="179"/>
        <v xml:space="preserve"> COVE</v>
      </c>
      <c r="BA626" s="63" t="str">
        <f t="shared" si="180"/>
        <v>WHTE</v>
      </c>
      <c r="BB626" s="63" t="str">
        <f t="shared" si="181"/>
        <v xml:space="preserve">5 </v>
      </c>
      <c r="BC626" s="135">
        <f t="shared" si="163"/>
        <v>477.86</v>
      </c>
      <c r="BD626" s="62" t="s">
        <v>373</v>
      </c>
      <c r="BE626" s="55" t="s">
        <v>322</v>
      </c>
      <c r="BF626" s="55" t="s">
        <v>1072</v>
      </c>
      <c r="BG626" s="55" t="s">
        <v>309</v>
      </c>
    </row>
    <row r="627" spans="22:59" x14ac:dyDescent="0.35">
      <c r="V627" s="1" t="str">
        <v>O FLAKE  -PLER40</v>
      </c>
      <c r="X627" s="1" t="str">
        <f t="shared" si="176"/>
        <v>O FLAKE  -GRND40</v>
      </c>
      <c r="Y627" s="1" t="str" cm="1">
        <f t="array" ref="Y627">IFERROR(VLOOKUP($X627,$AN:AO,COLUMN(AO:AO)-COLUMN($AN:$AN)+1,FALSE),"")</f>
        <v>1-8IN DECO FLAKE  - 40LB BAGGREYHOUND40LB BAG</v>
      </c>
      <c r="Z627" s="63" cm="1">
        <f t="array" ref="Z627">IFERROR(VLOOKUP($X627,$AN:AP,COLUMN(AP:AP)-COLUMN($AN:$AN)+1,FALSE),"")</f>
        <v>110</v>
      </c>
      <c r="AA627" s="1" t="str" cm="1">
        <f t="array" ref="AA627">IFERROR(VLOOKUP($X627,$AN:AQ,COLUMN(AQ:AQ)-COLUMN($AN:$AN)+1,FALSE),"")</f>
        <v>40LB BAG</v>
      </c>
      <c r="AC627" s="1" t="str" cm="1">
        <f t="array" ref="AC627">IFERROR(VLOOKUP($X627,$AN:AS,COLUMN(AS:AS)-COLUMN($AN:$AN)+1,FALSE),"")</f>
        <v>GREYHOUND</v>
      </c>
      <c r="AD627" s="1" t="s">
        <v>19</v>
      </c>
      <c r="AF627" s="1">
        <f>Table1[[#This Row],[C:C]]*1.1</f>
        <v>0</v>
      </c>
      <c r="AI627" s="1">
        <f>IFERROR(VLOOKUP(X627,#REF!,8,FALSE),0)</f>
        <v>0</v>
      </c>
      <c r="AN627" s="1" t="str">
        <f>PROD_ID_TABLE[[#This Row],[PROD ID]]</f>
        <v xml:space="preserve"> CURE (BPON//A55</v>
      </c>
      <c r="AO627" s="1" t="str">
        <f t="shared" si="182"/>
        <v>CRYLAFLOR CURE (BPO)N/A55 LB KIT</v>
      </c>
      <c r="AP627" s="3">
        <f t="shared" si="183"/>
        <v>712.09</v>
      </c>
      <c r="AQ627" s="1" t="str">
        <f t="shared" si="184"/>
        <v>55 LB KIT</v>
      </c>
      <c r="AS627" s="1" t="str">
        <f t="shared" si="185"/>
        <v>N/A</v>
      </c>
      <c r="AY627" s="63" t="str">
        <f t="shared" si="178"/>
        <v xml:space="preserve"> CURE (BPON//A55</v>
      </c>
      <c r="AZ627" s="63" t="str">
        <f t="shared" si="179"/>
        <v xml:space="preserve"> CURE (BPO</v>
      </c>
      <c r="BA627" s="63" t="str">
        <f t="shared" si="180"/>
        <v>N//A</v>
      </c>
      <c r="BB627" s="63" t="str">
        <f t="shared" si="181"/>
        <v>55</v>
      </c>
      <c r="BC627" s="135">
        <f t="shared" si="163"/>
        <v>712.09</v>
      </c>
      <c r="BD627" s="1" t="s">
        <v>374</v>
      </c>
      <c r="BE627" s="14" t="s">
        <v>398</v>
      </c>
      <c r="BF627" s="14" t="s">
        <v>1076</v>
      </c>
      <c r="BG627" s="14" t="s">
        <v>309</v>
      </c>
    </row>
    <row r="628" spans="22:59" x14ac:dyDescent="0.35">
      <c r="V628" s="1" t="str">
        <v>O FLAKE  -PREL40</v>
      </c>
      <c r="X628" s="1" t="str">
        <f t="shared" si="176"/>
        <v>O FLAKE  -HUAY40</v>
      </c>
      <c r="Y628" s="1" t="str" cm="1">
        <f t="array" ref="Y628">IFERROR(VLOOKUP($X628,$AN:AO,COLUMN(AO:AO)-COLUMN($AN:$AN)+1,FALSE),"")</f>
        <v>1-8IN DECO FLAKE  - 40LB BAGHUSKY GRAY40LB BAG</v>
      </c>
      <c r="Z628" s="63" cm="1">
        <f t="array" ref="Z628">IFERROR(VLOOKUP($X628,$AN:AP,COLUMN(AP:AP)-COLUMN($AN:$AN)+1,FALSE),"")</f>
        <v>110</v>
      </c>
      <c r="AA628" s="1" t="str" cm="1">
        <f t="array" ref="AA628">IFERROR(VLOOKUP($X628,$AN:AQ,COLUMN(AQ:AQ)-COLUMN($AN:$AN)+1,FALSE),"")</f>
        <v>40LB BAG</v>
      </c>
      <c r="AC628" s="1" t="str" cm="1">
        <f t="array" ref="AC628">IFERROR(VLOOKUP($X628,$AN:AS,COLUMN(AS:AS)-COLUMN($AN:$AN)+1,FALSE),"")</f>
        <v>HUSKY GRAY</v>
      </c>
      <c r="AD628" s="1" t="s">
        <v>19</v>
      </c>
      <c r="AF628" s="1">
        <f>Table1[[#This Row],[C:C]]*1.1</f>
        <v>0</v>
      </c>
      <c r="AI628" s="1">
        <f>IFERROR(VLOOKUP(X628,#REF!,8,FALSE),0)</f>
        <v>0</v>
      </c>
      <c r="AN628" s="1" t="str">
        <f>PROD_ID_TABLE[[#This Row],[PROD ID]]</f>
        <v>3760 RCE RN//A15</v>
      </c>
      <c r="AO628" s="1" t="str">
        <f t="shared" si="182"/>
        <v>RESUFLOR 3760 RCE RAPID CURE EPOXYN/A15 GAL</v>
      </c>
      <c r="AP628" s="3">
        <f t="shared" si="183"/>
        <v>962.2</v>
      </c>
      <c r="AQ628" s="1" t="str">
        <f t="shared" si="184"/>
        <v>15 GAL</v>
      </c>
      <c r="AS628" s="1" t="str">
        <f t="shared" si="185"/>
        <v>N/A</v>
      </c>
      <c r="AY628" s="63" t="str">
        <f t="shared" si="178"/>
        <v>3760 RCE RN//A15</v>
      </c>
      <c r="AZ628" s="63" t="str">
        <f t="shared" si="179"/>
        <v>3760 RCE R</v>
      </c>
      <c r="BA628" s="63" t="str">
        <f t="shared" si="180"/>
        <v>N//A</v>
      </c>
      <c r="BB628" s="63" t="str">
        <f t="shared" si="181"/>
        <v>15</v>
      </c>
      <c r="BC628" s="135">
        <f t="shared" si="163"/>
        <v>962.2</v>
      </c>
      <c r="BD628" s="1" t="s">
        <v>1077</v>
      </c>
      <c r="BE628" s="14" t="s">
        <v>398</v>
      </c>
      <c r="BF628" s="14" t="s">
        <v>408</v>
      </c>
      <c r="BG628" s="14" t="s">
        <v>311</v>
      </c>
    </row>
    <row r="629" spans="22:59" x14ac:dyDescent="0.35">
      <c r="V629" s="1" t="str">
        <v>O FLAKE  -RHNO40</v>
      </c>
      <c r="X629" s="1" t="str">
        <f t="shared" si="176"/>
        <v>O FLAKE  -KIKE40</v>
      </c>
      <c r="Y629" s="1" t="str" cm="1">
        <f t="array" ref="Y629">IFERROR(VLOOKUP($X629,$AN:AO,COLUMN(AO:AO)-COLUMN($AN:$AN)+1,FALSE),"")</f>
        <v>1-8IN DECO FLAKE  - 40LB BAGKINGSNAKE40LB BAG</v>
      </c>
      <c r="Z629" s="63" cm="1">
        <f t="array" ref="Z629">IFERROR(VLOOKUP($X629,$AN:AP,COLUMN(AP:AP)-COLUMN($AN:$AN)+1,FALSE),"")</f>
        <v>110</v>
      </c>
      <c r="AA629" s="1" t="str" cm="1">
        <f t="array" ref="AA629">IFERROR(VLOOKUP($X629,$AN:AQ,COLUMN(AQ:AQ)-COLUMN($AN:$AN)+1,FALSE),"")</f>
        <v>40LB BAG</v>
      </c>
      <c r="AC629" s="1" t="str" cm="1">
        <f t="array" ref="AC629">IFERROR(VLOOKUP($X629,$AN:AS,COLUMN(AS:AS)-COLUMN($AN:$AN)+1,FALSE),"")</f>
        <v>KINGSNAKE</v>
      </c>
      <c r="AD629" s="1" t="s">
        <v>19</v>
      </c>
      <c r="AF629" s="1">
        <f>Table1[[#This Row],[C:C]]*1.1</f>
        <v>0</v>
      </c>
      <c r="AI629" s="1">
        <f>IFERROR(VLOOKUP(X629,#REF!,8,FALSE),0)</f>
        <v>0</v>
      </c>
      <c r="AN629" s="1" t="str">
        <f>PROD_ID_TABLE[[#This Row],[PROD ID]]</f>
        <v>3760 RCE RN//A16</v>
      </c>
      <c r="AO629" s="1" t="str">
        <f t="shared" si="182"/>
        <v>RESUFLOR 3760 RCE RAPID CURE EPOXYN/A165 GAL</v>
      </c>
      <c r="AP629" s="3">
        <f t="shared" si="183"/>
        <v>10260</v>
      </c>
      <c r="AQ629" s="1" t="str">
        <f t="shared" si="184"/>
        <v>165 GAL</v>
      </c>
      <c r="AS629" s="1" t="str">
        <f t="shared" si="185"/>
        <v>N/A</v>
      </c>
      <c r="AY629" s="63" t="str">
        <f t="shared" si="178"/>
        <v>3760 RCE RN//A16</v>
      </c>
      <c r="AZ629" s="63" t="str">
        <f t="shared" si="179"/>
        <v>3760 RCE R</v>
      </c>
      <c r="BA629" s="63" t="str">
        <f t="shared" si="180"/>
        <v>N//A</v>
      </c>
      <c r="BB629" s="63" t="str">
        <f t="shared" si="181"/>
        <v>16</v>
      </c>
      <c r="BC629" s="135">
        <f t="shared" si="163"/>
        <v>10260</v>
      </c>
      <c r="BD629" s="1" t="s">
        <v>1077</v>
      </c>
      <c r="BE629" s="14" t="s">
        <v>398</v>
      </c>
      <c r="BF629" s="14" t="s">
        <v>1040</v>
      </c>
      <c r="BG629" s="14" t="s">
        <v>311</v>
      </c>
    </row>
    <row r="630" spans="22:59" x14ac:dyDescent="0.35">
      <c r="V630" s="1" t="str">
        <v>O FLAKE  -SINE40</v>
      </c>
      <c r="X630" s="1" t="str">
        <f t="shared" si="176"/>
        <v>O FLAKE  -KIIN40</v>
      </c>
      <c r="Y630" s="1" t="str" cm="1">
        <f t="array" ref="Y630">IFERROR(VLOOKUP($X630,$AN:AO,COLUMN(AO:AO)-COLUMN($AN:$AN)+1,FALSE),"")</f>
        <v>1-8IN DECO FLAKE  - 40LB BAGKIWI SKIN40LB BAG</v>
      </c>
      <c r="Z630" s="63" cm="1">
        <f t="array" ref="Z630">IFERROR(VLOOKUP($X630,$AN:AP,COLUMN(AP:AP)-COLUMN($AN:$AN)+1,FALSE),"")</f>
        <v>110</v>
      </c>
      <c r="AA630" s="1" t="str" cm="1">
        <f t="array" ref="AA630">IFERROR(VLOOKUP($X630,$AN:AQ,COLUMN(AQ:AQ)-COLUMN($AN:$AN)+1,FALSE),"")</f>
        <v>40LB BAG</v>
      </c>
      <c r="AC630" s="1" t="str" cm="1">
        <f t="array" ref="AC630">IFERROR(VLOOKUP($X630,$AN:AS,COLUMN(AS:AS)-COLUMN($AN:$AN)+1,FALSE),"")</f>
        <v>KIWI SKIN</v>
      </c>
      <c r="AD630" s="1" t="s">
        <v>19</v>
      </c>
      <c r="AF630" s="1">
        <f>Table1[[#This Row],[C:C]]*1.1</f>
        <v>0</v>
      </c>
      <c r="AI630" s="1">
        <f>IFERROR(VLOOKUP(X630,#REF!,8,FALSE),0)</f>
        <v>0</v>
      </c>
      <c r="AN630" s="1" t="str">
        <f>PROD_ID_TABLE[[#This Row],[PROD ID]]</f>
        <v>3746 HIGH CLAR15</v>
      </c>
      <c r="AO630" s="1" t="str">
        <f t="shared" si="182"/>
        <v>RESUFLOR 3746 HIGH PERFORMANCE EPOXYCLEAR159 GAL</v>
      </c>
      <c r="AP630" s="3">
        <f t="shared" si="183"/>
        <v>6920.76</v>
      </c>
      <c r="AQ630" s="1" t="str">
        <f t="shared" si="184"/>
        <v>159 GAL</v>
      </c>
      <c r="AS630" s="1" t="str">
        <f t="shared" si="185"/>
        <v>CLEAR</v>
      </c>
      <c r="AY630" s="63" t="str">
        <f t="shared" si="178"/>
        <v>3746 HIGH CLAR15</v>
      </c>
      <c r="AZ630" s="63" t="str">
        <f t="shared" si="179"/>
        <v xml:space="preserve">3746 HIGH </v>
      </c>
      <c r="BA630" s="63" t="str">
        <f t="shared" si="180"/>
        <v>CLAR</v>
      </c>
      <c r="BB630" s="63" t="str">
        <f t="shared" si="181"/>
        <v>15</v>
      </c>
      <c r="BC630" s="135">
        <f t="shared" si="163"/>
        <v>6920.76</v>
      </c>
      <c r="BD630" s="62" t="s">
        <v>346</v>
      </c>
      <c r="BE630" s="55" t="s">
        <v>315</v>
      </c>
      <c r="BF630" s="55" t="s">
        <v>1041</v>
      </c>
      <c r="BG630" s="55" t="s">
        <v>311</v>
      </c>
    </row>
    <row r="631" spans="22:59" x14ac:dyDescent="0.35">
      <c r="V631" s="1" t="str">
        <v>O FLAKE  -SPSH40</v>
      </c>
      <c r="X631" s="1" t="str">
        <f t="shared" si="176"/>
        <v>O FLAKE  -KOAT40</v>
      </c>
      <c r="Y631" s="1" t="str" cm="1">
        <f t="array" ref="Y631">IFERROR(VLOOKUP($X631,$AN:AO,COLUMN(AO:AO)-COLUMN($AN:$AN)+1,FALSE),"")</f>
        <v>1-8IN DECO FLAKE  - 40LB BAGKORAT40LB BAG</v>
      </c>
      <c r="Z631" s="63" cm="1">
        <f t="array" ref="Z631">IFERROR(VLOOKUP($X631,$AN:AP,COLUMN(AP:AP)-COLUMN($AN:$AN)+1,FALSE),"")</f>
        <v>110</v>
      </c>
      <c r="AA631" s="1" t="str" cm="1">
        <f t="array" ref="AA631">IFERROR(VLOOKUP($X631,$AN:AQ,COLUMN(AQ:AQ)-COLUMN($AN:$AN)+1,FALSE),"")</f>
        <v>40LB BAG</v>
      </c>
      <c r="AC631" s="1" t="str" cm="1">
        <f t="array" ref="AC631">IFERROR(VLOOKUP($X631,$AN:AS,COLUMN(AS:AS)-COLUMN($AN:$AN)+1,FALSE),"")</f>
        <v>KORAT</v>
      </c>
      <c r="AD631" s="1" t="s">
        <v>19</v>
      </c>
      <c r="AF631" s="1">
        <f>Table1[[#This Row],[C:C]]*1.1</f>
        <v>0</v>
      </c>
      <c r="AI631" s="1">
        <f>IFERROR(VLOOKUP(X631,#REF!,8,FALSE),0)</f>
        <v>0</v>
      </c>
      <c r="AN631" s="1" t="str">
        <f>PROD_ID_TABLE[[#This Row],[PROD ID]]</f>
        <v>3746 HIGH CUOM15</v>
      </c>
      <c r="AO631" s="1" t="str">
        <f t="shared" si="182"/>
        <v>RESUFLOR 3746 HIGH PERFORMANCE EPOXYCUSTOM159 GAL</v>
      </c>
      <c r="AP631" s="3">
        <f t="shared" si="183"/>
        <v>6920.76</v>
      </c>
      <c r="AQ631" s="1" t="str">
        <f t="shared" si="184"/>
        <v>159 GAL</v>
      </c>
      <c r="AS631" s="1" t="str">
        <f t="shared" si="185"/>
        <v>CUSTOM</v>
      </c>
      <c r="AY631" s="63" t="str">
        <f t="shared" ref="AY631:AY650" si="186">_xlfn.CONCAT(AZ631:BB631)</f>
        <v>3746 HIGH CUOM15</v>
      </c>
      <c r="AZ631" s="63" t="str">
        <f t="shared" ref="AZ631:AZ650" si="187">MID(BD631,10,10)</f>
        <v xml:space="preserve">3746 HIGH </v>
      </c>
      <c r="BA631" s="63" t="str">
        <f t="shared" ref="BA631:BA650" si="188">LEFT(BE631,2)&amp;RIGHT(BE631,2)</f>
        <v>CUOM</v>
      </c>
      <c r="BB631" s="63" t="str">
        <f t="shared" ref="BB631:BB650" si="189">LEFT(BF631,2)</f>
        <v>15</v>
      </c>
      <c r="BC631" s="135">
        <f t="shared" si="163"/>
        <v>6920.76</v>
      </c>
      <c r="BD631" s="62" t="s">
        <v>346</v>
      </c>
      <c r="BE631" s="55" t="s">
        <v>316</v>
      </c>
      <c r="BF631" s="55" t="s">
        <v>1041</v>
      </c>
      <c r="BG631" s="55" t="s">
        <v>311</v>
      </c>
    </row>
    <row r="632" spans="22:59" x14ac:dyDescent="0.35">
      <c r="V632" s="1" t="str">
        <v>O FLAKE  -TUEN40</v>
      </c>
      <c r="X632" s="1" t="str">
        <f t="shared" si="176"/>
        <v>O FLAKE  -LINE40</v>
      </c>
      <c r="Y632" s="1" t="str" cm="1">
        <f t="array" ref="Y632">IFERROR(VLOOKUP($X632,$AN:AO,COLUMN(AO:AO)-COLUMN($AN:$AN)+1,FALSE),"")</f>
        <v>1-8IN DECO FLAKE  - 40LB BAGLIMESTONE40LB BAG</v>
      </c>
      <c r="Z632" s="63" cm="1">
        <f t="array" ref="Z632">IFERROR(VLOOKUP($X632,$AN:AP,COLUMN(AP:AP)-COLUMN($AN:$AN)+1,FALSE),"")</f>
        <v>110</v>
      </c>
      <c r="AA632" s="1" t="str" cm="1">
        <f t="array" ref="AA632">IFERROR(VLOOKUP($X632,$AN:AQ,COLUMN(AQ:AQ)-COLUMN($AN:$AN)+1,FALSE),"")</f>
        <v>40LB BAG</v>
      </c>
      <c r="AC632" s="1" t="str" cm="1">
        <f t="array" ref="AC632">IFERROR(VLOOKUP($X632,$AN:AS,COLUMN(AS:AS)-COLUMN($AN:$AN)+1,FALSE),"")</f>
        <v>LIMESTONE</v>
      </c>
      <c r="AD632" s="1" t="s">
        <v>19</v>
      </c>
      <c r="AF632" s="1">
        <f>Table1[[#This Row],[C:C]]*1.1</f>
        <v>0</v>
      </c>
      <c r="AI632" s="1">
        <f>IFERROR(VLOOKUP(X632,#REF!,8,FALSE),0)</f>
        <v>0</v>
      </c>
      <c r="AN632" s="1" t="str">
        <f>PROD_ID_TABLE[[#This Row],[PROD ID]]</f>
        <v>3746 HIGH WHTE15</v>
      </c>
      <c r="AO632" s="1" t="str">
        <f t="shared" si="182"/>
        <v>RESUFLOR 3746 HIGH PERFORMANCE EPOXYWHITE159 GAL</v>
      </c>
      <c r="AP632" s="3">
        <f t="shared" si="183"/>
        <v>6920.76</v>
      </c>
      <c r="AQ632" s="1" t="str">
        <f t="shared" si="184"/>
        <v>159 GAL</v>
      </c>
      <c r="AS632" s="1" t="str">
        <f t="shared" si="185"/>
        <v>WHITE</v>
      </c>
      <c r="AY632" s="63" t="str">
        <f t="shared" si="186"/>
        <v>3746 HIGH WHTE15</v>
      </c>
      <c r="AZ632" s="63" t="str">
        <f t="shared" si="187"/>
        <v xml:space="preserve">3746 HIGH </v>
      </c>
      <c r="BA632" s="63" t="str">
        <f t="shared" si="188"/>
        <v>WHTE</v>
      </c>
      <c r="BB632" s="63" t="str">
        <f t="shared" si="189"/>
        <v>15</v>
      </c>
      <c r="BC632" s="135">
        <f t="shared" si="163"/>
        <v>6920.76</v>
      </c>
      <c r="BD632" s="62" t="s">
        <v>346</v>
      </c>
      <c r="BE632" s="55" t="s">
        <v>322</v>
      </c>
      <c r="BF632" s="55" t="s">
        <v>1041</v>
      </c>
      <c r="BG632" s="55" t="s">
        <v>311</v>
      </c>
    </row>
    <row r="633" spans="22:59" x14ac:dyDescent="0.35">
      <c r="V633" s="1" t="str">
        <v>O FLAKE  -WACH40</v>
      </c>
      <c r="X633" s="1" t="str">
        <f t="shared" si="176"/>
        <v>O FLAKE  -MAEL40</v>
      </c>
      <c r="Y633" s="1" t="str" cm="1">
        <f t="array" ref="Y633">IFERROR(VLOOKUP($X633,$AN:AO,COLUMN(AO:AO)-COLUMN($AN:$AN)+1,FALSE),"")</f>
        <v>1-8IN DECO FLAKE  - 40LB BAGMACKEREL40LB BAG</v>
      </c>
      <c r="Z633" s="63" cm="1">
        <f t="array" ref="Z633">IFERROR(VLOOKUP($X633,$AN:AP,COLUMN(AP:AP)-COLUMN($AN:$AN)+1,FALSE),"")</f>
        <v>110</v>
      </c>
      <c r="AA633" s="1" t="str" cm="1">
        <f t="array" ref="AA633">IFERROR(VLOOKUP($X633,$AN:AQ,COLUMN(AQ:AQ)-COLUMN($AN:$AN)+1,FALSE),"")</f>
        <v>40LB BAG</v>
      </c>
      <c r="AC633" s="1" t="str" cm="1">
        <f t="array" ref="AC633">IFERROR(VLOOKUP($X633,$AN:AS,COLUMN(AS:AS)-COLUMN($AN:$AN)+1,FALSE),"")</f>
        <v>MACKEREL</v>
      </c>
      <c r="AD633" s="1" t="s">
        <v>19</v>
      </c>
      <c r="AF633" s="1">
        <f>Table1[[#This Row],[C:C]]*1.1</f>
        <v>0</v>
      </c>
      <c r="AI633" s="1">
        <f>IFERROR(VLOOKUP(X633,#REF!,8,FALSE),0)</f>
        <v>0</v>
      </c>
      <c r="AN633" s="1" t="str">
        <f>PROD_ID_TABLE[[#This Row],[PROD ID]]</f>
        <v>3746 HIGH GRAY15</v>
      </c>
      <c r="AO633" s="1" t="str">
        <f t="shared" si="182"/>
        <v>RESUFLOR 3746 HIGH PERFORMANCE EPOXYGRAY159 GAL</v>
      </c>
      <c r="AP633" s="3">
        <f t="shared" si="183"/>
        <v>6920.76</v>
      </c>
      <c r="AQ633" s="1" t="str">
        <f t="shared" si="184"/>
        <v>159 GAL</v>
      </c>
      <c r="AS633" s="1" t="str">
        <f t="shared" si="185"/>
        <v>GRAY</v>
      </c>
      <c r="AY633" s="63" t="str">
        <f t="shared" si="186"/>
        <v>3746 HIGH GRAY15</v>
      </c>
      <c r="AZ633" s="63" t="str">
        <f t="shared" si="187"/>
        <v xml:space="preserve">3746 HIGH </v>
      </c>
      <c r="BA633" s="63" t="str">
        <f t="shared" si="188"/>
        <v>GRAY</v>
      </c>
      <c r="BB633" s="63" t="str">
        <f t="shared" si="189"/>
        <v>15</v>
      </c>
      <c r="BC633" s="135">
        <f t="shared" si="163"/>
        <v>6920.76</v>
      </c>
      <c r="BD633" s="62" t="s">
        <v>346</v>
      </c>
      <c r="BE633" s="55" t="s">
        <v>317</v>
      </c>
      <c r="BF633" s="55" t="s">
        <v>1041</v>
      </c>
      <c r="BG633" s="55" t="s">
        <v>311</v>
      </c>
    </row>
    <row r="634" spans="22:59" x14ac:dyDescent="0.35">
      <c r="V634" s="1" t="str">
        <v xml:space="preserve"> QUARTZAMNO25</v>
      </c>
      <c r="X634" s="1" t="str">
        <f t="shared" si="176"/>
        <v>O FLAKE  -METE40</v>
      </c>
      <c r="Y634" s="1" t="str" cm="1">
        <f t="array" ref="Y634">IFERROR(VLOOKUP($X634,$AN:AO,COLUMN(AO:AO)-COLUMN($AN:$AN)+1,FALSE),"")</f>
        <v>1-8IN DECO FLAKE  - 40LB BAGMETEORITE40LB BAG</v>
      </c>
      <c r="Z634" s="63" cm="1">
        <f t="array" ref="Z634">IFERROR(VLOOKUP($X634,$AN:AP,COLUMN(AP:AP)-COLUMN($AN:$AN)+1,FALSE),"")</f>
        <v>110</v>
      </c>
      <c r="AA634" s="1" t="str" cm="1">
        <f t="array" ref="AA634">IFERROR(VLOOKUP($X634,$AN:AQ,COLUMN(AQ:AQ)-COLUMN($AN:$AN)+1,FALSE),"")</f>
        <v>40LB BAG</v>
      </c>
      <c r="AC634" s="1" t="str" cm="1">
        <f t="array" ref="AC634">IFERROR(VLOOKUP($X634,$AN:AS,COLUMN(AS:AS)-COLUMN($AN:$AN)+1,FALSE),"")</f>
        <v>METEORITE</v>
      </c>
      <c r="AD634" s="1" t="s">
        <v>19</v>
      </c>
      <c r="AF634" s="1">
        <f>Table1[[#This Row],[C:C]]*1.1</f>
        <v>0</v>
      </c>
      <c r="AI634" s="1">
        <f>IFERROR(VLOOKUP(X634,#REF!,8,FALSE),0)</f>
        <v>0</v>
      </c>
      <c r="AN634" s="1" t="str">
        <f>PROD_ID_TABLE[[#This Row],[PROD ID]]</f>
        <v>3746 HIGH MEAY15</v>
      </c>
      <c r="AO634" s="1" t="str">
        <f t="shared" si="182"/>
        <v>RESUFLOR 3746 HIGH PERFORMANCE EPOXYMEDIUM GRAY159 GAL</v>
      </c>
      <c r="AP634" s="3">
        <f t="shared" si="183"/>
        <v>6920.76</v>
      </c>
      <c r="AQ634" s="1" t="str">
        <f t="shared" si="184"/>
        <v>159 GAL</v>
      </c>
      <c r="AS634" s="1" t="str">
        <f t="shared" si="185"/>
        <v>MEDIUM GRAY</v>
      </c>
      <c r="AY634" s="63" t="str">
        <f t="shared" si="186"/>
        <v>3746 HIGH MEAY15</v>
      </c>
      <c r="AZ634" s="63" t="str">
        <f t="shared" si="187"/>
        <v xml:space="preserve">3746 HIGH </v>
      </c>
      <c r="BA634" s="63" t="str">
        <f t="shared" si="188"/>
        <v>MEAY</v>
      </c>
      <c r="BB634" s="63" t="str">
        <f t="shared" si="189"/>
        <v>15</v>
      </c>
      <c r="BC634" s="135">
        <f t="shared" si="163"/>
        <v>6920.76</v>
      </c>
      <c r="BD634" s="62" t="s">
        <v>346</v>
      </c>
      <c r="BE634" s="55" t="s">
        <v>333</v>
      </c>
      <c r="BF634" s="55" t="s">
        <v>1041</v>
      </c>
      <c r="BG634" s="55" t="s">
        <v>311</v>
      </c>
    </row>
    <row r="635" spans="22:59" x14ac:dyDescent="0.35">
      <c r="V635" s="1" t="str">
        <v xml:space="preserve"> QUARTZANIL25</v>
      </c>
      <c r="X635" s="1" t="str">
        <f t="shared" si="176"/>
        <v>O FLAKE  -MOON40</v>
      </c>
      <c r="Y635" s="1" t="str" cm="1">
        <f t="array" ref="Y635">IFERROR(VLOOKUP($X635,$AN:AO,COLUMN(AO:AO)-COLUMN($AN:$AN)+1,FALSE),"")</f>
        <v>1-8IN DECO FLAKE  - 40LB BAGMOON40LB BAG</v>
      </c>
      <c r="Z635" s="63" cm="1">
        <f t="array" ref="Z635">IFERROR(VLOOKUP($X635,$AN:AP,COLUMN(AP:AP)-COLUMN($AN:$AN)+1,FALSE),"")</f>
        <v>110</v>
      </c>
      <c r="AA635" s="1" t="str" cm="1">
        <f t="array" ref="AA635">IFERROR(VLOOKUP($X635,$AN:AQ,COLUMN(AQ:AQ)-COLUMN($AN:$AN)+1,FALSE),"")</f>
        <v>40LB BAG</v>
      </c>
      <c r="AC635" s="1" t="str" cm="1">
        <f t="array" ref="AC635">IFERROR(VLOOKUP($X635,$AN:AS,COLUMN(AS:AS)-COLUMN($AN:$AN)+1,FALSE),"")</f>
        <v>MOON</v>
      </c>
      <c r="AD635" s="1" t="s">
        <v>19</v>
      </c>
      <c r="AF635" s="1">
        <f>Table1[[#This Row],[C:C]]*1.1</f>
        <v>0</v>
      </c>
      <c r="AI635" s="1">
        <f>IFERROR(VLOOKUP(X635,#REF!,8,FALSE),0)</f>
        <v>0</v>
      </c>
      <c r="AN635" s="1" t="str">
        <f>PROD_ID_TABLE[[#This Row],[PROD ID]]</f>
        <v>3746 HIGH CAAY15</v>
      </c>
      <c r="AO635" s="1" t="str">
        <f t="shared" si="182"/>
        <v>RESUFLOR 3746 HIGH PERFORMANCE EPOXYCANADA GRAY159 GAL</v>
      </c>
      <c r="AP635" s="3">
        <f t="shared" si="183"/>
        <v>6920.76</v>
      </c>
      <c r="AQ635" s="1" t="str">
        <f t="shared" si="184"/>
        <v>159 GAL</v>
      </c>
      <c r="AS635" s="1" t="str">
        <f t="shared" si="185"/>
        <v>CANADA GRAY</v>
      </c>
      <c r="AY635" s="63" t="str">
        <f t="shared" si="186"/>
        <v>3746 HIGH CAAY15</v>
      </c>
      <c r="AZ635" s="63" t="str">
        <f t="shared" si="187"/>
        <v xml:space="preserve">3746 HIGH </v>
      </c>
      <c r="BA635" s="63" t="str">
        <f t="shared" si="188"/>
        <v>CAAY</v>
      </c>
      <c r="BB635" s="63" t="str">
        <f t="shared" si="189"/>
        <v>15</v>
      </c>
      <c r="BC635" s="135">
        <f t="shared" si="163"/>
        <v>6920.76</v>
      </c>
      <c r="BD635" s="62" t="s">
        <v>346</v>
      </c>
      <c r="BE635" s="55" t="s">
        <v>332</v>
      </c>
      <c r="BF635" s="55" t="s">
        <v>1041</v>
      </c>
      <c r="BG635" s="55" t="s">
        <v>311</v>
      </c>
    </row>
    <row r="636" spans="22:59" x14ac:dyDescent="0.35">
      <c r="V636" s="1" t="str">
        <v xml:space="preserve"> QUARTZAUCE25</v>
      </c>
      <c r="X636" s="1" t="str">
        <f t="shared" si="176"/>
        <v>O FLAKE  -MOSE40</v>
      </c>
      <c r="Y636" s="1" t="str" cm="1">
        <f t="array" ref="Y636">IFERROR(VLOOKUP($X636,$AN:AO,COLUMN(AO:AO)-COLUMN($AN:$AN)+1,FALSE),"")</f>
        <v>1-8IN DECO FLAKE  - 40LB BAGMOOSE40LB BAG</v>
      </c>
      <c r="Z636" s="63" cm="1">
        <f t="array" ref="Z636">IFERROR(VLOOKUP($X636,$AN:AP,COLUMN(AP:AP)-COLUMN($AN:$AN)+1,FALSE),"")</f>
        <v>110</v>
      </c>
      <c r="AA636" s="1" t="str" cm="1">
        <f t="array" ref="AA636">IFERROR(VLOOKUP($X636,$AN:AQ,COLUMN(AQ:AQ)-COLUMN($AN:$AN)+1,FALSE),"")</f>
        <v>40LB BAG</v>
      </c>
      <c r="AC636" s="1" t="str" cm="1">
        <f t="array" ref="AC636">IFERROR(VLOOKUP($X636,$AN:AS,COLUMN(AS:AS)-COLUMN($AN:$AN)+1,FALSE),"")</f>
        <v>MOOSE</v>
      </c>
      <c r="AD636" s="1" t="s">
        <v>19</v>
      </c>
      <c r="AF636" s="1">
        <f>Table1[[#This Row],[C:C]]*1.1</f>
        <v>0</v>
      </c>
      <c r="AI636" s="1">
        <f>IFERROR(VLOOKUP(X636,#REF!,8,FALSE),0)</f>
        <v>0</v>
      </c>
      <c r="AN636" s="1" t="str">
        <f>PROD_ID_TABLE[[#This Row],[PROD ID]]</f>
        <v>3746 HIGH CHAL15</v>
      </c>
      <c r="AO636" s="1" t="str">
        <f t="shared" si="182"/>
        <v>RESUFLOR 3746 HIGH PERFORMANCE EPOXYCHARCOAL159 GAL</v>
      </c>
      <c r="AP636" s="3">
        <f t="shared" si="183"/>
        <v>6920.76</v>
      </c>
      <c r="AQ636" s="1" t="str">
        <f t="shared" si="184"/>
        <v>159 GAL</v>
      </c>
      <c r="AS636" s="1" t="str">
        <f t="shared" si="185"/>
        <v>CHARCOAL</v>
      </c>
      <c r="AY636" s="63" t="str">
        <f t="shared" si="186"/>
        <v>3746 HIGH CHAL15</v>
      </c>
      <c r="AZ636" s="63" t="str">
        <f t="shared" si="187"/>
        <v xml:space="preserve">3746 HIGH </v>
      </c>
      <c r="BA636" s="63" t="str">
        <f t="shared" si="188"/>
        <v>CHAL</v>
      </c>
      <c r="BB636" s="63" t="str">
        <f t="shared" si="189"/>
        <v>15</v>
      </c>
      <c r="BC636" s="135">
        <f t="shared" ref="BC636:BC650" si="190">IFERROR(VLOOKUP(BD636&amp;BF636,AV:AW,2,FALSE),0)</f>
        <v>6920.76</v>
      </c>
      <c r="BD636" s="62" t="s">
        <v>346</v>
      </c>
      <c r="BE636" s="55" t="s">
        <v>318</v>
      </c>
      <c r="BF636" s="55" t="s">
        <v>1041</v>
      </c>
      <c r="BG636" s="55" t="s">
        <v>311</v>
      </c>
    </row>
    <row r="637" spans="22:59" x14ac:dyDescent="0.35">
      <c r="V637" s="1" t="str">
        <v xml:space="preserve"> QUARTZBLE 25</v>
      </c>
      <c r="X637" s="1" t="str">
        <f t="shared" si="176"/>
        <v>O FLAKE  -MOOG40</v>
      </c>
      <c r="Y637" s="1" t="str" cm="1">
        <f t="array" ref="Y637">IFERROR(VLOOKUP($X637,$AN:AO,COLUMN(AO:AO)-COLUMN($AN:$AN)+1,FALSE),"")</f>
        <v>1-8IN DECO FLAKE  - 40LB BAGMOUNTAIN FOG40LB BAG</v>
      </c>
      <c r="Z637" s="63" cm="1">
        <f t="array" ref="Z637">IFERROR(VLOOKUP($X637,$AN:AP,COLUMN(AP:AP)-COLUMN($AN:$AN)+1,FALSE),"")</f>
        <v>110</v>
      </c>
      <c r="AA637" s="1" t="str" cm="1">
        <f t="array" ref="AA637">IFERROR(VLOOKUP($X637,$AN:AQ,COLUMN(AQ:AQ)-COLUMN($AN:$AN)+1,FALSE),"")</f>
        <v>40LB BAG</v>
      </c>
      <c r="AC637" s="1" t="str" cm="1">
        <f t="array" ref="AC637">IFERROR(VLOOKUP($X637,$AN:AS,COLUMN(AS:AS)-COLUMN($AN:$AN)+1,FALSE),"")</f>
        <v>MOUNTAIN FOG</v>
      </c>
      <c r="AD637" s="1" t="s">
        <v>19</v>
      </c>
      <c r="AF637" s="1">
        <f>Table1[[#This Row],[C:C]]*1.1</f>
        <v>0</v>
      </c>
      <c r="AI637" s="1">
        <f>IFERROR(VLOOKUP(X637,#REF!,8,FALSE),0)</f>
        <v>0</v>
      </c>
      <c r="AN637" s="1" t="str">
        <f>PROD_ID_TABLE[[#This Row],[PROD ID]]</f>
        <v>3746 HIGH STAY15</v>
      </c>
      <c r="AO637" s="1" t="str">
        <f t="shared" si="182"/>
        <v>RESUFLOR 3746 HIGH PERFORMANCE EPOXYSTEEL GRAY159 GAL</v>
      </c>
      <c r="AP637" s="3">
        <f t="shared" si="183"/>
        <v>6920.76</v>
      </c>
      <c r="AQ637" s="1" t="str">
        <f t="shared" si="184"/>
        <v>159 GAL</v>
      </c>
      <c r="AS637" s="1" t="str">
        <f t="shared" si="185"/>
        <v>STEEL GRAY</v>
      </c>
      <c r="AY637" s="63" t="str">
        <f t="shared" si="186"/>
        <v>3746 HIGH STAY15</v>
      </c>
      <c r="AZ637" s="63" t="str">
        <f t="shared" si="187"/>
        <v xml:space="preserve">3746 HIGH </v>
      </c>
      <c r="BA637" s="63" t="str">
        <f t="shared" si="188"/>
        <v>STAY</v>
      </c>
      <c r="BB637" s="63" t="str">
        <f t="shared" si="189"/>
        <v>15</v>
      </c>
      <c r="BC637" s="135">
        <f t="shared" si="190"/>
        <v>6920.76</v>
      </c>
      <c r="BD637" s="62" t="s">
        <v>346</v>
      </c>
      <c r="BE637" s="55" t="s">
        <v>319</v>
      </c>
      <c r="BF637" s="55" t="s">
        <v>1041</v>
      </c>
      <c r="BG637" s="55" t="s">
        <v>311</v>
      </c>
    </row>
    <row r="638" spans="22:59" x14ac:dyDescent="0.35">
      <c r="V638" s="1" t="str">
        <v xml:space="preserve"> QUARTZBRLE25</v>
      </c>
      <c r="X638" s="1" t="str">
        <f t="shared" si="176"/>
        <v>O FLAKE  -OCOT40</v>
      </c>
      <c r="Y638" s="1" t="str" cm="1">
        <f t="array" ref="Y638">IFERROR(VLOOKUP($X638,$AN:AO,COLUMN(AO:AO)-COLUMN($AN:$AN)+1,FALSE),"")</f>
        <v>1-8IN DECO FLAKE  - 40LB BAGOCELOT40LB BAG</v>
      </c>
      <c r="Z638" s="63" cm="1">
        <f t="array" ref="Z638">IFERROR(VLOOKUP($X638,$AN:AP,COLUMN(AP:AP)-COLUMN($AN:$AN)+1,FALSE),"")</f>
        <v>110</v>
      </c>
      <c r="AA638" s="1" t="str" cm="1">
        <f t="array" ref="AA638">IFERROR(VLOOKUP($X638,$AN:AQ,COLUMN(AQ:AQ)-COLUMN($AN:$AN)+1,FALSE),"")</f>
        <v>40LB BAG</v>
      </c>
      <c r="AC638" s="1" t="str" cm="1">
        <f t="array" ref="AC638">IFERROR(VLOOKUP($X638,$AN:AS,COLUMN(AS:AS)-COLUMN($AN:$AN)+1,FALSE),"")</f>
        <v>OCELOT</v>
      </c>
      <c r="AD638" s="1" t="s">
        <v>19</v>
      </c>
      <c r="AF638" s="1">
        <f>Table1[[#This Row],[C:C]]*1.1</f>
        <v>0</v>
      </c>
      <c r="AI638" s="1">
        <f>IFERROR(VLOOKUP(X638,#REF!,8,FALSE),0)</f>
        <v>0</v>
      </c>
      <c r="AN638" s="1" t="str">
        <f>PROD_ID_TABLE[[#This Row],[PROD ID]]</f>
        <v>3746 HIGH BOTE15</v>
      </c>
      <c r="AO638" s="1" t="str">
        <f t="shared" si="182"/>
        <v>RESUFLOR 3746 HIGH PERFORMANCE EPOXYBONE WHITE159 GAL</v>
      </c>
      <c r="AP638" s="3">
        <f t="shared" si="183"/>
        <v>6920.76</v>
      </c>
      <c r="AQ638" s="1" t="str">
        <f t="shared" si="184"/>
        <v>159 GAL</v>
      </c>
      <c r="AS638" s="1" t="str">
        <f t="shared" si="185"/>
        <v>BONE WHITE</v>
      </c>
      <c r="AY638" s="63" t="str">
        <f t="shared" si="186"/>
        <v>3746 HIGH BOTE15</v>
      </c>
      <c r="AZ638" s="63" t="str">
        <f t="shared" si="187"/>
        <v xml:space="preserve">3746 HIGH </v>
      </c>
      <c r="BA638" s="63" t="str">
        <f t="shared" si="188"/>
        <v>BOTE</v>
      </c>
      <c r="BB638" s="63" t="str">
        <f t="shared" si="189"/>
        <v>15</v>
      </c>
      <c r="BC638" s="135">
        <f t="shared" si="190"/>
        <v>6920.76</v>
      </c>
      <c r="BD638" s="62" t="s">
        <v>346</v>
      </c>
      <c r="BE638" s="55" t="s">
        <v>320</v>
      </c>
      <c r="BF638" s="55" t="s">
        <v>1041</v>
      </c>
      <c r="BG638" s="55" t="s">
        <v>311</v>
      </c>
    </row>
    <row r="639" spans="22:59" x14ac:dyDescent="0.35">
      <c r="V639" s="1" t="str">
        <v xml:space="preserve"> QUARTZBRET25</v>
      </c>
      <c r="X639" s="1" t="str">
        <f t="shared" si="176"/>
        <v>O FLAKE  -PLER40</v>
      </c>
      <c r="Y639" s="1" t="str" cm="1">
        <f t="array" ref="Y639">IFERROR(VLOOKUP($X639,$AN:AO,COLUMN(AO:AO)-COLUMN($AN:$AN)+1,FALSE),"")</f>
        <v>1-8IN DECO FLAKE  - 40LB BAGPLOVER40LB BAG</v>
      </c>
      <c r="Z639" s="63" cm="1">
        <f t="array" ref="Z639">IFERROR(VLOOKUP($X639,$AN:AP,COLUMN(AP:AP)-COLUMN($AN:$AN)+1,FALSE),"")</f>
        <v>110</v>
      </c>
      <c r="AA639" s="1" t="str" cm="1">
        <f t="array" ref="AA639">IFERROR(VLOOKUP($X639,$AN:AQ,COLUMN(AQ:AQ)-COLUMN($AN:$AN)+1,FALSE),"")</f>
        <v>40LB BAG</v>
      </c>
      <c r="AC639" s="1" t="str" cm="1">
        <f t="array" ref="AC639">IFERROR(VLOOKUP($X639,$AN:AS,COLUMN(AS:AS)-COLUMN($AN:$AN)+1,FALSE),"")</f>
        <v>PLOVER</v>
      </c>
      <c r="AD639" s="1" t="s">
        <v>19</v>
      </c>
      <c r="AF639" s="1">
        <f>Table1[[#This Row],[C:C]]*1.1</f>
        <v>0</v>
      </c>
      <c r="AI639" s="1">
        <f>IFERROR(VLOOKUP(X639,#REF!,8,FALSE),0)</f>
        <v>0</v>
      </c>
      <c r="AN639" s="1" t="str">
        <f>PROD_ID_TABLE[[#This Row],[PROD ID]]</f>
        <v>3746 HIGH SIAY15</v>
      </c>
      <c r="AO639" s="1" t="str">
        <f t="shared" si="182"/>
        <v>RESUFLOR 3746 HIGH PERFORMANCE EPOXYSILVER GRAY159 GAL</v>
      </c>
      <c r="AP639" s="3">
        <f t="shared" si="183"/>
        <v>6920.76</v>
      </c>
      <c r="AQ639" s="1" t="str">
        <f t="shared" si="184"/>
        <v>159 GAL</v>
      </c>
      <c r="AS639" s="1" t="str">
        <f t="shared" si="185"/>
        <v>SILVER GRAY</v>
      </c>
      <c r="AY639" s="63" t="str">
        <f t="shared" si="186"/>
        <v>3746 HIGH SIAY15</v>
      </c>
      <c r="AZ639" s="63" t="str">
        <f t="shared" si="187"/>
        <v xml:space="preserve">3746 HIGH </v>
      </c>
      <c r="BA639" s="63" t="str">
        <f t="shared" si="188"/>
        <v>SIAY</v>
      </c>
      <c r="BB639" s="63" t="str">
        <f t="shared" si="189"/>
        <v>15</v>
      </c>
      <c r="BC639" s="135">
        <f t="shared" si="190"/>
        <v>6920.76</v>
      </c>
      <c r="BD639" s="62" t="s">
        <v>346</v>
      </c>
      <c r="BE639" s="55" t="s">
        <v>321</v>
      </c>
      <c r="BF639" s="55" t="s">
        <v>1041</v>
      </c>
      <c r="BG639" s="55" t="s">
        <v>311</v>
      </c>
    </row>
    <row r="640" spans="22:59" x14ac:dyDescent="0.35">
      <c r="V640" s="1" t="str">
        <v xml:space="preserve"> QUARTZCAAR25</v>
      </c>
      <c r="X640" s="1" t="str">
        <f t="shared" si="176"/>
        <v>O FLAKE  -PREL40</v>
      </c>
      <c r="Y640" s="1" t="str" cm="1">
        <f t="array" ref="Y640">IFERROR(VLOOKUP($X640,$AN:AO,COLUMN(AO:AO)-COLUMN($AN:$AN)+1,FALSE),"")</f>
        <v>1-8IN DECO FLAKE  - 40LB BAGPRETZEL40LB BAG</v>
      </c>
      <c r="Z640" s="63" cm="1">
        <f t="array" ref="Z640">IFERROR(VLOOKUP($X640,$AN:AP,COLUMN(AP:AP)-COLUMN($AN:$AN)+1,FALSE),"")</f>
        <v>110</v>
      </c>
      <c r="AA640" s="1" t="str" cm="1">
        <f t="array" ref="AA640">IFERROR(VLOOKUP($X640,$AN:AQ,COLUMN(AQ:AQ)-COLUMN($AN:$AN)+1,FALSE),"")</f>
        <v>40LB BAG</v>
      </c>
      <c r="AC640" s="1" t="str" cm="1">
        <f t="array" ref="AC640">IFERROR(VLOOKUP($X640,$AN:AS,COLUMN(AS:AS)-COLUMN($AN:$AN)+1,FALSE),"")</f>
        <v>PRETZEL</v>
      </c>
      <c r="AD640" s="1" t="s">
        <v>19</v>
      </c>
      <c r="AF640" s="1">
        <f>Table1[[#This Row],[C:C]]*1.1</f>
        <v>0</v>
      </c>
      <c r="AI640" s="1">
        <f>IFERROR(VLOOKUP(X640,#REF!,8,FALSE),0)</f>
        <v>0</v>
      </c>
      <c r="AN640" s="1" t="str">
        <f>PROD_ID_TABLE[[#This Row],[PROD ID]]</f>
        <v>3746 HIGH BLCK15</v>
      </c>
      <c r="AO640" s="1" t="str">
        <f t="shared" si="182"/>
        <v>RESUFLOR 3746 HIGH PERFORMANCE EPOXYBLACK159 GAL</v>
      </c>
      <c r="AP640" s="3">
        <f t="shared" si="183"/>
        <v>6920.76</v>
      </c>
      <c r="AQ640" s="1" t="str">
        <f t="shared" si="184"/>
        <v>159 GAL</v>
      </c>
      <c r="AS640" s="1" t="str">
        <f t="shared" si="185"/>
        <v>BLACK</v>
      </c>
      <c r="AY640" s="63" t="str">
        <f t="shared" si="186"/>
        <v>3746 HIGH BLCK15</v>
      </c>
      <c r="AZ640" s="63" t="str">
        <f t="shared" si="187"/>
        <v xml:space="preserve">3746 HIGH </v>
      </c>
      <c r="BA640" s="63" t="str">
        <f t="shared" si="188"/>
        <v>BLCK</v>
      </c>
      <c r="BB640" s="63" t="str">
        <f t="shared" si="189"/>
        <v>15</v>
      </c>
      <c r="BC640" s="135">
        <f t="shared" si="190"/>
        <v>6920.76</v>
      </c>
      <c r="BD640" s="62" t="s">
        <v>346</v>
      </c>
      <c r="BE640" s="55" t="s">
        <v>323</v>
      </c>
      <c r="BF640" s="55" t="s">
        <v>1041</v>
      </c>
      <c r="BG640" s="55" t="s">
        <v>311</v>
      </c>
    </row>
    <row r="641" spans="22:59" x14ac:dyDescent="0.35">
      <c r="V641" s="1" t="str">
        <v xml:space="preserve"> QUARTZCUND25</v>
      </c>
      <c r="X641" s="1" t="str">
        <f t="shared" si="176"/>
        <v>O FLAKE  -RHNO40</v>
      </c>
      <c r="Y641" s="1" t="str" cm="1">
        <f t="array" ref="Y641">IFERROR(VLOOKUP($X641,$AN:AO,COLUMN(AO:AO)-COLUMN($AN:$AN)+1,FALSE),"")</f>
        <v>1-8IN DECO FLAKE  - 40LB BAGRHINO40LB BAG</v>
      </c>
      <c r="Z641" s="63" cm="1">
        <f t="array" ref="Z641">IFERROR(VLOOKUP($X641,$AN:AP,COLUMN(AP:AP)-COLUMN($AN:$AN)+1,FALSE),"")</f>
        <v>110</v>
      </c>
      <c r="AA641" s="1" t="str" cm="1">
        <f t="array" ref="AA641">IFERROR(VLOOKUP($X641,$AN:AQ,COLUMN(AQ:AQ)-COLUMN($AN:$AN)+1,FALSE),"")</f>
        <v>40LB BAG</v>
      </c>
      <c r="AC641" s="1" t="str" cm="1">
        <f t="array" ref="AC641">IFERROR(VLOOKUP($X641,$AN:AS,COLUMN(AS:AS)-COLUMN($AN:$AN)+1,FALSE),"")</f>
        <v>RHINO</v>
      </c>
      <c r="AD641" s="1" t="s">
        <v>19</v>
      </c>
      <c r="AF641" s="1">
        <f>Table1[[#This Row],[C:C]]*1.1</f>
        <v>0</v>
      </c>
      <c r="AI641" s="1">
        <f>IFERROR(VLOOKUP(X641,#REF!,8,FALSE),0)</f>
        <v>0</v>
      </c>
      <c r="AN641" s="1" t="str">
        <f>PROD_ID_TABLE[[#This Row],[PROD ID]]</f>
        <v>3746 HIGH PANT15</v>
      </c>
      <c r="AO641" s="1" t="str">
        <f t="shared" si="182"/>
        <v>RESUFLOR 3746 HIGH PERFORMANCE EPOXYPARCHMENT159 GAL</v>
      </c>
      <c r="AP641" s="3">
        <f t="shared" si="183"/>
        <v>6920.76</v>
      </c>
      <c r="AQ641" s="1" t="str">
        <f t="shared" si="184"/>
        <v>159 GAL</v>
      </c>
      <c r="AS641" s="1" t="str">
        <f t="shared" si="185"/>
        <v>PARCHMENT</v>
      </c>
      <c r="AY641" s="63" t="str">
        <f t="shared" si="186"/>
        <v>3746 HIGH PANT15</v>
      </c>
      <c r="AZ641" s="63" t="str">
        <f t="shared" si="187"/>
        <v xml:space="preserve">3746 HIGH </v>
      </c>
      <c r="BA641" s="63" t="str">
        <f t="shared" si="188"/>
        <v>PANT</v>
      </c>
      <c r="BB641" s="63" t="str">
        <f t="shared" si="189"/>
        <v>15</v>
      </c>
      <c r="BC641" s="135">
        <f t="shared" si="190"/>
        <v>6920.76</v>
      </c>
      <c r="BD641" s="62" t="s">
        <v>346</v>
      </c>
      <c r="BE641" s="55" t="s">
        <v>324</v>
      </c>
      <c r="BF641" s="55" t="s">
        <v>1041</v>
      </c>
      <c r="BG641" s="55" t="s">
        <v>311</v>
      </c>
    </row>
    <row r="642" spans="22:59" x14ac:dyDescent="0.35">
      <c r="V642" s="1" t="str">
        <v xml:space="preserve"> QUARTZGRND25</v>
      </c>
      <c r="X642" s="1" t="str">
        <f t="shared" si="176"/>
        <v>O FLAKE  -SINE40</v>
      </c>
      <c r="Y642" s="1" t="str" cm="1">
        <f t="array" ref="Y642">IFERROR(VLOOKUP($X642,$AN:AO,COLUMN(AO:AO)-COLUMN($AN:$AN)+1,FALSE),"")</f>
        <v>1-8IN DECO FLAKE  - 40LB BAGSILTSTONE40LB BAG</v>
      </c>
      <c r="Z642" s="63" cm="1">
        <f t="array" ref="Z642">IFERROR(VLOOKUP($X642,$AN:AP,COLUMN(AP:AP)-COLUMN($AN:$AN)+1,FALSE),"")</f>
        <v>110</v>
      </c>
      <c r="AA642" s="1" t="str" cm="1">
        <f t="array" ref="AA642">IFERROR(VLOOKUP($X642,$AN:AQ,COLUMN(AQ:AQ)-COLUMN($AN:$AN)+1,FALSE),"")</f>
        <v>40LB BAG</v>
      </c>
      <c r="AC642" s="1" t="str" cm="1">
        <f t="array" ref="AC642">IFERROR(VLOOKUP($X642,$AN:AS,COLUMN(AS:AS)-COLUMN($AN:$AN)+1,FALSE),"")</f>
        <v>SILTSTONE</v>
      </c>
      <c r="AD642" s="1" t="s">
        <v>19</v>
      </c>
      <c r="AF642" s="1">
        <f>Table1[[#This Row],[C:C]]*1.1</f>
        <v>0</v>
      </c>
      <c r="AI642" s="1">
        <f>IFERROR(VLOOKUP(X642,#REF!,8,FALSE),0)</f>
        <v>0</v>
      </c>
      <c r="AN642" s="1" t="str">
        <f>PROD_ID_TABLE[[#This Row],[PROD ID]]</f>
        <v>3746 HIGH SAED15</v>
      </c>
      <c r="AO642" s="1" t="str">
        <f t="shared" si="182"/>
        <v>RESUFLOR 3746 HIGH PERFORMANCE EPOXYSAFETY RED159 GAL</v>
      </c>
      <c r="AP642" s="3">
        <f t="shared" si="183"/>
        <v>6920.76</v>
      </c>
      <c r="AQ642" s="1" t="str">
        <f t="shared" si="184"/>
        <v>159 GAL</v>
      </c>
      <c r="AS642" s="1" t="str">
        <f t="shared" si="185"/>
        <v>SAFETY RED</v>
      </c>
      <c r="AY642" s="63" t="str">
        <f t="shared" si="186"/>
        <v>3746 HIGH SAED15</v>
      </c>
      <c r="AZ642" s="63" t="str">
        <f t="shared" si="187"/>
        <v xml:space="preserve">3746 HIGH </v>
      </c>
      <c r="BA642" s="63" t="str">
        <f t="shared" si="188"/>
        <v>SAED</v>
      </c>
      <c r="BB642" s="63" t="str">
        <f t="shared" si="189"/>
        <v>15</v>
      </c>
      <c r="BC642" s="135">
        <f t="shared" si="190"/>
        <v>6920.76</v>
      </c>
      <c r="BD642" s="62" t="s">
        <v>346</v>
      </c>
      <c r="BE642" s="55" t="s">
        <v>325</v>
      </c>
      <c r="BF642" s="55" t="s">
        <v>1041</v>
      </c>
      <c r="BG642" s="55" t="s">
        <v>311</v>
      </c>
    </row>
    <row r="643" spans="22:59" x14ac:dyDescent="0.35">
      <c r="V643" s="1" t="str">
        <v xml:space="preserve"> QUARTZLAON25</v>
      </c>
      <c r="X643" s="1" t="str">
        <f t="shared" si="176"/>
        <v>O FLAKE  -SPSH40</v>
      </c>
      <c r="Y643" s="1" t="str" cm="1">
        <f t="array" ref="Y643">IFERROR(VLOOKUP($X643,$AN:AO,COLUMN(AO:AO)-COLUMN($AN:$AN)+1,FALSE),"")</f>
        <v>1-8IN DECO FLAKE  - 40LB BAGSPECKLED ASH40LB BAG</v>
      </c>
      <c r="Z643" s="63" cm="1">
        <f t="array" ref="Z643">IFERROR(VLOOKUP($X643,$AN:AP,COLUMN(AP:AP)-COLUMN($AN:$AN)+1,FALSE),"")</f>
        <v>110</v>
      </c>
      <c r="AA643" s="1" t="str" cm="1">
        <f t="array" ref="AA643">IFERROR(VLOOKUP($X643,$AN:AQ,COLUMN(AQ:AQ)-COLUMN($AN:$AN)+1,FALSE),"")</f>
        <v>40LB BAG</v>
      </c>
      <c r="AC643" s="1" t="str" cm="1">
        <f t="array" ref="AC643">IFERROR(VLOOKUP($X643,$AN:AS,COLUMN(AS:AS)-COLUMN($AN:$AN)+1,FALSE),"")</f>
        <v>SPECKLED ASH</v>
      </c>
      <c r="AD643" s="1" t="s">
        <v>19</v>
      </c>
      <c r="AF643" s="1">
        <f>Table1[[#This Row],[C:C]]*1.1</f>
        <v>0</v>
      </c>
      <c r="AI643" s="1">
        <f>IFERROR(VLOOKUP(X643,#REF!,8,FALSE),0)</f>
        <v>0</v>
      </c>
      <c r="AN643" s="1" t="str">
        <f>PROD_ID_TABLE[[#This Row],[PROD ID]]</f>
        <v>3746 HIGH SAOW15</v>
      </c>
      <c r="AO643" s="1" t="str">
        <f t="shared" si="182"/>
        <v>RESUFLOR 3746 HIGH PERFORMANCE EPOXYSAFETY YELLOW159 GAL</v>
      </c>
      <c r="AP643" s="3">
        <f t="shared" si="183"/>
        <v>6920.76</v>
      </c>
      <c r="AQ643" s="1" t="str">
        <f t="shared" si="184"/>
        <v>159 GAL</v>
      </c>
      <c r="AS643" s="1" t="str">
        <f t="shared" si="185"/>
        <v>SAFETY YELLOW</v>
      </c>
      <c r="AY643" s="63" t="str">
        <f t="shared" si="186"/>
        <v>3746 HIGH SAOW15</v>
      </c>
      <c r="AZ643" s="63" t="str">
        <f t="shared" si="187"/>
        <v xml:space="preserve">3746 HIGH </v>
      </c>
      <c r="BA643" s="63" t="str">
        <f t="shared" si="188"/>
        <v>SAOW</v>
      </c>
      <c r="BB643" s="63" t="str">
        <f t="shared" si="189"/>
        <v>15</v>
      </c>
      <c r="BC643" s="135">
        <f t="shared" si="190"/>
        <v>6920.76</v>
      </c>
      <c r="BD643" s="62" t="s">
        <v>346</v>
      </c>
      <c r="BE643" s="55" t="s">
        <v>326</v>
      </c>
      <c r="BF643" s="55" t="s">
        <v>1041</v>
      </c>
      <c r="BG643" s="55" t="s">
        <v>311</v>
      </c>
    </row>
    <row r="644" spans="22:59" x14ac:dyDescent="0.35">
      <c r="V644" s="1" t="str">
        <v xml:space="preserve"> QUARTZMOVE25</v>
      </c>
      <c r="X644" s="1" t="str">
        <f t="shared" si="176"/>
        <v>O FLAKE  -TUEN40</v>
      </c>
      <c r="Y644" s="1" t="str" cm="1">
        <f t="array" ref="Y644">IFERROR(VLOOKUP($X644,$AN:AO,COLUMN(AO:AO)-COLUMN($AN:$AN)+1,FALSE),"")</f>
        <v>1-8IN DECO FLAKE  - 40LB BAGTUNGSTEN40LB BAG</v>
      </c>
      <c r="Z644" s="63" cm="1">
        <f t="array" ref="Z644">IFERROR(VLOOKUP($X644,$AN:AP,COLUMN(AP:AP)-COLUMN($AN:$AN)+1,FALSE),"")</f>
        <v>110</v>
      </c>
      <c r="AA644" s="1" t="str" cm="1">
        <f t="array" ref="AA644">IFERROR(VLOOKUP($X644,$AN:AQ,COLUMN(AQ:AQ)-COLUMN($AN:$AN)+1,FALSE),"")</f>
        <v>40LB BAG</v>
      </c>
      <c r="AC644" s="1" t="str" cm="1">
        <f t="array" ref="AC644">IFERROR(VLOOKUP($X644,$AN:AS,COLUMN(AS:AS)-COLUMN($AN:$AN)+1,FALSE),"")</f>
        <v>TUNGSTEN</v>
      </c>
      <c r="AD644" s="1" t="s">
        <v>19</v>
      </c>
      <c r="AF644" s="1">
        <f>Table1[[#This Row],[C:C]]*1.1</f>
        <v>0</v>
      </c>
      <c r="AI644" s="1">
        <f>IFERROR(VLOOKUP(X644,#REF!,8,FALSE),0)</f>
        <v>0</v>
      </c>
      <c r="AN644" s="1" t="str">
        <f>PROD_ID_TABLE[[#This Row],[PROD ID]]</f>
        <v>3746 HIGH ROUE15</v>
      </c>
      <c r="AO644" s="1" t="str">
        <f t="shared" si="182"/>
        <v>RESUFLOR 3746 HIGH PERFORMANCE EPOXYROYAL BLUE159 GAL</v>
      </c>
      <c r="AP644" s="3">
        <f t="shared" si="183"/>
        <v>6920.76</v>
      </c>
      <c r="AQ644" s="1" t="str">
        <f t="shared" si="184"/>
        <v>159 GAL</v>
      </c>
      <c r="AS644" s="1" t="str">
        <f t="shared" si="185"/>
        <v>ROYAL BLUE</v>
      </c>
      <c r="AY644" s="63" t="str">
        <f t="shared" si="186"/>
        <v>3746 HIGH ROUE15</v>
      </c>
      <c r="AZ644" s="63" t="str">
        <f t="shared" si="187"/>
        <v xml:space="preserve">3746 HIGH </v>
      </c>
      <c r="BA644" s="63" t="str">
        <f t="shared" si="188"/>
        <v>ROUE</v>
      </c>
      <c r="BB644" s="63" t="str">
        <f t="shared" si="189"/>
        <v>15</v>
      </c>
      <c r="BC644" s="135">
        <f t="shared" si="190"/>
        <v>6920.76</v>
      </c>
      <c r="BD644" s="62" t="s">
        <v>346</v>
      </c>
      <c r="BE644" s="55" t="s">
        <v>428</v>
      </c>
      <c r="BF644" s="55" t="s">
        <v>1041</v>
      </c>
      <c r="BG644" s="55" t="s">
        <v>311</v>
      </c>
    </row>
    <row r="645" spans="22:59" x14ac:dyDescent="0.35">
      <c r="V645" s="1" t="str">
        <v xml:space="preserve"> QUARTZMUIE25</v>
      </c>
      <c r="X645" s="1" t="str">
        <f t="shared" si="176"/>
        <v>O FLAKE  -WACH40</v>
      </c>
      <c r="Y645" s="1" t="str" cm="1">
        <f t="array" ref="Y645">IFERROR(VLOOKUP($X645,$AN:AO,COLUMN(AO:AO)-COLUMN($AN:$AN)+1,FALSE),"")</f>
        <v>1-8IN DECO FLAKE  - 40LB BAGWARM BEACH40LB BAG</v>
      </c>
      <c r="Z645" s="63" cm="1">
        <f t="array" ref="Z645">IFERROR(VLOOKUP($X645,$AN:AP,COLUMN(AP:AP)-COLUMN($AN:$AN)+1,FALSE),"")</f>
        <v>110</v>
      </c>
      <c r="AA645" s="1" t="str" cm="1">
        <f t="array" ref="AA645">IFERROR(VLOOKUP($X645,$AN:AQ,COLUMN(AQ:AQ)-COLUMN($AN:$AN)+1,FALSE),"")</f>
        <v>40LB BAG</v>
      </c>
      <c r="AC645" s="1" t="str" cm="1">
        <f t="array" ref="AC645">IFERROR(VLOOKUP($X645,$AN:AS,COLUMN(AS:AS)-COLUMN($AN:$AN)+1,FALSE),"")</f>
        <v>WARM BEACH</v>
      </c>
      <c r="AD645" s="1" t="s">
        <v>19</v>
      </c>
      <c r="AF645" s="1">
        <f>Table1[[#This Row],[C:C]]*1.1</f>
        <v>0</v>
      </c>
      <c r="AI645" s="1">
        <f>IFERROR(VLOOKUP(X645,#REF!,8,FALSE),0)</f>
        <v>0</v>
      </c>
      <c r="AN645" s="1" t="str">
        <f>PROD_ID_TABLE[[#This Row],[PROD ID]]</f>
        <v>3746 HIGH PEER15</v>
      </c>
      <c r="AO645" s="1" t="str">
        <f t="shared" si="182"/>
        <v>RESUFLOR 3746 HIGH PERFORMANCE EPOXYPEWTER159 GAL</v>
      </c>
      <c r="AP645" s="3">
        <f t="shared" si="183"/>
        <v>6920.76</v>
      </c>
      <c r="AQ645" s="1" t="str">
        <f t="shared" si="184"/>
        <v>159 GAL</v>
      </c>
      <c r="AS645" s="1" t="str">
        <f t="shared" si="185"/>
        <v>PEWTER</v>
      </c>
      <c r="AY645" s="63" t="str">
        <f t="shared" si="186"/>
        <v>3746 HIGH PEER15</v>
      </c>
      <c r="AZ645" s="63" t="str">
        <f t="shared" si="187"/>
        <v xml:space="preserve">3746 HIGH </v>
      </c>
      <c r="BA645" s="63" t="str">
        <f t="shared" si="188"/>
        <v>PEER</v>
      </c>
      <c r="BB645" s="63" t="str">
        <f t="shared" si="189"/>
        <v>15</v>
      </c>
      <c r="BC645" s="135">
        <f t="shared" si="190"/>
        <v>6920.76</v>
      </c>
      <c r="BD645" s="62" t="s">
        <v>346</v>
      </c>
      <c r="BE645" s="55" t="s">
        <v>327</v>
      </c>
      <c r="BF645" s="55" t="s">
        <v>1041</v>
      </c>
      <c r="BG645" s="55" t="s">
        <v>311</v>
      </c>
    </row>
    <row r="646" spans="22:59" x14ac:dyDescent="0.35">
      <c r="V646" s="1" t="str">
        <v xml:space="preserve"> QUARTZNETE25</v>
      </c>
      <c r="X646" s="1" t="str">
        <f t="shared" si="176"/>
        <v xml:space="preserve"> QUARTZAMNO25</v>
      </c>
      <c r="Y646" s="1" t="str" cm="1">
        <f t="array" ref="Y646">IFERROR(VLOOKUP($X646,$AN:AO,COLUMN(AO:AO)-COLUMN($AN:$AN)+1,FALSE),"")</f>
        <v>HPF COLOR QUARTZAMERICANO25 MESH</v>
      </c>
      <c r="Z646" s="63" cm="1">
        <f t="array" ref="Z646">IFERROR(VLOOKUP($X646,$AN:AP,COLUMN(AP:AP)-COLUMN($AN:$AN)+1,FALSE),"")</f>
        <v>27.5</v>
      </c>
      <c r="AA646" s="1" t="str" cm="1">
        <f t="array" ref="AA646">IFERROR(VLOOKUP($X646,$AN:AQ,COLUMN(AQ:AQ)-COLUMN($AN:$AN)+1,FALSE),"")</f>
        <v>25 MESH</v>
      </c>
      <c r="AC646" s="1" t="str" cm="1">
        <f t="array" ref="AC646">IFERROR(VLOOKUP($X646,$AN:AS,COLUMN(AS:AS)-COLUMN($AN:$AN)+1,FALSE),"")</f>
        <v>AMERICANO</v>
      </c>
      <c r="AD646" s="1" t="s">
        <v>19</v>
      </c>
      <c r="AF646" s="1">
        <f>Table1[[#This Row],[C:C]]*1.1</f>
        <v>0</v>
      </c>
      <c r="AI646" s="1">
        <f>IFERROR(VLOOKUP(X646,#REF!,8,FALSE),0)</f>
        <v>0</v>
      </c>
      <c r="AN646" s="1" t="str">
        <f>PROD_ID_TABLE[[#This Row],[PROD ID]]</f>
        <v>3746 HIGH CLLE15</v>
      </c>
      <c r="AO646" s="1" t="str">
        <f t="shared" si="182"/>
        <v>RESUFLOR 3746 HIGH PERFORMANCE EPOXYCLASIC RED TILE159 GAL</v>
      </c>
      <c r="AP646" s="3">
        <f t="shared" si="183"/>
        <v>6920.76</v>
      </c>
      <c r="AQ646" s="1" t="str">
        <f t="shared" si="184"/>
        <v>159 GAL</v>
      </c>
      <c r="AS646" s="1" t="str">
        <f t="shared" si="185"/>
        <v>CLASIC RED TILE</v>
      </c>
      <c r="AY646" s="63" t="str">
        <f t="shared" si="186"/>
        <v>3746 HIGH CLLE15</v>
      </c>
      <c r="AZ646" s="63" t="str">
        <f t="shared" si="187"/>
        <v xml:space="preserve">3746 HIGH </v>
      </c>
      <c r="BA646" s="63" t="str">
        <f t="shared" si="188"/>
        <v>CLLE</v>
      </c>
      <c r="BB646" s="63" t="str">
        <f t="shared" si="189"/>
        <v>15</v>
      </c>
      <c r="BC646" s="135">
        <f t="shared" si="190"/>
        <v>6920.76</v>
      </c>
      <c r="BD646" s="62" t="s">
        <v>346</v>
      </c>
      <c r="BE646" s="55" t="s">
        <v>328</v>
      </c>
      <c r="BF646" s="55" t="s">
        <v>1041</v>
      </c>
      <c r="BG646" s="55" t="s">
        <v>311</v>
      </c>
    </row>
    <row r="647" spans="22:59" x14ac:dyDescent="0.35">
      <c r="V647" s="1" t="str">
        <v xml:space="preserve"> QUARTZNIKY25</v>
      </c>
      <c r="X647" s="1" t="str">
        <f t="shared" si="176"/>
        <v xml:space="preserve"> QUARTZANIL25</v>
      </c>
      <c r="Y647" s="1" t="str" cm="1">
        <f t="array" ref="Y647">IFERROR(VLOOKUP($X647,$AN:AO,COLUMN(AO:AO)-COLUMN($AN:$AN)+1,FALSE),"")</f>
        <v>HPF COLOR QUARTZANVIL25 MESH</v>
      </c>
      <c r="Z647" s="63" cm="1">
        <f t="array" ref="Z647">IFERROR(VLOOKUP($X647,$AN:AP,COLUMN(AP:AP)-COLUMN($AN:$AN)+1,FALSE),"")</f>
        <v>27.5</v>
      </c>
      <c r="AA647" s="1" t="str" cm="1">
        <f t="array" ref="AA647">IFERROR(VLOOKUP($X647,$AN:AQ,COLUMN(AQ:AQ)-COLUMN($AN:$AN)+1,FALSE),"")</f>
        <v>25 MESH</v>
      </c>
      <c r="AC647" s="1" t="str" cm="1">
        <f t="array" ref="AC647">IFERROR(VLOOKUP($X647,$AN:AS,COLUMN(AS:AS)-COLUMN($AN:$AN)+1,FALSE),"")</f>
        <v>ANVIL</v>
      </c>
      <c r="AD647" s="1" t="s">
        <v>19</v>
      </c>
      <c r="AF647" s="1">
        <f>Table1[[#This Row],[C:C]]*1.1</f>
        <v>0</v>
      </c>
      <c r="AI647" s="1">
        <f>IFERROR(VLOOKUP(X647,#REF!,8,FALSE),0)</f>
        <v>0</v>
      </c>
      <c r="AN647" s="1" t="str">
        <f>PROD_ID_TABLE[[#This Row],[PROD ID]]</f>
        <v>3746 HIGH CAEL15</v>
      </c>
      <c r="AO647" s="1" t="str">
        <f t="shared" si="182"/>
        <v>RESUFLOR 3746 HIGH PERFORMANCE EPOXYCARAMEL159 GAL</v>
      </c>
      <c r="AP647" s="3">
        <f t="shared" si="183"/>
        <v>6920.76</v>
      </c>
      <c r="AQ647" s="1" t="str">
        <f t="shared" si="184"/>
        <v>159 GAL</v>
      </c>
      <c r="AS647" s="1" t="str">
        <f t="shared" si="185"/>
        <v>CARAMEL</v>
      </c>
      <c r="AY647" s="63" t="str">
        <f t="shared" si="186"/>
        <v>3746 HIGH CAEL15</v>
      </c>
      <c r="AZ647" s="63" t="str">
        <f t="shared" si="187"/>
        <v xml:space="preserve">3746 HIGH </v>
      </c>
      <c r="BA647" s="63" t="str">
        <f t="shared" si="188"/>
        <v>CAEL</v>
      </c>
      <c r="BB647" s="63" t="str">
        <f t="shared" si="189"/>
        <v>15</v>
      </c>
      <c r="BC647" s="135">
        <f t="shared" si="190"/>
        <v>6920.76</v>
      </c>
      <c r="BD647" s="62" t="s">
        <v>346</v>
      </c>
      <c r="BE647" s="55" t="s">
        <v>329</v>
      </c>
      <c r="BF647" s="55" t="s">
        <v>1041</v>
      </c>
      <c r="BG647" s="55" t="s">
        <v>311</v>
      </c>
    </row>
    <row r="648" spans="22:59" x14ac:dyDescent="0.35">
      <c r="V648" s="1" t="str">
        <v xml:space="preserve"> QUARTZREOD25</v>
      </c>
      <c r="X648" s="1" t="str">
        <f t="shared" si="176"/>
        <v xml:space="preserve"> QUARTZAUCE25</v>
      </c>
      <c r="Y648" s="1" t="str" cm="1">
        <f t="array" ref="Y648">IFERROR(VLOOKUP($X648,$AN:AO,COLUMN(AO:AO)-COLUMN($AN:$AN)+1,FALSE),"")</f>
        <v>HPF COLOR QUARTZAUTUMN SPICE25 MESH</v>
      </c>
      <c r="Z648" s="63" cm="1">
        <f t="array" ref="Z648">IFERROR(VLOOKUP($X648,$AN:AP,COLUMN(AP:AP)-COLUMN($AN:$AN)+1,FALSE),"")</f>
        <v>27.5</v>
      </c>
      <c r="AA648" s="1" t="str" cm="1">
        <f t="array" ref="AA648">IFERROR(VLOOKUP($X648,$AN:AQ,COLUMN(AQ:AQ)-COLUMN($AN:$AN)+1,FALSE),"")</f>
        <v>25 MESH</v>
      </c>
      <c r="AC648" s="1" t="str" cm="1">
        <f t="array" ref="AC648">IFERROR(VLOOKUP($X648,$AN:AS,COLUMN(AS:AS)-COLUMN($AN:$AN)+1,FALSE),"")</f>
        <v>AUTUMN SPICE</v>
      </c>
      <c r="AD648" s="1" t="s">
        <v>19</v>
      </c>
      <c r="AF648" s="1">
        <f>Table1[[#This Row],[C:C]]*1.1</f>
        <v>0</v>
      </c>
      <c r="AI648" s="1">
        <f>IFERROR(VLOOKUP(X648,#REF!,8,FALSE),0)</f>
        <v>0</v>
      </c>
      <c r="AN648" s="1" t="str">
        <f>PROD_ID_TABLE[[#This Row],[PROD ID]]</f>
        <v>3746 HIGH ULSE15</v>
      </c>
      <c r="AO648" s="1" t="str">
        <f t="shared" si="182"/>
        <v>RESUFLOR 3746 HIGH PERFORMANCE EPOXYULTRA DEEP BASE159 GAL</v>
      </c>
      <c r="AP648" s="3">
        <f t="shared" si="183"/>
        <v>6920.76</v>
      </c>
      <c r="AQ648" s="1" t="str">
        <f t="shared" si="184"/>
        <v>159 GAL</v>
      </c>
      <c r="AS648" s="1" t="str">
        <f t="shared" si="185"/>
        <v>ULTRA DEEP BASE</v>
      </c>
      <c r="AY648" s="63" t="str">
        <f t="shared" si="186"/>
        <v>3746 HIGH ULSE15</v>
      </c>
      <c r="AZ648" s="63" t="str">
        <f t="shared" si="187"/>
        <v xml:space="preserve">3746 HIGH </v>
      </c>
      <c r="BA648" s="63" t="str">
        <f t="shared" si="188"/>
        <v>ULSE</v>
      </c>
      <c r="BB648" s="63" t="str">
        <f t="shared" si="189"/>
        <v>15</v>
      </c>
      <c r="BC648" s="135">
        <f t="shared" si="190"/>
        <v>6920.76</v>
      </c>
      <c r="BD648" s="62" t="s">
        <v>346</v>
      </c>
      <c r="BE648" s="55" t="s">
        <v>330</v>
      </c>
      <c r="BF648" s="55" t="s">
        <v>1041</v>
      </c>
      <c r="BG648" s="55" t="s">
        <v>311</v>
      </c>
    </row>
    <row r="649" spans="22:59" x14ac:dyDescent="0.35">
      <c r="V649" s="1" t="str">
        <v xml:space="preserve"> QUARTZSEPE25</v>
      </c>
      <c r="X649" s="1" t="str">
        <f t="shared" si="176"/>
        <v xml:space="preserve"> QUARTZBLE 25</v>
      </c>
      <c r="Y649" s="1" t="str" cm="1">
        <f t="array" ref="Y649">IFERROR(VLOOKUP($X649,$AN:AO,COLUMN(AO:AO)-COLUMN($AN:$AN)+1,FALSE),"")</f>
        <v>HPF COLOR QUARTZBLUE SLATE 25 MESH</v>
      </c>
      <c r="Z649" s="63" cm="1">
        <f t="array" ref="Z649">IFERROR(VLOOKUP($X649,$AN:AP,COLUMN(AP:AP)-COLUMN($AN:$AN)+1,FALSE),"")</f>
        <v>27.5</v>
      </c>
      <c r="AA649" s="1" t="str" cm="1">
        <f t="array" ref="AA649">IFERROR(VLOOKUP($X649,$AN:AQ,COLUMN(AQ:AQ)-COLUMN($AN:$AN)+1,FALSE),"")</f>
        <v>25 MESH</v>
      </c>
      <c r="AC649" s="1" t="str" cm="1">
        <f t="array" ref="AC649">IFERROR(VLOOKUP($X649,$AN:AS,COLUMN(AS:AS)-COLUMN($AN:$AN)+1,FALSE),"")</f>
        <v xml:space="preserve">BLUE SLATE </v>
      </c>
      <c r="AD649" s="1" t="s">
        <v>19</v>
      </c>
      <c r="AF649" s="1">
        <f>Table1[[#This Row],[C:C]]*1.1</f>
        <v>0</v>
      </c>
      <c r="AI649" s="1">
        <f>IFERROR(VLOOKUP(X649,#REF!,8,FALSE),0)</f>
        <v>0</v>
      </c>
      <c r="AN649" s="1" t="str">
        <f>PROD_ID_TABLE[[#This Row],[PROD ID]]</f>
        <v>3746 HIGH WHSE15</v>
      </c>
      <c r="AO649" s="1" t="str">
        <f t="shared" si="182"/>
        <v>RESUFLOR 3746 HIGH PERFORMANCE EPOXYWHITE TINT BASE159 GAL</v>
      </c>
      <c r="AP649" s="3">
        <f t="shared" si="183"/>
        <v>6920.76</v>
      </c>
      <c r="AQ649" s="1" t="str">
        <f t="shared" si="184"/>
        <v>159 GAL</v>
      </c>
      <c r="AS649" s="1" t="str">
        <f t="shared" si="185"/>
        <v>WHITE TINT BASE</v>
      </c>
      <c r="AY649" s="63" t="str">
        <f t="shared" si="186"/>
        <v>3746 HIGH WHSE15</v>
      </c>
      <c r="AZ649" s="63" t="str">
        <f t="shared" si="187"/>
        <v xml:space="preserve">3746 HIGH </v>
      </c>
      <c r="BA649" s="63" t="str">
        <f t="shared" si="188"/>
        <v>WHSE</v>
      </c>
      <c r="BB649" s="63" t="str">
        <f t="shared" si="189"/>
        <v>15</v>
      </c>
      <c r="BC649" s="135">
        <f t="shared" si="190"/>
        <v>6920.76</v>
      </c>
      <c r="BD649" s="62" t="s">
        <v>346</v>
      </c>
      <c r="BE649" s="55" t="s">
        <v>331</v>
      </c>
      <c r="BF649" s="55" t="s">
        <v>1041</v>
      </c>
      <c r="BG649" s="55" t="s">
        <v>311</v>
      </c>
    </row>
    <row r="650" spans="22:59" x14ac:dyDescent="0.35">
      <c r="V650" s="1" t="str">
        <v xml:space="preserve"> QUARTZWHER25</v>
      </c>
      <c r="X650" s="1" t="str">
        <f t="shared" si="176"/>
        <v xml:space="preserve"> QUARTZBRLE25</v>
      </c>
      <c r="Y650" s="1" t="str" cm="1">
        <f t="array" ref="Y650">IFERROR(VLOOKUP($X650,$AN:AO,COLUMN(AO:AO)-COLUMN($AN:$AN)+1,FALSE),"")</f>
        <v>HPF COLOR QUARTZBRINDLE25 MESH</v>
      </c>
      <c r="Z650" s="63" cm="1">
        <f t="array" ref="Z650">IFERROR(VLOOKUP($X650,$AN:AP,COLUMN(AP:AP)-COLUMN($AN:$AN)+1,FALSE),"")</f>
        <v>27.5</v>
      </c>
      <c r="AA650" s="1" t="str" cm="1">
        <f t="array" ref="AA650">IFERROR(VLOOKUP($X650,$AN:AQ,COLUMN(AQ:AQ)-COLUMN($AN:$AN)+1,FALSE),"")</f>
        <v>25 MESH</v>
      </c>
      <c r="AC650" s="1" t="str" cm="1">
        <f t="array" ref="AC650">IFERROR(VLOOKUP($X650,$AN:AS,COLUMN(AS:AS)-COLUMN($AN:$AN)+1,FALSE),"")</f>
        <v>BRINDLE</v>
      </c>
      <c r="AD650" s="1" t="s">
        <v>19</v>
      </c>
      <c r="AF650" s="1">
        <f>Table1[[#This Row],[C:C]]*1.1</f>
        <v>0</v>
      </c>
      <c r="AI650" s="1">
        <f>IFERROR(VLOOKUP(X650,#REF!,8,FALSE),0)</f>
        <v>0</v>
      </c>
      <c r="AN650" s="1" t="str">
        <f>PROD_ID_TABLE[[#This Row],[PROD ID]]</f>
        <v/>
      </c>
      <c r="AO650" s="1" t="str">
        <f t="shared" si="182"/>
        <v/>
      </c>
      <c r="AP650" s="3">
        <f t="shared" si="183"/>
        <v>0</v>
      </c>
      <c r="AQ650" s="1">
        <f t="shared" si="184"/>
        <v>0</v>
      </c>
      <c r="AS650" s="1">
        <f t="shared" si="185"/>
        <v>0</v>
      </c>
      <c r="AY650" s="63" t="str">
        <f t="shared" si="186"/>
        <v/>
      </c>
      <c r="AZ650" s="63" t="str">
        <f t="shared" si="187"/>
        <v/>
      </c>
      <c r="BA650" s="63" t="str">
        <f t="shared" si="188"/>
        <v/>
      </c>
      <c r="BB650" s="63" t="str">
        <f t="shared" si="189"/>
        <v/>
      </c>
      <c r="BC650" s="135">
        <f t="shared" si="190"/>
        <v>0</v>
      </c>
    </row>
    <row r="651" spans="22:59" x14ac:dyDescent="0.35">
      <c r="V651" s="1" t="str">
        <v xml:space="preserve"> QUARTZAMNO40</v>
      </c>
      <c r="X651" s="1" t="str">
        <f t="shared" si="176"/>
        <v xml:space="preserve"> QUARTZBRET25</v>
      </c>
      <c r="Y651" s="1" t="str" cm="1">
        <f t="array" ref="Y651">IFERROR(VLOOKUP($X651,$AN:AO,COLUMN(AO:AO)-COLUMN($AN:$AN)+1,FALSE),"")</f>
        <v>HPF COLOR QUARTZBRISKET25 MESH</v>
      </c>
      <c r="Z651" s="63" cm="1">
        <f t="array" ref="Z651">IFERROR(VLOOKUP($X651,$AN:AP,COLUMN(AP:AP)-COLUMN($AN:$AN)+1,FALSE),"")</f>
        <v>27.5</v>
      </c>
      <c r="AA651" s="1" t="str" cm="1">
        <f t="array" ref="AA651">IFERROR(VLOOKUP($X651,$AN:AQ,COLUMN(AQ:AQ)-COLUMN($AN:$AN)+1,FALSE),"")</f>
        <v>25 MESH</v>
      </c>
      <c r="AC651" s="1" t="str" cm="1">
        <f t="array" ref="AC651">IFERROR(VLOOKUP($X651,$AN:AS,COLUMN(AS:AS)-COLUMN($AN:$AN)+1,FALSE),"")</f>
        <v>BRISKET</v>
      </c>
      <c r="AD651" s="1" t="s">
        <v>19</v>
      </c>
      <c r="AF651" s="1">
        <f>Table1[[#This Row],[C:C]]*1.1</f>
        <v>0</v>
      </c>
      <c r="AI651" s="1">
        <f>IFERROR(VLOOKUP(X651,#REF!,8,FALSE),0)</f>
        <v>0</v>
      </c>
      <c r="AN651" s="1" t="e">
        <f>PROD_ID_TABLE[[#This Row],[PROD ID]]</f>
        <v>#VALUE!</v>
      </c>
      <c r="AO651" s="1" t="str">
        <f t="shared" si="182"/>
        <v/>
      </c>
      <c r="AP651" s="3">
        <f t="shared" si="183"/>
        <v>0</v>
      </c>
      <c r="AQ651" s="1">
        <f t="shared" si="184"/>
        <v>0</v>
      </c>
      <c r="AS651" s="1">
        <f t="shared" si="185"/>
        <v>0</v>
      </c>
    </row>
    <row r="652" spans="22:59" x14ac:dyDescent="0.35">
      <c r="V652" s="1" t="str">
        <v xml:space="preserve"> QUARTZANIL40</v>
      </c>
      <c r="X652" s="1" t="str">
        <f t="shared" si="176"/>
        <v xml:space="preserve"> QUARTZCAAR25</v>
      </c>
      <c r="Y652" s="1" t="str" cm="1">
        <f t="array" ref="Y652">IFERROR(VLOOKUP($X652,$AN:AO,COLUMN(AO:AO)-COLUMN($AN:$AN)+1,FALSE),"")</f>
        <v>HPF COLOR QUARTZCATERPILLAR25 MESH</v>
      </c>
      <c r="Z652" s="63" cm="1">
        <f t="array" ref="Z652">IFERROR(VLOOKUP($X652,$AN:AP,COLUMN(AP:AP)-COLUMN($AN:$AN)+1,FALSE),"")</f>
        <v>27.5</v>
      </c>
      <c r="AA652" s="1" t="str" cm="1">
        <f t="array" ref="AA652">IFERROR(VLOOKUP($X652,$AN:AQ,COLUMN(AQ:AQ)-COLUMN($AN:$AN)+1,FALSE),"")</f>
        <v>25 MESH</v>
      </c>
      <c r="AC652" s="1" t="str" cm="1">
        <f t="array" ref="AC652">IFERROR(VLOOKUP($X652,$AN:AS,COLUMN(AS:AS)-COLUMN($AN:$AN)+1,FALSE),"")</f>
        <v>CATERPILLAR</v>
      </c>
      <c r="AD652" s="1" t="s">
        <v>19</v>
      </c>
      <c r="AF652" s="1">
        <f>Table1[[#This Row],[C:C]]*1.1</f>
        <v>0</v>
      </c>
      <c r="AI652" s="1">
        <f>IFERROR(VLOOKUP(X652,#REF!,8,FALSE),0)</f>
        <v>0</v>
      </c>
      <c r="AN652" s="1" t="e">
        <f>PROD_ID_TABLE[[#This Row],[PROD ID]]</f>
        <v>#VALUE!</v>
      </c>
      <c r="AO652" s="1" t="str">
        <f t="shared" si="182"/>
        <v/>
      </c>
      <c r="AP652" s="3">
        <f t="shared" si="183"/>
        <v>0</v>
      </c>
      <c r="AQ652" s="1">
        <f t="shared" si="184"/>
        <v>0</v>
      </c>
      <c r="AS652" s="1">
        <f t="shared" si="185"/>
        <v>0</v>
      </c>
    </row>
    <row r="653" spans="22:59" x14ac:dyDescent="0.35">
      <c r="V653" s="1" t="str">
        <v xml:space="preserve"> QUARTZAUCE40</v>
      </c>
      <c r="X653" s="1" t="str">
        <f t="shared" ref="X653:X716" si="191">V641</f>
        <v xml:space="preserve"> QUARTZCUND25</v>
      </c>
      <c r="Y653" s="1" t="str" cm="1">
        <f t="array" ref="Y653">IFERROR(VLOOKUP($X653,$AN:AO,COLUMN(AO:AO)-COLUMN($AN:$AN)+1,FALSE),"")</f>
        <v>HPF COLOR QUARTZCUSTOM BLEND25 MESH</v>
      </c>
      <c r="Z653" s="63" cm="1">
        <f t="array" ref="Z653">IFERROR(VLOOKUP($X653,$AN:AP,COLUMN(AP:AP)-COLUMN($AN:$AN)+1,FALSE),"")</f>
        <v>27.5</v>
      </c>
      <c r="AA653" s="1" t="str" cm="1">
        <f t="array" ref="AA653">IFERROR(VLOOKUP($X653,$AN:AQ,COLUMN(AQ:AQ)-COLUMN($AN:$AN)+1,FALSE),"")</f>
        <v>25 MESH</v>
      </c>
      <c r="AC653" s="1" t="str" cm="1">
        <f t="array" ref="AC653">IFERROR(VLOOKUP($X653,$AN:AS,COLUMN(AS:AS)-COLUMN($AN:$AN)+1,FALSE),"")</f>
        <v>CUSTOM BLEND</v>
      </c>
      <c r="AD653" s="1" t="s">
        <v>19</v>
      </c>
      <c r="AF653" s="1">
        <f>Table1[[#This Row],[C:C]]*1.1</f>
        <v>0</v>
      </c>
      <c r="AI653" s="1">
        <f>IFERROR(VLOOKUP(X653,#REF!,8,FALSE),0)</f>
        <v>0</v>
      </c>
    </row>
    <row r="654" spans="22:59" x14ac:dyDescent="0.35">
      <c r="V654" s="1" t="str">
        <v xml:space="preserve"> QUARTZBLE 40</v>
      </c>
      <c r="X654" s="1" t="str">
        <f t="shared" si="191"/>
        <v xml:space="preserve"> QUARTZGRND25</v>
      </c>
      <c r="Y654" s="1" t="str" cm="1">
        <f t="array" ref="Y654">IFERROR(VLOOKUP($X654,$AN:AO,COLUMN(AO:AO)-COLUMN($AN:$AN)+1,FALSE),"")</f>
        <v>HPF COLOR QUARTZGRASSLAND25 MESH</v>
      </c>
      <c r="Z654" s="63" cm="1">
        <f t="array" ref="Z654">IFERROR(VLOOKUP($X654,$AN:AP,COLUMN(AP:AP)-COLUMN($AN:$AN)+1,FALSE),"")</f>
        <v>27.5</v>
      </c>
      <c r="AA654" s="1" t="str" cm="1">
        <f t="array" ref="AA654">IFERROR(VLOOKUP($X654,$AN:AQ,COLUMN(AQ:AQ)-COLUMN($AN:$AN)+1,FALSE),"")</f>
        <v>25 MESH</v>
      </c>
      <c r="AC654" s="1" t="str" cm="1">
        <f t="array" ref="AC654">IFERROR(VLOOKUP($X654,$AN:AS,COLUMN(AS:AS)-COLUMN($AN:$AN)+1,FALSE),"")</f>
        <v>GRASSLAND</v>
      </c>
      <c r="AD654" s="1" t="s">
        <v>19</v>
      </c>
      <c r="AF654" s="1">
        <f>Table1[[#This Row],[C:C]]*1.1</f>
        <v>0</v>
      </c>
      <c r="AI654" s="1">
        <f>IFERROR(VLOOKUP(X654,#REF!,8,FALSE),0)</f>
        <v>0</v>
      </c>
    </row>
    <row r="655" spans="22:59" x14ac:dyDescent="0.35">
      <c r="V655" s="1" t="str">
        <v xml:space="preserve"> QUARTZBRLE40</v>
      </c>
      <c r="X655" s="1" t="str">
        <f t="shared" si="191"/>
        <v xml:space="preserve"> QUARTZLAON25</v>
      </c>
      <c r="Y655" s="1" t="str" cm="1">
        <f t="array" ref="Y655">IFERROR(VLOOKUP($X655,$AN:AO,COLUMN(AO:AO)-COLUMN($AN:$AN)+1,FALSE),"")</f>
        <v>HPF COLOR QUARTZLAGOON25 MESH</v>
      </c>
      <c r="Z655" s="63" cm="1">
        <f t="array" ref="Z655">IFERROR(VLOOKUP($X655,$AN:AP,COLUMN(AP:AP)-COLUMN($AN:$AN)+1,FALSE),"")</f>
        <v>27.5</v>
      </c>
      <c r="AA655" s="1" t="str" cm="1">
        <f t="array" ref="AA655">IFERROR(VLOOKUP($X655,$AN:AQ,COLUMN(AQ:AQ)-COLUMN($AN:$AN)+1,FALSE),"")</f>
        <v>25 MESH</v>
      </c>
      <c r="AC655" s="1" t="str" cm="1">
        <f t="array" ref="AC655">IFERROR(VLOOKUP($X655,$AN:AS,COLUMN(AS:AS)-COLUMN($AN:$AN)+1,FALSE),"")</f>
        <v>LAGOON</v>
      </c>
      <c r="AD655" s="1" t="s">
        <v>19</v>
      </c>
      <c r="AF655" s="1">
        <f>Table1[[#This Row],[C:C]]*1.1</f>
        <v>0</v>
      </c>
      <c r="AI655" s="1">
        <f>IFERROR(VLOOKUP(X655,#REF!,8,FALSE),0)</f>
        <v>0</v>
      </c>
    </row>
    <row r="656" spans="22:59" x14ac:dyDescent="0.35">
      <c r="V656" s="1" t="str">
        <v xml:space="preserve"> QUARTZBRET40</v>
      </c>
      <c r="X656" s="1" t="str">
        <f t="shared" si="191"/>
        <v xml:space="preserve"> QUARTZMOVE25</v>
      </c>
      <c r="Y656" s="1" t="str" cm="1">
        <f t="array" ref="Y656">IFERROR(VLOOKUP($X656,$AN:AO,COLUMN(AO:AO)-COLUMN($AN:$AN)+1,FALSE),"")</f>
        <v>HPF COLOR QUARTZMOJAVE25 MESH</v>
      </c>
      <c r="Z656" s="63" cm="1">
        <f t="array" ref="Z656">IFERROR(VLOOKUP($X656,$AN:AP,COLUMN(AP:AP)-COLUMN($AN:$AN)+1,FALSE),"")</f>
        <v>27.5</v>
      </c>
      <c r="AA656" s="1" t="str" cm="1">
        <f t="array" ref="AA656">IFERROR(VLOOKUP($X656,$AN:AQ,COLUMN(AQ:AQ)-COLUMN($AN:$AN)+1,FALSE),"")</f>
        <v>25 MESH</v>
      </c>
      <c r="AC656" s="1" t="str" cm="1">
        <f t="array" ref="AC656">IFERROR(VLOOKUP($X656,$AN:AS,COLUMN(AS:AS)-COLUMN($AN:$AN)+1,FALSE),"")</f>
        <v>MOJAVE</v>
      </c>
      <c r="AD656" s="1" t="s">
        <v>19</v>
      </c>
      <c r="AF656" s="1">
        <f>Table1[[#This Row],[C:C]]*1.1</f>
        <v>0</v>
      </c>
      <c r="AI656" s="1">
        <f>IFERROR(VLOOKUP(X656,#REF!,8,FALSE),0)</f>
        <v>0</v>
      </c>
    </row>
    <row r="657" spans="22:35" x14ac:dyDescent="0.35">
      <c r="V657" s="1" t="str">
        <v xml:space="preserve"> QUARTZCAAR40</v>
      </c>
      <c r="X657" s="1" t="str">
        <f t="shared" si="191"/>
        <v xml:space="preserve"> QUARTZMUIE25</v>
      </c>
      <c r="Y657" s="1" t="str" cm="1">
        <f t="array" ref="Y657">IFERROR(VLOOKUP($X657,$AN:AO,COLUMN(AO:AO)-COLUMN($AN:$AN)+1,FALSE),"")</f>
        <v>HPF COLOR QUARTZMUD PIE25 MESH</v>
      </c>
      <c r="Z657" s="63" cm="1">
        <f t="array" ref="Z657">IFERROR(VLOOKUP($X657,$AN:AP,COLUMN(AP:AP)-COLUMN($AN:$AN)+1,FALSE),"")</f>
        <v>27.5</v>
      </c>
      <c r="AA657" s="1" t="str" cm="1">
        <f t="array" ref="AA657">IFERROR(VLOOKUP($X657,$AN:AQ,COLUMN(AQ:AQ)-COLUMN($AN:$AN)+1,FALSE),"")</f>
        <v>25 MESH</v>
      </c>
      <c r="AC657" s="1" t="str" cm="1">
        <f t="array" ref="AC657">IFERROR(VLOOKUP($X657,$AN:AS,COLUMN(AS:AS)-COLUMN($AN:$AN)+1,FALSE),"")</f>
        <v>MUD PIE</v>
      </c>
      <c r="AD657" s="1" t="s">
        <v>19</v>
      </c>
      <c r="AF657" s="1">
        <f>Table1[[#This Row],[C:C]]*1.1</f>
        <v>0</v>
      </c>
      <c r="AI657" s="1">
        <f>IFERROR(VLOOKUP(X657,#REF!,8,FALSE),0)</f>
        <v>0</v>
      </c>
    </row>
    <row r="658" spans="22:35" x14ac:dyDescent="0.35">
      <c r="V658" s="1" t="str">
        <v xml:space="preserve"> QUARTZCUND40</v>
      </c>
      <c r="X658" s="1" t="str">
        <f t="shared" si="191"/>
        <v xml:space="preserve"> QUARTZNETE25</v>
      </c>
      <c r="Y658" s="1" t="str" cm="1">
        <f t="array" ref="Y658">IFERROR(VLOOKUP($X658,$AN:AO,COLUMN(AO:AO)-COLUMN($AN:$AN)+1,FALSE),"")</f>
        <v>HPF COLOR QUARTZNEW GRANITE25 MESH</v>
      </c>
      <c r="Z658" s="63" cm="1">
        <f t="array" ref="Z658">IFERROR(VLOOKUP($X658,$AN:AP,COLUMN(AP:AP)-COLUMN($AN:$AN)+1,FALSE),"")</f>
        <v>27.5</v>
      </c>
      <c r="AA658" s="1" t="str" cm="1">
        <f t="array" ref="AA658">IFERROR(VLOOKUP($X658,$AN:AQ,COLUMN(AQ:AQ)-COLUMN($AN:$AN)+1,FALSE),"")</f>
        <v>25 MESH</v>
      </c>
      <c r="AC658" s="1" t="str" cm="1">
        <f t="array" ref="AC658">IFERROR(VLOOKUP($X658,$AN:AS,COLUMN(AS:AS)-COLUMN($AN:$AN)+1,FALSE),"")</f>
        <v>NEW GRANITE</v>
      </c>
      <c r="AD658" s="1" t="s">
        <v>19</v>
      </c>
      <c r="AF658" s="1">
        <f>Table1[[#This Row],[C:C]]*1.1</f>
        <v>0</v>
      </c>
      <c r="AI658" s="1">
        <f>IFERROR(VLOOKUP(X658,#REF!,8,FALSE),0)</f>
        <v>0</v>
      </c>
    </row>
    <row r="659" spans="22:35" x14ac:dyDescent="0.35">
      <c r="V659" s="1" t="str">
        <v xml:space="preserve"> QUARTZGRND40</v>
      </c>
      <c r="X659" s="1" t="str">
        <f t="shared" si="191"/>
        <v xml:space="preserve"> QUARTZNIKY25</v>
      </c>
      <c r="Y659" s="1" t="str" cm="1">
        <f t="array" ref="Y659">IFERROR(VLOOKUP($X659,$AN:AO,COLUMN(AO:AO)-COLUMN($AN:$AN)+1,FALSE),"")</f>
        <v>HPF COLOR QUARTZNIGHT SKY25 MESH</v>
      </c>
      <c r="Z659" s="63" cm="1">
        <f t="array" ref="Z659">IFERROR(VLOOKUP($X659,$AN:AP,COLUMN(AP:AP)-COLUMN($AN:$AN)+1,FALSE),"")</f>
        <v>27.5</v>
      </c>
      <c r="AA659" s="1" t="str" cm="1">
        <f t="array" ref="AA659">IFERROR(VLOOKUP($X659,$AN:AQ,COLUMN(AQ:AQ)-COLUMN($AN:$AN)+1,FALSE),"")</f>
        <v>25 MESH</v>
      </c>
      <c r="AC659" s="1" t="str" cm="1">
        <f t="array" ref="AC659">IFERROR(VLOOKUP($X659,$AN:AS,COLUMN(AS:AS)-COLUMN($AN:$AN)+1,FALSE),"")</f>
        <v>NIGHT SKY</v>
      </c>
      <c r="AD659" s="1" t="s">
        <v>19</v>
      </c>
      <c r="AF659" s="1">
        <f>Table1[[#This Row],[C:C]]*1.1</f>
        <v>0</v>
      </c>
      <c r="AI659" s="1">
        <f>IFERROR(VLOOKUP(X659,#REF!,8,FALSE),0)</f>
        <v>0</v>
      </c>
    </row>
    <row r="660" spans="22:35" x14ac:dyDescent="0.35">
      <c r="V660" s="1" t="str">
        <v xml:space="preserve"> QUARTZLAON40</v>
      </c>
      <c r="X660" s="1" t="str">
        <f t="shared" si="191"/>
        <v xml:space="preserve"> QUARTZREOD25</v>
      </c>
      <c r="Y660" s="1" t="str" cm="1">
        <f t="array" ref="Y660">IFERROR(VLOOKUP($X660,$AN:AO,COLUMN(AO:AO)-COLUMN($AN:$AN)+1,FALSE),"")</f>
        <v>HPF COLOR QUARTZREDWOOD25 MESH</v>
      </c>
      <c r="Z660" s="63" cm="1">
        <f t="array" ref="Z660">IFERROR(VLOOKUP($X660,$AN:AP,COLUMN(AP:AP)-COLUMN($AN:$AN)+1,FALSE),"")</f>
        <v>27.5</v>
      </c>
      <c r="AA660" s="1" t="str" cm="1">
        <f t="array" ref="AA660">IFERROR(VLOOKUP($X660,$AN:AQ,COLUMN(AQ:AQ)-COLUMN($AN:$AN)+1,FALSE),"")</f>
        <v>25 MESH</v>
      </c>
      <c r="AC660" s="1" t="str" cm="1">
        <f t="array" ref="AC660">IFERROR(VLOOKUP($X660,$AN:AS,COLUMN(AS:AS)-COLUMN($AN:$AN)+1,FALSE),"")</f>
        <v>REDWOOD</v>
      </c>
      <c r="AD660" s="1" t="s">
        <v>19</v>
      </c>
      <c r="AF660" s="1">
        <f>Table1[[#This Row],[C:C]]*1.1</f>
        <v>0</v>
      </c>
      <c r="AI660" s="1">
        <f>IFERROR(VLOOKUP(X660,#REF!,8,FALSE),0)</f>
        <v>0</v>
      </c>
    </row>
    <row r="661" spans="22:35" x14ac:dyDescent="0.35">
      <c r="V661" s="1" t="str">
        <v xml:space="preserve"> QUARTZMOVE40</v>
      </c>
      <c r="X661" s="1" t="str">
        <f t="shared" si="191"/>
        <v xml:space="preserve"> QUARTZSEPE25</v>
      </c>
      <c r="Y661" s="1" t="str" cm="1">
        <f t="array" ref="Y661">IFERROR(VLOOKUP($X661,$AN:AO,COLUMN(AO:AO)-COLUMN($AN:$AN)+1,FALSE),"")</f>
        <v>HPF COLOR QUARTZSEASCAPE25 MESH</v>
      </c>
      <c r="Z661" s="63" cm="1">
        <f t="array" ref="Z661">IFERROR(VLOOKUP($X661,$AN:AP,COLUMN(AP:AP)-COLUMN($AN:$AN)+1,FALSE),"")</f>
        <v>27.5</v>
      </c>
      <c r="AA661" s="1" t="str" cm="1">
        <f t="array" ref="AA661">IFERROR(VLOOKUP($X661,$AN:AQ,COLUMN(AQ:AQ)-COLUMN($AN:$AN)+1,FALSE),"")</f>
        <v>25 MESH</v>
      </c>
      <c r="AC661" s="1" t="str" cm="1">
        <f t="array" ref="AC661">IFERROR(VLOOKUP($X661,$AN:AS,COLUMN(AS:AS)-COLUMN($AN:$AN)+1,FALSE),"")</f>
        <v>SEASCAPE</v>
      </c>
      <c r="AD661" s="1" t="s">
        <v>19</v>
      </c>
      <c r="AF661" s="1">
        <f>Table1[[#This Row],[C:C]]*1.1</f>
        <v>0</v>
      </c>
      <c r="AI661" s="1">
        <f>IFERROR(VLOOKUP(X661,#REF!,8,FALSE),0)</f>
        <v>0</v>
      </c>
    </row>
    <row r="662" spans="22:35" x14ac:dyDescent="0.35">
      <c r="V662" s="1" t="str">
        <v xml:space="preserve"> QUARTZMUIE40</v>
      </c>
      <c r="X662" s="1" t="str">
        <f t="shared" si="191"/>
        <v xml:space="preserve"> QUARTZWHER25</v>
      </c>
      <c r="Y662" s="1" t="str" cm="1">
        <f t="array" ref="Y662">IFERROR(VLOOKUP($X662,$AN:AO,COLUMN(AO:AO)-COLUMN($AN:$AN)+1,FALSE),"")</f>
        <v>HPF COLOR QUARTZWHITE PEPPER25 MESH</v>
      </c>
      <c r="Z662" s="63" cm="1">
        <f t="array" ref="Z662">IFERROR(VLOOKUP($X662,$AN:AP,COLUMN(AP:AP)-COLUMN($AN:$AN)+1,FALSE),"")</f>
        <v>27.5</v>
      </c>
      <c r="AA662" s="1" t="str" cm="1">
        <f t="array" ref="AA662">IFERROR(VLOOKUP($X662,$AN:AQ,COLUMN(AQ:AQ)-COLUMN($AN:$AN)+1,FALSE),"")</f>
        <v>25 MESH</v>
      </c>
      <c r="AC662" s="1" t="str" cm="1">
        <f t="array" ref="AC662">IFERROR(VLOOKUP($X662,$AN:AS,COLUMN(AS:AS)-COLUMN($AN:$AN)+1,FALSE),"")</f>
        <v>WHITE PEPPER</v>
      </c>
      <c r="AD662" s="1" t="s">
        <v>19</v>
      </c>
      <c r="AF662" s="1">
        <f>Table1[[#This Row],[C:C]]*1.1</f>
        <v>0</v>
      </c>
      <c r="AI662" s="1">
        <f>IFERROR(VLOOKUP(X662,#REF!,8,FALSE),0)</f>
        <v>0</v>
      </c>
    </row>
    <row r="663" spans="22:35" x14ac:dyDescent="0.35">
      <c r="V663" s="1" t="str">
        <v xml:space="preserve"> QUARTZNETE40</v>
      </c>
      <c r="X663" s="1" t="str">
        <f t="shared" si="191"/>
        <v xml:space="preserve"> QUARTZAMNO40</v>
      </c>
      <c r="Y663" s="1" t="str" cm="1">
        <f t="array" ref="Y663">IFERROR(VLOOKUP($X663,$AN:AO,COLUMN(AO:AO)-COLUMN($AN:$AN)+1,FALSE),"")</f>
        <v>HPF COLOR QUARTZAMERICANO40 MESH</v>
      </c>
      <c r="Z663" s="63" cm="1">
        <f t="array" ref="Z663">IFERROR(VLOOKUP($X663,$AN:AP,COLUMN(AP:AP)-COLUMN($AN:$AN)+1,FALSE),"")</f>
        <v>27.5</v>
      </c>
      <c r="AA663" s="1" t="str" cm="1">
        <f t="array" ref="AA663">IFERROR(VLOOKUP($X663,$AN:AQ,COLUMN(AQ:AQ)-COLUMN($AN:$AN)+1,FALSE),"")</f>
        <v>40 MESH</v>
      </c>
      <c r="AC663" s="1" t="str" cm="1">
        <f t="array" ref="AC663">IFERROR(VLOOKUP($X663,$AN:AS,COLUMN(AS:AS)-COLUMN($AN:$AN)+1,FALSE),"")</f>
        <v>AMERICANO</v>
      </c>
      <c r="AD663" s="1" t="s">
        <v>19</v>
      </c>
      <c r="AF663" s="1">
        <f>Table1[[#This Row],[C:C]]*1.1</f>
        <v>0</v>
      </c>
      <c r="AI663" s="1">
        <f>IFERROR(VLOOKUP(X663,#REF!,8,FALSE),0)</f>
        <v>0</v>
      </c>
    </row>
    <row r="664" spans="22:35" x14ac:dyDescent="0.35">
      <c r="V664" s="1" t="str">
        <v xml:space="preserve"> QUARTZNIKY40</v>
      </c>
      <c r="X664" s="1" t="str">
        <f t="shared" si="191"/>
        <v xml:space="preserve"> QUARTZANIL40</v>
      </c>
      <c r="Y664" s="1" t="str" cm="1">
        <f t="array" ref="Y664">IFERROR(VLOOKUP($X664,$AN:AO,COLUMN(AO:AO)-COLUMN($AN:$AN)+1,FALSE),"")</f>
        <v>HPF COLOR QUARTZANVIL40 MESH</v>
      </c>
      <c r="Z664" s="63" cm="1">
        <f t="array" ref="Z664">IFERROR(VLOOKUP($X664,$AN:AP,COLUMN(AP:AP)-COLUMN($AN:$AN)+1,FALSE),"")</f>
        <v>27.5</v>
      </c>
      <c r="AA664" s="1" t="str" cm="1">
        <f t="array" ref="AA664">IFERROR(VLOOKUP($X664,$AN:AQ,COLUMN(AQ:AQ)-COLUMN($AN:$AN)+1,FALSE),"")</f>
        <v>40 MESH</v>
      </c>
      <c r="AC664" s="1" t="str" cm="1">
        <f t="array" ref="AC664">IFERROR(VLOOKUP($X664,$AN:AS,COLUMN(AS:AS)-COLUMN($AN:$AN)+1,FALSE),"")</f>
        <v>ANVIL</v>
      </c>
      <c r="AD664" s="1" t="s">
        <v>19</v>
      </c>
      <c r="AF664" s="1">
        <f>Table1[[#This Row],[C:C]]*1.1</f>
        <v>0</v>
      </c>
      <c r="AI664" s="1">
        <f>IFERROR(VLOOKUP(X664,#REF!,8,FALSE),0)</f>
        <v>0</v>
      </c>
    </row>
    <row r="665" spans="22:35" x14ac:dyDescent="0.35">
      <c r="V665" s="1" t="str">
        <v xml:space="preserve"> QUARTZREOD40</v>
      </c>
      <c r="X665" s="1" t="str">
        <f t="shared" si="191"/>
        <v xml:space="preserve"> QUARTZAUCE40</v>
      </c>
      <c r="Y665" s="1" t="str" cm="1">
        <f t="array" ref="Y665">IFERROR(VLOOKUP($X665,$AN:AO,COLUMN(AO:AO)-COLUMN($AN:$AN)+1,FALSE),"")</f>
        <v>HPF COLOR QUARTZAUTUMN SPICE40 MESH</v>
      </c>
      <c r="Z665" s="63" cm="1">
        <f t="array" ref="Z665">IFERROR(VLOOKUP($X665,$AN:AP,COLUMN(AP:AP)-COLUMN($AN:$AN)+1,FALSE),"")</f>
        <v>27.5</v>
      </c>
      <c r="AA665" s="1" t="str" cm="1">
        <f t="array" ref="AA665">IFERROR(VLOOKUP($X665,$AN:AQ,COLUMN(AQ:AQ)-COLUMN($AN:$AN)+1,FALSE),"")</f>
        <v>40 MESH</v>
      </c>
      <c r="AC665" s="1" t="str" cm="1">
        <f t="array" ref="AC665">IFERROR(VLOOKUP($X665,$AN:AS,COLUMN(AS:AS)-COLUMN($AN:$AN)+1,FALSE),"")</f>
        <v>AUTUMN SPICE</v>
      </c>
      <c r="AD665" s="1" t="s">
        <v>19</v>
      </c>
      <c r="AF665" s="1">
        <f>Table1[[#This Row],[C:C]]*1.1</f>
        <v>0</v>
      </c>
      <c r="AI665" s="1">
        <f>IFERROR(VLOOKUP(X665,#REF!,8,FALSE),0)</f>
        <v>0</v>
      </c>
    </row>
    <row r="666" spans="22:35" x14ac:dyDescent="0.35">
      <c r="V666" s="1" t="str">
        <v xml:space="preserve"> QUARTZSEPE40</v>
      </c>
      <c r="X666" s="1" t="str">
        <f t="shared" si="191"/>
        <v xml:space="preserve"> QUARTZBLE 40</v>
      </c>
      <c r="Y666" s="1" t="str" cm="1">
        <f t="array" ref="Y666">IFERROR(VLOOKUP($X666,$AN:AO,COLUMN(AO:AO)-COLUMN($AN:$AN)+1,FALSE),"")</f>
        <v>HPF COLOR QUARTZBLUE SLATE 40 MESH</v>
      </c>
      <c r="Z666" s="63" cm="1">
        <f t="array" ref="Z666">IFERROR(VLOOKUP($X666,$AN:AP,COLUMN(AP:AP)-COLUMN($AN:$AN)+1,FALSE),"")</f>
        <v>27.5</v>
      </c>
      <c r="AA666" s="1" t="str" cm="1">
        <f t="array" ref="AA666">IFERROR(VLOOKUP($X666,$AN:AQ,COLUMN(AQ:AQ)-COLUMN($AN:$AN)+1,FALSE),"")</f>
        <v>40 MESH</v>
      </c>
      <c r="AC666" s="1" t="str" cm="1">
        <f t="array" ref="AC666">IFERROR(VLOOKUP($X666,$AN:AS,COLUMN(AS:AS)-COLUMN($AN:$AN)+1,FALSE),"")</f>
        <v xml:space="preserve">BLUE SLATE </v>
      </c>
      <c r="AD666" s="1" t="s">
        <v>19</v>
      </c>
      <c r="AF666" s="1">
        <f>Table1[[#This Row],[C:C]]*1.1</f>
        <v>0</v>
      </c>
      <c r="AI666" s="1">
        <f>IFERROR(VLOOKUP(X666,#REF!,8,FALSE),0)</f>
        <v>0</v>
      </c>
    </row>
    <row r="667" spans="22:35" x14ac:dyDescent="0.35">
      <c r="V667" s="1" t="str">
        <v xml:space="preserve"> QUARTZWHER40</v>
      </c>
      <c r="X667" s="1" t="str">
        <f t="shared" si="191"/>
        <v xml:space="preserve"> QUARTZBRLE40</v>
      </c>
      <c r="Y667" s="1" t="str" cm="1">
        <f t="array" ref="Y667">IFERROR(VLOOKUP($X667,$AN:AO,COLUMN(AO:AO)-COLUMN($AN:$AN)+1,FALSE),"")</f>
        <v>HPF COLOR QUARTZBRINDLE40 MESH</v>
      </c>
      <c r="Z667" s="63" cm="1">
        <f t="array" ref="Z667">IFERROR(VLOOKUP($X667,$AN:AP,COLUMN(AP:AP)-COLUMN($AN:$AN)+1,FALSE),"")</f>
        <v>27.5</v>
      </c>
      <c r="AA667" s="1" t="str" cm="1">
        <f t="array" ref="AA667">IFERROR(VLOOKUP($X667,$AN:AQ,COLUMN(AQ:AQ)-COLUMN($AN:$AN)+1,FALSE),"")</f>
        <v>40 MESH</v>
      </c>
      <c r="AC667" s="1" t="str" cm="1">
        <f t="array" ref="AC667">IFERROR(VLOOKUP($X667,$AN:AS,COLUMN(AS:AS)-COLUMN($AN:$AN)+1,FALSE),"")</f>
        <v>BRINDLE</v>
      </c>
      <c r="AD667" s="1" t="s">
        <v>19</v>
      </c>
      <c r="AF667" s="1">
        <f>Table1[[#This Row],[C:C]]*1.1</f>
        <v>0</v>
      </c>
      <c r="AI667" s="1">
        <f>IFERROR(VLOOKUP(X667,#REF!,8,FALSE),0)</f>
        <v>0</v>
      </c>
    </row>
    <row r="668" spans="22:35" x14ac:dyDescent="0.35">
      <c r="V668" s="1" t="str">
        <v>CO FLAKE  AGVE40</v>
      </c>
      <c r="X668" s="1" t="str">
        <f t="shared" si="191"/>
        <v xml:space="preserve"> QUARTZBRET40</v>
      </c>
      <c r="Y668" s="1" t="str" cm="1">
        <f t="array" ref="Y668">IFERROR(VLOOKUP($X668,$AN:AO,COLUMN(AO:AO)-COLUMN($AN:$AN)+1,FALSE),"")</f>
        <v>HPF COLOR QUARTZBRISKET40 MESH</v>
      </c>
      <c r="Z668" s="63" cm="1">
        <f t="array" ref="Z668">IFERROR(VLOOKUP($X668,$AN:AP,COLUMN(AP:AP)-COLUMN($AN:$AN)+1,FALSE),"")</f>
        <v>27.5</v>
      </c>
      <c r="AA668" s="1" t="str" cm="1">
        <f t="array" ref="AA668">IFERROR(VLOOKUP($X668,$AN:AQ,COLUMN(AQ:AQ)-COLUMN($AN:$AN)+1,FALSE),"")</f>
        <v>40 MESH</v>
      </c>
      <c r="AC668" s="1" t="str" cm="1">
        <f t="array" ref="AC668">IFERROR(VLOOKUP($X668,$AN:AS,COLUMN(AS:AS)-COLUMN($AN:$AN)+1,FALSE),"")</f>
        <v>BRISKET</v>
      </c>
      <c r="AD668" s="1" t="s">
        <v>19</v>
      </c>
      <c r="AF668" s="1">
        <f>Table1[[#This Row],[C:C]]*1.1</f>
        <v>0</v>
      </c>
      <c r="AI668" s="1">
        <f>IFERROR(VLOOKUP(X668,#REF!,8,FALSE),0)</f>
        <v>0</v>
      </c>
    </row>
    <row r="669" spans="22:35" x14ac:dyDescent="0.35">
      <c r="V669" s="1" t="str">
        <v>CO FLAKE  ALLK40</v>
      </c>
      <c r="X669" s="1" t="str">
        <f t="shared" si="191"/>
        <v xml:space="preserve"> QUARTZCAAR40</v>
      </c>
      <c r="Y669" s="1" t="str" cm="1">
        <f t="array" ref="Y669">IFERROR(VLOOKUP($X669,$AN:AO,COLUMN(AO:AO)-COLUMN($AN:$AN)+1,FALSE),"")</f>
        <v>HPF COLOR QUARTZCATERPILLAR40 MESH</v>
      </c>
      <c r="Z669" s="63" cm="1">
        <f t="array" ref="Z669">IFERROR(VLOOKUP($X669,$AN:AP,COLUMN(AP:AP)-COLUMN($AN:$AN)+1,FALSE),"")</f>
        <v>27.5</v>
      </c>
      <c r="AA669" s="1" t="str" cm="1">
        <f t="array" ref="AA669">IFERROR(VLOOKUP($X669,$AN:AQ,COLUMN(AQ:AQ)-COLUMN($AN:$AN)+1,FALSE),"")</f>
        <v>40 MESH</v>
      </c>
      <c r="AC669" s="1" t="str" cm="1">
        <f t="array" ref="AC669">IFERROR(VLOOKUP($X669,$AN:AS,COLUMN(AS:AS)-COLUMN($AN:$AN)+1,FALSE),"")</f>
        <v>CATERPILLAR</v>
      </c>
      <c r="AD669" s="1" t="s">
        <v>19</v>
      </c>
      <c r="AF669" s="1">
        <f>Table1[[#This Row],[C:C]]*1.1</f>
        <v>0</v>
      </c>
      <c r="AI669" s="1">
        <f>IFERROR(VLOOKUP(X669,#REF!,8,FALSE),0)</f>
        <v>0</v>
      </c>
    </row>
    <row r="670" spans="22:35" x14ac:dyDescent="0.35">
      <c r="V670" s="1" t="str">
        <v>CO FLAKE  ASSH40</v>
      </c>
      <c r="X670" s="1" t="str">
        <f t="shared" si="191"/>
        <v xml:space="preserve"> QUARTZCUND40</v>
      </c>
      <c r="Y670" s="1" t="str" cm="1">
        <f t="array" ref="Y670">IFERROR(VLOOKUP($X670,$AN:AO,COLUMN(AO:AO)-COLUMN($AN:$AN)+1,FALSE),"")</f>
        <v>HPF COLOR QUARTZCUSTOM BLEND40 MESH</v>
      </c>
      <c r="Z670" s="63" cm="1">
        <f t="array" ref="Z670">IFERROR(VLOOKUP($X670,$AN:AP,COLUMN(AP:AP)-COLUMN($AN:$AN)+1,FALSE),"")</f>
        <v>27.5</v>
      </c>
      <c r="AA670" s="1" t="str" cm="1">
        <f t="array" ref="AA670">IFERROR(VLOOKUP($X670,$AN:AQ,COLUMN(AQ:AQ)-COLUMN($AN:$AN)+1,FALSE),"")</f>
        <v>40 MESH</v>
      </c>
      <c r="AC670" s="1" t="str" cm="1">
        <f t="array" ref="AC670">IFERROR(VLOOKUP($X670,$AN:AS,COLUMN(AS:AS)-COLUMN($AN:$AN)+1,FALSE),"")</f>
        <v>CUSTOM BLEND</v>
      </c>
      <c r="AD670" s="1" t="s">
        <v>19</v>
      </c>
      <c r="AF670" s="1">
        <f>Table1[[#This Row],[C:C]]*1.1</f>
        <v>0</v>
      </c>
      <c r="AI670" s="1">
        <f>IFERROR(VLOOKUP(X670,#REF!,8,FALSE),0)</f>
        <v>0</v>
      </c>
    </row>
    <row r="671" spans="22:35" x14ac:dyDescent="0.35">
      <c r="V671" s="1" t="str">
        <v>CO FLAKE  BLAN40</v>
      </c>
      <c r="X671" s="1" t="str">
        <f t="shared" si="191"/>
        <v xml:space="preserve"> QUARTZGRND40</v>
      </c>
      <c r="Y671" s="1" t="str" cm="1">
        <f t="array" ref="Y671">IFERROR(VLOOKUP($X671,$AN:AO,COLUMN(AO:AO)-COLUMN($AN:$AN)+1,FALSE),"")</f>
        <v>HPF COLOR QUARTZGRASSLAND40 MESH</v>
      </c>
      <c r="Z671" s="63" cm="1">
        <f t="array" ref="Z671">IFERROR(VLOOKUP($X671,$AN:AP,COLUMN(AP:AP)-COLUMN($AN:$AN)+1,FALSE),"")</f>
        <v>27.5</v>
      </c>
      <c r="AA671" s="1" t="str" cm="1">
        <f t="array" ref="AA671">IFERROR(VLOOKUP($X671,$AN:AQ,COLUMN(AQ:AQ)-COLUMN($AN:$AN)+1,FALSE),"")</f>
        <v>40 MESH</v>
      </c>
      <c r="AC671" s="1" t="str" cm="1">
        <f t="array" ref="AC671">IFERROR(VLOOKUP($X671,$AN:AS,COLUMN(AS:AS)-COLUMN($AN:$AN)+1,FALSE),"")</f>
        <v>GRASSLAND</v>
      </c>
      <c r="AD671" s="1" t="s">
        <v>19</v>
      </c>
      <c r="AF671" s="1">
        <f>Table1[[#This Row],[C:C]]*1.1</f>
        <v>0</v>
      </c>
      <c r="AI671" s="1">
        <f>IFERROR(VLOOKUP(X671,#REF!,8,FALSE),0)</f>
        <v>0</v>
      </c>
    </row>
    <row r="672" spans="22:35" x14ac:dyDescent="0.35">
      <c r="V672" s="1" t="str">
        <v>CO FLAKE  BLND40</v>
      </c>
      <c r="X672" s="1" t="str">
        <f t="shared" si="191"/>
        <v xml:space="preserve"> QUARTZLAON40</v>
      </c>
      <c r="Y672" s="1" t="str" cm="1">
        <f t="array" ref="Y672">IFERROR(VLOOKUP($X672,$AN:AO,COLUMN(AO:AO)-COLUMN($AN:$AN)+1,FALSE),"")</f>
        <v>HPF COLOR QUARTZLAGOON40 MESH</v>
      </c>
      <c r="Z672" s="63" cm="1">
        <f t="array" ref="Z672">IFERROR(VLOOKUP($X672,$AN:AP,COLUMN(AP:AP)-COLUMN($AN:$AN)+1,FALSE),"")</f>
        <v>27.5</v>
      </c>
      <c r="AA672" s="1" t="str" cm="1">
        <f t="array" ref="AA672">IFERROR(VLOOKUP($X672,$AN:AQ,COLUMN(AQ:AQ)-COLUMN($AN:$AN)+1,FALSE),"")</f>
        <v>40 MESH</v>
      </c>
      <c r="AC672" s="1" t="str" cm="1">
        <f t="array" ref="AC672">IFERROR(VLOOKUP($X672,$AN:AS,COLUMN(AS:AS)-COLUMN($AN:$AN)+1,FALSE),"")</f>
        <v>LAGOON</v>
      </c>
      <c r="AD672" s="1" t="s">
        <v>19</v>
      </c>
      <c r="AF672" s="1">
        <f>Table1[[#This Row],[C:C]]*1.1</f>
        <v>0</v>
      </c>
      <c r="AI672" s="1">
        <f>IFERROR(VLOOKUP(X672,#REF!,8,FALSE),0)</f>
        <v>0</v>
      </c>
    </row>
    <row r="673" spans="22:35" x14ac:dyDescent="0.35">
      <c r="V673" s="1" t="str">
        <v>CO FLAKE  BLOA40</v>
      </c>
      <c r="X673" s="1" t="str">
        <f t="shared" si="191"/>
        <v xml:space="preserve"> QUARTZMOVE40</v>
      </c>
      <c r="Y673" s="1" t="str" cm="1">
        <f t="array" ref="Y673">IFERROR(VLOOKUP($X673,$AN:AO,COLUMN(AO:AO)-COLUMN($AN:$AN)+1,FALSE),"")</f>
        <v>HPF COLOR QUARTZMOJAVE40 MESH</v>
      </c>
      <c r="Z673" s="63" cm="1">
        <f t="array" ref="Z673">IFERROR(VLOOKUP($X673,$AN:AP,COLUMN(AP:AP)-COLUMN($AN:$AN)+1,FALSE),"")</f>
        <v>27.5</v>
      </c>
      <c r="AA673" s="1" t="str" cm="1">
        <f t="array" ref="AA673">IFERROR(VLOOKUP($X673,$AN:AQ,COLUMN(AQ:AQ)-COLUMN($AN:$AN)+1,FALSE),"")</f>
        <v>40 MESH</v>
      </c>
      <c r="AC673" s="1" t="str" cm="1">
        <f t="array" ref="AC673">IFERROR(VLOOKUP($X673,$AN:AS,COLUMN(AS:AS)-COLUMN($AN:$AN)+1,FALSE),"")</f>
        <v>MOJAVE</v>
      </c>
      <c r="AD673" s="1" t="s">
        <v>19</v>
      </c>
      <c r="AF673" s="1">
        <f>Table1[[#This Row],[C:C]]*1.1</f>
        <v>0</v>
      </c>
      <c r="AI673" s="1">
        <f>IFERROR(VLOOKUP(X673,#REF!,8,FALSE),0)</f>
        <v>0</v>
      </c>
    </row>
    <row r="674" spans="22:35" x14ac:dyDescent="0.35">
      <c r="V674" s="1" t="str">
        <v>CO FLAKE  BOSE40</v>
      </c>
      <c r="X674" s="1" t="str">
        <f t="shared" si="191"/>
        <v xml:space="preserve"> QUARTZMUIE40</v>
      </c>
      <c r="Y674" s="1" t="str" cm="1">
        <f t="array" ref="Y674">IFERROR(VLOOKUP($X674,$AN:AO,COLUMN(AO:AO)-COLUMN($AN:$AN)+1,FALSE),"")</f>
        <v>HPF COLOR QUARTZMUD PIE40 MESH</v>
      </c>
      <c r="Z674" s="63" cm="1">
        <f t="array" ref="Z674">IFERROR(VLOOKUP($X674,$AN:AP,COLUMN(AP:AP)-COLUMN($AN:$AN)+1,FALSE),"")</f>
        <v>27.5</v>
      </c>
      <c r="AA674" s="1" t="str" cm="1">
        <f t="array" ref="AA674">IFERROR(VLOOKUP($X674,$AN:AQ,COLUMN(AQ:AQ)-COLUMN($AN:$AN)+1,FALSE),"")</f>
        <v>40 MESH</v>
      </c>
      <c r="AC674" s="1" t="str" cm="1">
        <f t="array" ref="AC674">IFERROR(VLOOKUP($X674,$AN:AS,COLUMN(AS:AS)-COLUMN($AN:$AN)+1,FALSE),"")</f>
        <v>MUD PIE</v>
      </c>
      <c r="AD674" s="1" t="s">
        <v>19</v>
      </c>
      <c r="AF674" s="1">
        <f>Table1[[#This Row],[C:C]]*1.1</f>
        <v>0</v>
      </c>
      <c r="AI674" s="1">
        <f>IFERROR(VLOOKUP(X674,#REF!,8,FALSE),0)</f>
        <v>0</v>
      </c>
    </row>
    <row r="675" spans="22:35" x14ac:dyDescent="0.35">
      <c r="V675" s="1" t="str">
        <v>CO FLAKE  BUOD40</v>
      </c>
      <c r="X675" s="1" t="str">
        <f t="shared" si="191"/>
        <v xml:space="preserve"> QUARTZNETE40</v>
      </c>
      <c r="Y675" s="1" t="str" cm="1">
        <f t="array" ref="Y675">IFERROR(VLOOKUP($X675,$AN:AO,COLUMN(AO:AO)-COLUMN($AN:$AN)+1,FALSE),"")</f>
        <v>HPF COLOR QUARTZNEW GRANITE40 MESH</v>
      </c>
      <c r="Z675" s="63" cm="1">
        <f t="array" ref="Z675">IFERROR(VLOOKUP($X675,$AN:AP,COLUMN(AP:AP)-COLUMN($AN:$AN)+1,FALSE),"")</f>
        <v>27.5</v>
      </c>
      <c r="AA675" s="1" t="str" cm="1">
        <f t="array" ref="AA675">IFERROR(VLOOKUP($X675,$AN:AQ,COLUMN(AQ:AQ)-COLUMN($AN:$AN)+1,FALSE),"")</f>
        <v>40 MESH</v>
      </c>
      <c r="AC675" s="1" t="str" cm="1">
        <f t="array" ref="AC675">IFERROR(VLOOKUP($X675,$AN:AS,COLUMN(AS:AS)-COLUMN($AN:$AN)+1,FALSE),"")</f>
        <v>NEW GRANITE</v>
      </c>
      <c r="AD675" s="1" t="s">
        <v>19</v>
      </c>
      <c r="AF675" s="1">
        <f>Table1[[#This Row],[C:C]]*1.1</f>
        <v>0</v>
      </c>
      <c r="AI675" s="1">
        <f>IFERROR(VLOOKUP(X675,#REF!,8,FALSE),0)</f>
        <v>0</v>
      </c>
    </row>
    <row r="676" spans="22:35" x14ac:dyDescent="0.35">
      <c r="V676" s="1" t="str">
        <v>CO FLAKE  CACK40</v>
      </c>
      <c r="X676" s="1" t="str">
        <f t="shared" si="191"/>
        <v xml:space="preserve"> QUARTZNIKY40</v>
      </c>
      <c r="Y676" s="1" t="str" cm="1">
        <f t="array" ref="Y676">IFERROR(VLOOKUP($X676,$AN:AO,COLUMN(AO:AO)-COLUMN($AN:$AN)+1,FALSE),"")</f>
        <v>HPF COLOR QUARTZNIGHT SKY40 MESH</v>
      </c>
      <c r="Z676" s="63" cm="1">
        <f t="array" ref="Z676">IFERROR(VLOOKUP($X676,$AN:AP,COLUMN(AP:AP)-COLUMN($AN:$AN)+1,FALSE),"")</f>
        <v>27.5</v>
      </c>
      <c r="AA676" s="1" t="str" cm="1">
        <f t="array" ref="AA676">IFERROR(VLOOKUP($X676,$AN:AQ,COLUMN(AQ:AQ)-COLUMN($AN:$AN)+1,FALSE),"")</f>
        <v>40 MESH</v>
      </c>
      <c r="AC676" s="1" t="str" cm="1">
        <f t="array" ref="AC676">IFERROR(VLOOKUP($X676,$AN:AS,COLUMN(AS:AS)-COLUMN($AN:$AN)+1,FALSE),"")</f>
        <v>NIGHT SKY</v>
      </c>
      <c r="AD676" s="1" t="s">
        <v>19</v>
      </c>
      <c r="AF676" s="1">
        <f>Table1[[#This Row],[C:C]]*1.1</f>
        <v>0</v>
      </c>
      <c r="AI676" s="1">
        <f>IFERROR(VLOOKUP(X676,#REF!,8,FALSE),0)</f>
        <v>0</v>
      </c>
    </row>
    <row r="677" spans="22:35" x14ac:dyDescent="0.35">
      <c r="V677" s="1" t="str">
        <v>CO FLAKE  CHAL40</v>
      </c>
      <c r="X677" s="1" t="str">
        <f t="shared" si="191"/>
        <v xml:space="preserve"> QUARTZREOD40</v>
      </c>
      <c r="Y677" s="1" t="str" cm="1">
        <f t="array" ref="Y677">IFERROR(VLOOKUP($X677,$AN:AO,COLUMN(AO:AO)-COLUMN($AN:$AN)+1,FALSE),"")</f>
        <v>HPF COLOR QUARTZREDWOOD40 MESH</v>
      </c>
      <c r="Z677" s="63" cm="1">
        <f t="array" ref="Z677">IFERROR(VLOOKUP($X677,$AN:AP,COLUMN(AP:AP)-COLUMN($AN:$AN)+1,FALSE),"")</f>
        <v>27.5</v>
      </c>
      <c r="AA677" s="1" t="str" cm="1">
        <f t="array" ref="AA677">IFERROR(VLOOKUP($X677,$AN:AQ,COLUMN(AQ:AQ)-COLUMN($AN:$AN)+1,FALSE),"")</f>
        <v>40 MESH</v>
      </c>
      <c r="AC677" s="1" t="str" cm="1">
        <f t="array" ref="AC677">IFERROR(VLOOKUP($X677,$AN:AS,COLUMN(AS:AS)-COLUMN($AN:$AN)+1,FALSE),"")</f>
        <v>REDWOOD</v>
      </c>
      <c r="AD677" s="1" t="s">
        <v>19</v>
      </c>
      <c r="AF677" s="1">
        <f>Table1[[#This Row],[C:C]]*1.1</f>
        <v>0</v>
      </c>
      <c r="AI677" s="1">
        <f>IFERROR(VLOOKUP(X677,#REF!,8,FALSE),0)</f>
        <v>0</v>
      </c>
    </row>
    <row r="678" spans="22:35" x14ac:dyDescent="0.35">
      <c r="V678" s="1" t="str">
        <v>CO FLAKE  CHLA40</v>
      </c>
      <c r="X678" s="1" t="str">
        <f t="shared" si="191"/>
        <v xml:space="preserve"> QUARTZSEPE40</v>
      </c>
      <c r="Y678" s="1" t="str" cm="1">
        <f t="array" ref="Y678">IFERROR(VLOOKUP($X678,$AN:AO,COLUMN(AO:AO)-COLUMN($AN:$AN)+1,FALSE),"")</f>
        <v>HPF COLOR QUARTZSEASCAPE40 MESH</v>
      </c>
      <c r="Z678" s="63" cm="1">
        <f t="array" ref="Z678">IFERROR(VLOOKUP($X678,$AN:AP,COLUMN(AP:AP)-COLUMN($AN:$AN)+1,FALSE),"")</f>
        <v>27.5</v>
      </c>
      <c r="AA678" s="1" t="str" cm="1">
        <f t="array" ref="AA678">IFERROR(VLOOKUP($X678,$AN:AQ,COLUMN(AQ:AQ)-COLUMN($AN:$AN)+1,FALSE),"")</f>
        <v>40 MESH</v>
      </c>
      <c r="AC678" s="1" t="str" cm="1">
        <f t="array" ref="AC678">IFERROR(VLOOKUP($X678,$AN:AS,COLUMN(AS:AS)-COLUMN($AN:$AN)+1,FALSE),"")</f>
        <v>SEASCAPE</v>
      </c>
      <c r="AD678" s="1" t="s">
        <v>19</v>
      </c>
      <c r="AF678" s="1">
        <f>Table1[[#This Row],[C:C]]*1.1</f>
        <v>0</v>
      </c>
      <c r="AI678" s="1">
        <f>IFERROR(VLOOKUP(X678,#REF!,8,FALSE),0)</f>
        <v>0</v>
      </c>
    </row>
    <row r="679" spans="22:35" x14ac:dyDescent="0.35">
      <c r="V679" s="1" t="str">
        <v>CO FLAKE  CUOM40</v>
      </c>
      <c r="X679" s="1" t="str">
        <f t="shared" si="191"/>
        <v xml:space="preserve"> QUARTZWHER40</v>
      </c>
      <c r="Y679" s="1" t="str" cm="1">
        <f t="array" ref="Y679">IFERROR(VLOOKUP($X679,$AN:AO,COLUMN(AO:AO)-COLUMN($AN:$AN)+1,FALSE),"")</f>
        <v>HPF COLOR QUARTZWHITE PEPPER40 MESH</v>
      </c>
      <c r="Z679" s="63" cm="1">
        <f t="array" ref="Z679">IFERROR(VLOOKUP($X679,$AN:AP,COLUMN(AP:AP)-COLUMN($AN:$AN)+1,FALSE),"")</f>
        <v>27.5</v>
      </c>
      <c r="AA679" s="1" t="str" cm="1">
        <f t="array" ref="AA679">IFERROR(VLOOKUP($X679,$AN:AQ,COLUMN(AQ:AQ)-COLUMN($AN:$AN)+1,FALSE),"")</f>
        <v>40 MESH</v>
      </c>
      <c r="AC679" s="1" t="str" cm="1">
        <f t="array" ref="AC679">IFERROR(VLOOKUP($X679,$AN:AS,COLUMN(AS:AS)-COLUMN($AN:$AN)+1,FALSE),"")</f>
        <v>WHITE PEPPER</v>
      </c>
      <c r="AD679" s="1" t="s">
        <v>19</v>
      </c>
      <c r="AF679" s="1">
        <f>Table1[[#This Row],[C:C]]*1.1</f>
        <v>0</v>
      </c>
      <c r="AI679" s="1">
        <f>IFERROR(VLOOKUP(X679,#REF!,8,FALSE),0)</f>
        <v>0</v>
      </c>
    </row>
    <row r="680" spans="22:35" x14ac:dyDescent="0.35">
      <c r="V680" s="1" t="str">
        <v>CO FLAKE  FLED40</v>
      </c>
      <c r="X680" s="1" t="str">
        <f t="shared" si="191"/>
        <v>CO FLAKE  AGVE40</v>
      </c>
      <c r="Y680" s="1" t="str" cm="1">
        <f t="array" ref="Y680">IFERROR(VLOOKUP($X680,$AN:AO,COLUMN(AO:AO)-COLUMN($AN:$AN)+1,FALSE),"")</f>
        <v>1-16IN DECO FLAKE  - 40LB BAGAGAVE40LB BAG</v>
      </c>
      <c r="Z680" s="63" cm="1">
        <f t="array" ref="Z680">IFERROR(VLOOKUP($X680,$AN:AP,COLUMN(AP:AP)-COLUMN($AN:$AN)+1,FALSE),"")</f>
        <v>143</v>
      </c>
      <c r="AA680" s="1" t="str" cm="1">
        <f t="array" ref="AA680">IFERROR(VLOOKUP($X680,$AN:AQ,COLUMN(AQ:AQ)-COLUMN($AN:$AN)+1,FALSE),"")</f>
        <v>40LB BAG</v>
      </c>
      <c r="AC680" s="1" t="str" cm="1">
        <f t="array" ref="AC680">IFERROR(VLOOKUP($X680,$AN:AS,COLUMN(AS:AS)-COLUMN($AN:$AN)+1,FALSE),"")</f>
        <v>AGAVE</v>
      </c>
      <c r="AD680" s="1" t="s">
        <v>19</v>
      </c>
      <c r="AF680" s="1">
        <f>Table1[[#This Row],[C:C]]*1.1</f>
        <v>0</v>
      </c>
      <c r="AI680" s="1">
        <f>IFERROR(VLOOKUP(X680,#REF!,8,FALSE),0)</f>
        <v>0</v>
      </c>
    </row>
    <row r="681" spans="22:35" x14ac:dyDescent="0.35">
      <c r="V681" s="1" t="str">
        <v>CO FLAKE  FONG40</v>
      </c>
      <c r="X681" s="1" t="str">
        <f t="shared" si="191"/>
        <v>CO FLAKE  ALLK40</v>
      </c>
      <c r="Y681" s="1" t="str" cm="1">
        <f t="array" ref="Y681">IFERROR(VLOOKUP($X681,$AN:AO,COLUMN(AO:AO)-COLUMN($AN:$AN)+1,FALSE),"")</f>
        <v>1-16IN DECO FLAKE  - 40LB BAGALMOND MILK40LB BAG</v>
      </c>
      <c r="Z681" s="63" cm="1">
        <f t="array" ref="Z681">IFERROR(VLOOKUP($X681,$AN:AP,COLUMN(AP:AP)-COLUMN($AN:$AN)+1,FALSE),"")</f>
        <v>143</v>
      </c>
      <c r="AA681" s="1" t="str" cm="1">
        <f t="array" ref="AA681">IFERROR(VLOOKUP($X681,$AN:AQ,COLUMN(AQ:AQ)-COLUMN($AN:$AN)+1,FALSE),"")</f>
        <v>40LB BAG</v>
      </c>
      <c r="AC681" s="1" t="str" cm="1">
        <f t="array" ref="AC681">IFERROR(VLOOKUP($X681,$AN:AS,COLUMN(AS:AS)-COLUMN($AN:$AN)+1,FALSE),"")</f>
        <v>ALMOND MILK</v>
      </c>
      <c r="AD681" s="1" t="s">
        <v>19</v>
      </c>
      <c r="AF681" s="1">
        <f>Table1[[#This Row],[C:C]]*1.1</f>
        <v>0</v>
      </c>
      <c r="AI681" s="1">
        <f>IFERROR(VLOOKUP(X681,#REF!,8,FALSE),0)</f>
        <v>0</v>
      </c>
    </row>
    <row r="682" spans="22:35" x14ac:dyDescent="0.35">
      <c r="V682" s="1" t="str">
        <v>CO FLAKE  GNSS40</v>
      </c>
      <c r="X682" s="1" t="str">
        <f t="shared" si="191"/>
        <v>CO FLAKE  ASSH40</v>
      </c>
      <c r="Y682" s="1" t="str" cm="1">
        <f t="array" ref="Y682">IFERROR(VLOOKUP($X682,$AN:AO,COLUMN(AO:AO)-COLUMN($AN:$AN)+1,FALSE),"")</f>
        <v>1-16IN DECO FLAKE  - 40LB BAGASH40LB BAG</v>
      </c>
      <c r="Z682" s="63" cm="1">
        <f t="array" ref="Z682">IFERROR(VLOOKUP($X682,$AN:AP,COLUMN(AP:AP)-COLUMN($AN:$AN)+1,FALSE),"")</f>
        <v>143</v>
      </c>
      <c r="AA682" s="1" t="str" cm="1">
        <f t="array" ref="AA682">IFERROR(VLOOKUP($X682,$AN:AQ,COLUMN(AQ:AQ)-COLUMN($AN:$AN)+1,FALSE),"")</f>
        <v>40LB BAG</v>
      </c>
      <c r="AC682" s="1" t="str" cm="1">
        <f t="array" ref="AC682">IFERROR(VLOOKUP($X682,$AN:AS,COLUMN(AS:AS)-COLUMN($AN:$AN)+1,FALSE),"")</f>
        <v>ASH</v>
      </c>
      <c r="AD682" s="1" t="s">
        <v>19</v>
      </c>
      <c r="AF682" s="1">
        <f>Table1[[#This Row],[C:C]]*1.1</f>
        <v>0</v>
      </c>
      <c r="AI682" s="1">
        <f>IFERROR(VLOOKUP(X682,#REF!,8,FALSE),0)</f>
        <v>0</v>
      </c>
    </row>
    <row r="683" spans="22:35" x14ac:dyDescent="0.35">
      <c r="V683" s="1" t="str">
        <v>CO FLAKE  GROT40</v>
      </c>
      <c r="X683" s="1" t="str">
        <f t="shared" si="191"/>
        <v>CO FLAKE  BLAN40</v>
      </c>
      <c r="Y683" s="1" t="str" cm="1">
        <f t="array" ref="Y683">IFERROR(VLOOKUP($X683,$AN:AO,COLUMN(AO:AO)-COLUMN($AN:$AN)+1,FALSE),"")</f>
        <v>1-16IN DECO FLAKE  - 40LB BAGBLACK BEAN40LB BAG</v>
      </c>
      <c r="Z683" s="63" cm="1">
        <f t="array" ref="Z683">IFERROR(VLOOKUP($X683,$AN:AP,COLUMN(AP:AP)-COLUMN($AN:$AN)+1,FALSE),"")</f>
        <v>143</v>
      </c>
      <c r="AA683" s="1" t="str" cm="1">
        <f t="array" ref="AA683">IFERROR(VLOOKUP($X683,$AN:AQ,COLUMN(AQ:AQ)-COLUMN($AN:$AN)+1,FALSE),"")</f>
        <v>40LB BAG</v>
      </c>
      <c r="AC683" s="1" t="str" cm="1">
        <f t="array" ref="AC683">IFERROR(VLOOKUP($X683,$AN:AS,COLUMN(AS:AS)-COLUMN($AN:$AN)+1,FALSE),"")</f>
        <v>BLACK BEAN</v>
      </c>
      <c r="AD683" s="1" t="s">
        <v>19</v>
      </c>
      <c r="AF683" s="1">
        <f>Table1[[#This Row],[C:C]]*1.1</f>
        <v>0</v>
      </c>
      <c r="AI683" s="1">
        <f>IFERROR(VLOOKUP(X683,#REF!,8,FALSE),0)</f>
        <v>0</v>
      </c>
    </row>
    <row r="684" spans="22:35" x14ac:dyDescent="0.35">
      <c r="V684" s="1" t="str">
        <v>CO FLAKE  GREL40</v>
      </c>
      <c r="X684" s="1" t="str">
        <f t="shared" si="191"/>
        <v>CO FLAKE  BLND40</v>
      </c>
      <c r="Y684" s="1" t="str" cm="1">
        <f t="array" ref="Y684">IFERROR(VLOOKUP($X684,$AN:AO,COLUMN(AO:AO)-COLUMN($AN:$AN)+1,FALSE),"")</f>
        <v>1-16IN DECO FLAKE  - 40LB BAGBLACK DIAMOND40LB BAG</v>
      </c>
      <c r="Z684" s="63" cm="1">
        <f t="array" ref="Z684">IFERROR(VLOOKUP($X684,$AN:AP,COLUMN(AP:AP)-COLUMN($AN:$AN)+1,FALSE),"")</f>
        <v>143</v>
      </c>
      <c r="AA684" s="1" t="str" cm="1">
        <f t="array" ref="AA684">IFERROR(VLOOKUP($X684,$AN:AQ,COLUMN(AQ:AQ)-COLUMN($AN:$AN)+1,FALSE),"")</f>
        <v>40LB BAG</v>
      </c>
      <c r="AC684" s="1" t="str" cm="1">
        <f t="array" ref="AC684">IFERROR(VLOOKUP($X684,$AN:AS,COLUMN(AS:AS)-COLUMN($AN:$AN)+1,FALSE),"")</f>
        <v>BLACK DIAMOND</v>
      </c>
      <c r="AD684" s="1" t="s">
        <v>19</v>
      </c>
      <c r="AF684" s="1">
        <f>Table1[[#This Row],[C:C]]*1.1</f>
        <v>0</v>
      </c>
      <c r="AI684" s="1">
        <f>IFERROR(VLOOKUP(X684,#REF!,8,FALSE),0)</f>
        <v>0</v>
      </c>
    </row>
    <row r="685" spans="22:35" x14ac:dyDescent="0.35">
      <c r="V685" s="1" t="str">
        <v>CO FLAKE  GRND40</v>
      </c>
      <c r="X685" s="1" t="str">
        <f t="shared" si="191"/>
        <v>CO FLAKE  BLOA40</v>
      </c>
      <c r="Y685" s="1" t="str" cm="1">
        <f t="array" ref="Y685">IFERROR(VLOOKUP($X685,$AN:AO,COLUMN(AO:AO)-COLUMN($AN:$AN)+1,FALSE),"")</f>
        <v>1-16IN DECO FLAKE  - 40LB BAGBLACK QUINOA40LB BAG</v>
      </c>
      <c r="Z685" s="63" cm="1">
        <f t="array" ref="Z685">IFERROR(VLOOKUP($X685,$AN:AP,COLUMN(AP:AP)-COLUMN($AN:$AN)+1,FALSE),"")</f>
        <v>143</v>
      </c>
      <c r="AA685" s="1" t="str" cm="1">
        <f t="array" ref="AA685">IFERROR(VLOOKUP($X685,$AN:AQ,COLUMN(AQ:AQ)-COLUMN($AN:$AN)+1,FALSE),"")</f>
        <v>40LB BAG</v>
      </c>
      <c r="AC685" s="1" t="str" cm="1">
        <f t="array" ref="AC685">IFERROR(VLOOKUP($X685,$AN:AS,COLUMN(AS:AS)-COLUMN($AN:$AN)+1,FALSE),"")</f>
        <v>BLACK QUINOA</v>
      </c>
      <c r="AD685" s="1" t="s">
        <v>19</v>
      </c>
      <c r="AF685" s="1">
        <f>Table1[[#This Row],[C:C]]*1.1</f>
        <v>0</v>
      </c>
      <c r="AI685" s="1">
        <f>IFERROR(VLOOKUP(X685,#REF!,8,FALSE),0)</f>
        <v>0</v>
      </c>
    </row>
    <row r="686" spans="22:35" x14ac:dyDescent="0.35">
      <c r="V686" s="1" t="str">
        <v>CO FLAKE  HUAY40</v>
      </c>
      <c r="X686" s="1" t="str">
        <f t="shared" si="191"/>
        <v>CO FLAKE  BOSE40</v>
      </c>
      <c r="Y686" s="1" t="str" cm="1">
        <f t="array" ref="Y686">IFERROR(VLOOKUP($X686,$AN:AO,COLUMN(AO:AO)-COLUMN($AN:$AN)+1,FALSE),"")</f>
        <v>1-16IN DECO FLAKE  - 40LB BAGBOTTLENOSE40LB BAG</v>
      </c>
      <c r="Z686" s="63" cm="1">
        <f t="array" ref="Z686">IFERROR(VLOOKUP($X686,$AN:AP,COLUMN(AP:AP)-COLUMN($AN:$AN)+1,FALSE),"")</f>
        <v>143</v>
      </c>
      <c r="AA686" s="1" t="str" cm="1">
        <f t="array" ref="AA686">IFERROR(VLOOKUP($X686,$AN:AQ,COLUMN(AQ:AQ)-COLUMN($AN:$AN)+1,FALSE),"")</f>
        <v>40LB BAG</v>
      </c>
      <c r="AC686" s="1" t="str" cm="1">
        <f t="array" ref="AC686">IFERROR(VLOOKUP($X686,$AN:AS,COLUMN(AS:AS)-COLUMN($AN:$AN)+1,FALSE),"")</f>
        <v>BOTTLENOSE</v>
      </c>
      <c r="AD686" s="1" t="s">
        <v>19</v>
      </c>
      <c r="AF686" s="1">
        <f>Table1[[#This Row],[C:C]]*1.1</f>
        <v>0</v>
      </c>
      <c r="AI686" s="1">
        <f>IFERROR(VLOOKUP(X686,#REF!,8,FALSE),0)</f>
        <v>0</v>
      </c>
    </row>
    <row r="687" spans="22:35" x14ac:dyDescent="0.35">
      <c r="V687" s="1" t="str">
        <v>CO FLAKE  KIKE40</v>
      </c>
      <c r="X687" s="1" t="str">
        <f t="shared" si="191"/>
        <v>CO FLAKE  BUOD40</v>
      </c>
      <c r="Y687" s="1" t="str" cm="1">
        <f t="array" ref="Y687">IFERROR(VLOOKUP($X687,$AN:AO,COLUMN(AO:AO)-COLUMN($AN:$AN)+1,FALSE),"")</f>
        <v>1-16IN DECO FLAKE  - 40LB BAGBURNT WOOD40LB BAG</v>
      </c>
      <c r="Z687" s="63" cm="1">
        <f t="array" ref="Z687">IFERROR(VLOOKUP($X687,$AN:AP,COLUMN(AP:AP)-COLUMN($AN:$AN)+1,FALSE),"")</f>
        <v>143</v>
      </c>
      <c r="AA687" s="1" t="str" cm="1">
        <f t="array" ref="AA687">IFERROR(VLOOKUP($X687,$AN:AQ,COLUMN(AQ:AQ)-COLUMN($AN:$AN)+1,FALSE),"")</f>
        <v>40LB BAG</v>
      </c>
      <c r="AC687" s="1" t="str" cm="1">
        <f t="array" ref="AC687">IFERROR(VLOOKUP($X687,$AN:AS,COLUMN(AS:AS)-COLUMN($AN:$AN)+1,FALSE),"")</f>
        <v>BURNT WOOD</v>
      </c>
      <c r="AD687" s="1" t="s">
        <v>19</v>
      </c>
      <c r="AF687" s="1">
        <f>Table1[[#This Row],[C:C]]*1.1</f>
        <v>0</v>
      </c>
      <c r="AI687" s="1">
        <f>IFERROR(VLOOKUP(X687,#REF!,8,FALSE),0)</f>
        <v>0</v>
      </c>
    </row>
    <row r="688" spans="22:35" x14ac:dyDescent="0.35">
      <c r="V688" s="1" t="str">
        <v>CO FLAKE  KIIN40</v>
      </c>
      <c r="X688" s="1" t="str">
        <f t="shared" si="191"/>
        <v>CO FLAKE  CACK40</v>
      </c>
      <c r="Y688" s="1" t="str" cm="1">
        <f t="array" ref="Y688">IFERROR(VLOOKUP($X688,$AN:AO,COLUMN(AO:AO)-COLUMN($AN:$AN)+1,FALSE),"")</f>
        <v>1-16IN DECO FLAKE  - 40LB BAGCASTLEROCK40LB BAG</v>
      </c>
      <c r="Z688" s="63" cm="1">
        <f t="array" ref="Z688">IFERROR(VLOOKUP($X688,$AN:AP,COLUMN(AP:AP)-COLUMN($AN:$AN)+1,FALSE),"")</f>
        <v>143</v>
      </c>
      <c r="AA688" s="1" t="str" cm="1">
        <f t="array" ref="AA688">IFERROR(VLOOKUP($X688,$AN:AQ,COLUMN(AQ:AQ)-COLUMN($AN:$AN)+1,FALSE),"")</f>
        <v>40LB BAG</v>
      </c>
      <c r="AC688" s="1" t="str" cm="1">
        <f t="array" ref="AC688">IFERROR(VLOOKUP($X688,$AN:AS,COLUMN(AS:AS)-COLUMN($AN:$AN)+1,FALSE),"")</f>
        <v>CASTLEROCK</v>
      </c>
      <c r="AD688" s="1" t="s">
        <v>19</v>
      </c>
      <c r="AF688" s="1">
        <f>Table1[[#This Row],[C:C]]*1.1</f>
        <v>0</v>
      </c>
      <c r="AI688" s="1">
        <f>IFERROR(VLOOKUP(X688,#REF!,8,FALSE),0)</f>
        <v>0</v>
      </c>
    </row>
    <row r="689" spans="22:35" x14ac:dyDescent="0.35">
      <c r="V689" s="1" t="str">
        <v>CO FLAKE  KOAT40</v>
      </c>
      <c r="X689" s="1" t="str">
        <f t="shared" si="191"/>
        <v>CO FLAKE  CHAL40</v>
      </c>
      <c r="Y689" s="1" t="str" cm="1">
        <f t="array" ref="Y689">IFERROR(VLOOKUP($X689,$AN:AO,COLUMN(AO:AO)-COLUMN($AN:$AN)+1,FALSE),"")</f>
        <v>1-16IN DECO FLAKE  - 40LB BAGCHERRY CORDIAL40LB BAG</v>
      </c>
      <c r="Z689" s="63" cm="1">
        <f t="array" ref="Z689">IFERROR(VLOOKUP($X689,$AN:AP,COLUMN(AP:AP)-COLUMN($AN:$AN)+1,FALSE),"")</f>
        <v>143</v>
      </c>
      <c r="AA689" s="1" t="str" cm="1">
        <f t="array" ref="AA689">IFERROR(VLOOKUP($X689,$AN:AQ,COLUMN(AQ:AQ)-COLUMN($AN:$AN)+1,FALSE),"")</f>
        <v>40LB BAG</v>
      </c>
      <c r="AC689" s="1" t="str" cm="1">
        <f t="array" ref="AC689">IFERROR(VLOOKUP($X689,$AN:AS,COLUMN(AS:AS)-COLUMN($AN:$AN)+1,FALSE),"")</f>
        <v>CHERRY CORDIAL</v>
      </c>
      <c r="AD689" s="1" t="s">
        <v>19</v>
      </c>
      <c r="AF689" s="1">
        <f>Table1[[#This Row],[C:C]]*1.1</f>
        <v>0</v>
      </c>
      <c r="AI689" s="1">
        <f>IFERROR(VLOOKUP(X689,#REF!,8,FALSE),0)</f>
        <v>0</v>
      </c>
    </row>
    <row r="690" spans="22:35" x14ac:dyDescent="0.35">
      <c r="V690" s="1" t="str">
        <v>CO FLAKE  LINE40</v>
      </c>
      <c r="X690" s="1" t="str">
        <f t="shared" si="191"/>
        <v>CO FLAKE  CHLA40</v>
      </c>
      <c r="Y690" s="1" t="str" cm="1">
        <f t="array" ref="Y690">IFERROR(VLOOKUP($X690,$AN:AO,COLUMN(AO:AO)-COLUMN($AN:$AN)+1,FALSE),"")</f>
        <v>1-16IN DECO FLAKE  - 40LB BAGCHINCHILLA40LB BAG</v>
      </c>
      <c r="Z690" s="63" cm="1">
        <f t="array" ref="Z690">IFERROR(VLOOKUP($X690,$AN:AP,COLUMN(AP:AP)-COLUMN($AN:$AN)+1,FALSE),"")</f>
        <v>143</v>
      </c>
      <c r="AA690" s="1" t="str" cm="1">
        <f t="array" ref="AA690">IFERROR(VLOOKUP($X690,$AN:AQ,COLUMN(AQ:AQ)-COLUMN($AN:$AN)+1,FALSE),"")</f>
        <v>40LB BAG</v>
      </c>
      <c r="AC690" s="1" t="str" cm="1">
        <f t="array" ref="AC690">IFERROR(VLOOKUP($X690,$AN:AS,COLUMN(AS:AS)-COLUMN($AN:$AN)+1,FALSE),"")</f>
        <v>CHINCHILLA</v>
      </c>
      <c r="AD690" s="1" t="s">
        <v>19</v>
      </c>
      <c r="AF690" s="1">
        <f>Table1[[#This Row],[C:C]]*1.1</f>
        <v>0</v>
      </c>
      <c r="AI690" s="1">
        <f>IFERROR(VLOOKUP(X690,#REF!,8,FALSE),0)</f>
        <v>0</v>
      </c>
    </row>
    <row r="691" spans="22:35" x14ac:dyDescent="0.35">
      <c r="V691" s="1" t="str">
        <v>CO FLAKE  MAEL40</v>
      </c>
      <c r="X691" s="1" t="str">
        <f t="shared" si="191"/>
        <v>CO FLAKE  CUOM40</v>
      </c>
      <c r="Y691" s="1" t="str" cm="1">
        <f t="array" ref="Y691">IFERROR(VLOOKUP($X691,$AN:AO,COLUMN(AO:AO)-COLUMN($AN:$AN)+1,FALSE),"")</f>
        <v>1-16IN DECO FLAKE  - 40LB BAGCUSTOM40LB BAG</v>
      </c>
      <c r="Z691" s="63" cm="1">
        <f t="array" ref="Z691">IFERROR(VLOOKUP($X691,$AN:AP,COLUMN(AP:AP)-COLUMN($AN:$AN)+1,FALSE),"")</f>
        <v>143</v>
      </c>
      <c r="AA691" s="1" t="str" cm="1">
        <f t="array" ref="AA691">IFERROR(VLOOKUP($X691,$AN:AQ,COLUMN(AQ:AQ)-COLUMN($AN:$AN)+1,FALSE),"")</f>
        <v>40LB BAG</v>
      </c>
      <c r="AC691" s="1" t="str" cm="1">
        <f t="array" ref="AC691">IFERROR(VLOOKUP($X691,$AN:AS,COLUMN(AS:AS)-COLUMN($AN:$AN)+1,FALSE),"")</f>
        <v>CUSTOM</v>
      </c>
      <c r="AD691" s="1" t="s">
        <v>19</v>
      </c>
      <c r="AF691" s="1">
        <f>Table1[[#This Row],[C:C]]*1.1</f>
        <v>0</v>
      </c>
      <c r="AI691" s="1">
        <f>IFERROR(VLOOKUP(X691,#REF!,8,FALSE),0)</f>
        <v>0</v>
      </c>
    </row>
    <row r="692" spans="22:35" x14ac:dyDescent="0.35">
      <c r="V692" s="1" t="str">
        <v>CO FLAKE  METE40</v>
      </c>
      <c r="X692" s="1" t="str">
        <f t="shared" si="191"/>
        <v>CO FLAKE  FLED40</v>
      </c>
      <c r="Y692" s="1" t="str" cm="1">
        <f t="array" ref="Y692">IFERROR(VLOOKUP($X692,$AN:AO,COLUMN(AO:AO)-COLUMN($AN:$AN)+1,FALSE),"")</f>
        <v>1-16IN DECO FLAKE  - 40LB BAGFLAXSEED40LB BAG</v>
      </c>
      <c r="Z692" s="63" cm="1">
        <f t="array" ref="Z692">IFERROR(VLOOKUP($X692,$AN:AP,COLUMN(AP:AP)-COLUMN($AN:$AN)+1,FALSE),"")</f>
        <v>143</v>
      </c>
      <c r="AA692" s="1" t="str" cm="1">
        <f t="array" ref="AA692">IFERROR(VLOOKUP($X692,$AN:AQ,COLUMN(AQ:AQ)-COLUMN($AN:$AN)+1,FALSE),"")</f>
        <v>40LB BAG</v>
      </c>
      <c r="AC692" s="1" t="str" cm="1">
        <f t="array" ref="AC692">IFERROR(VLOOKUP($X692,$AN:AS,COLUMN(AS:AS)-COLUMN($AN:$AN)+1,FALSE),"")</f>
        <v>FLAXSEED</v>
      </c>
      <c r="AD692" s="1" t="s">
        <v>19</v>
      </c>
      <c r="AF692" s="1">
        <f>Table1[[#This Row],[C:C]]*1.1</f>
        <v>0</v>
      </c>
      <c r="AI692" s="1">
        <f>IFERROR(VLOOKUP(X692,#REF!,8,FALSE),0)</f>
        <v>0</v>
      </c>
    </row>
    <row r="693" spans="22:35" x14ac:dyDescent="0.35">
      <c r="V693" s="1" t="str">
        <v>CO FLAKE  MOON40</v>
      </c>
      <c r="X693" s="1" t="str">
        <f t="shared" si="191"/>
        <v>CO FLAKE  FONG40</v>
      </c>
      <c r="Y693" s="1" t="str" cm="1">
        <f t="array" ref="Y693">IFERROR(VLOOKUP($X693,$AN:AO,COLUMN(AO:AO)-COLUMN($AN:$AN)+1,FALSE),"")</f>
        <v>1-16IN DECO FLAKE  - 40LB BAGFOGGY MORNING40LB BAG</v>
      </c>
      <c r="Z693" s="63" cm="1">
        <f t="array" ref="Z693">IFERROR(VLOOKUP($X693,$AN:AP,COLUMN(AP:AP)-COLUMN($AN:$AN)+1,FALSE),"")</f>
        <v>143</v>
      </c>
      <c r="AA693" s="1" t="str" cm="1">
        <f t="array" ref="AA693">IFERROR(VLOOKUP($X693,$AN:AQ,COLUMN(AQ:AQ)-COLUMN($AN:$AN)+1,FALSE),"")</f>
        <v>40LB BAG</v>
      </c>
      <c r="AC693" s="1" t="str" cm="1">
        <f t="array" ref="AC693">IFERROR(VLOOKUP($X693,$AN:AS,COLUMN(AS:AS)-COLUMN($AN:$AN)+1,FALSE),"")</f>
        <v>FOGGY MORNING</v>
      </c>
      <c r="AD693" s="1" t="s">
        <v>19</v>
      </c>
      <c r="AF693" s="1">
        <f>Table1[[#This Row],[C:C]]*1.1</f>
        <v>0</v>
      </c>
      <c r="AI693" s="1">
        <f>IFERROR(VLOOKUP(X693,#REF!,8,FALSE),0)</f>
        <v>0</v>
      </c>
    </row>
    <row r="694" spans="22:35" x14ac:dyDescent="0.35">
      <c r="V694" s="1" t="str">
        <v>CO FLAKE  MOSE40</v>
      </c>
      <c r="X694" s="1" t="str">
        <f t="shared" si="191"/>
        <v>CO FLAKE  GNSS40</v>
      </c>
      <c r="Y694" s="1" t="str" cm="1">
        <f t="array" ref="Y694">IFERROR(VLOOKUP($X694,$AN:AO,COLUMN(AO:AO)-COLUMN($AN:$AN)+1,FALSE),"")</f>
        <v>1-16IN DECO FLAKE  - 40LB BAGGNEISS40LB BAG</v>
      </c>
      <c r="Z694" s="63" cm="1">
        <f t="array" ref="Z694">IFERROR(VLOOKUP($X694,$AN:AP,COLUMN(AP:AP)-COLUMN($AN:$AN)+1,FALSE),"")</f>
        <v>143</v>
      </c>
      <c r="AA694" s="1" t="str" cm="1">
        <f t="array" ref="AA694">IFERROR(VLOOKUP($X694,$AN:AQ,COLUMN(AQ:AQ)-COLUMN($AN:$AN)+1,FALSE),"")</f>
        <v>40LB BAG</v>
      </c>
      <c r="AC694" s="1" t="str" cm="1">
        <f t="array" ref="AC694">IFERROR(VLOOKUP($X694,$AN:AS,COLUMN(AS:AS)-COLUMN($AN:$AN)+1,FALSE),"")</f>
        <v>GNEISS</v>
      </c>
      <c r="AD694" s="1" t="s">
        <v>19</v>
      </c>
      <c r="AF694" s="1">
        <f>Table1[[#This Row],[C:C]]*1.1</f>
        <v>0</v>
      </c>
      <c r="AI694" s="1">
        <f>IFERROR(VLOOKUP(X694,#REF!,8,FALSE),0)</f>
        <v>0</v>
      </c>
    </row>
    <row r="695" spans="22:35" x14ac:dyDescent="0.35">
      <c r="V695" s="1" t="str">
        <v>CO FLAKE  MOOG40</v>
      </c>
      <c r="X695" s="1" t="str">
        <f t="shared" si="191"/>
        <v>CO FLAKE  GROT40</v>
      </c>
      <c r="Y695" s="1" t="str" cm="1">
        <f t="array" ref="Y695">IFERROR(VLOOKUP($X695,$AN:AO,COLUMN(AO:AO)-COLUMN($AN:$AN)+1,FALSE),"")</f>
        <v>1-16IN DECO FLAKE  - 40LB BAGGRAY PARROT40LB BAG</v>
      </c>
      <c r="Z695" s="63" cm="1">
        <f t="array" ref="Z695">IFERROR(VLOOKUP($X695,$AN:AP,COLUMN(AP:AP)-COLUMN($AN:$AN)+1,FALSE),"")</f>
        <v>143</v>
      </c>
      <c r="AA695" s="1" t="str" cm="1">
        <f t="array" ref="AA695">IFERROR(VLOOKUP($X695,$AN:AQ,COLUMN(AQ:AQ)-COLUMN($AN:$AN)+1,FALSE),"")</f>
        <v>40LB BAG</v>
      </c>
      <c r="AC695" s="1" t="str" cm="1">
        <f t="array" ref="AC695">IFERROR(VLOOKUP($X695,$AN:AS,COLUMN(AS:AS)-COLUMN($AN:$AN)+1,FALSE),"")</f>
        <v>GRAY PARROT</v>
      </c>
      <c r="AD695" s="1" t="s">
        <v>19</v>
      </c>
      <c r="AF695" s="1">
        <f>Table1[[#This Row],[C:C]]*1.1</f>
        <v>0</v>
      </c>
      <c r="AI695" s="1">
        <f>IFERROR(VLOOKUP(X695,#REF!,8,FALSE),0)</f>
        <v>0</v>
      </c>
    </row>
    <row r="696" spans="22:35" x14ac:dyDescent="0.35">
      <c r="V696" s="1" t="str">
        <v>CO FLAKE  OCOT40</v>
      </c>
      <c r="X696" s="1" t="str">
        <f t="shared" si="191"/>
        <v>CO FLAKE  GREL40</v>
      </c>
      <c r="Y696" s="1" t="str" cm="1">
        <f t="array" ref="Y696">IFERROR(VLOOKUP($X696,$AN:AO,COLUMN(AO:AO)-COLUMN($AN:$AN)+1,FALSE),"")</f>
        <v>1-16IN DECO FLAKE  - 40LB BAGGRAY SQUIRREL40LB BAG</v>
      </c>
      <c r="Z696" s="63" cm="1">
        <f t="array" ref="Z696">IFERROR(VLOOKUP($X696,$AN:AP,COLUMN(AP:AP)-COLUMN($AN:$AN)+1,FALSE),"")</f>
        <v>143</v>
      </c>
      <c r="AA696" s="1" t="str" cm="1">
        <f t="array" ref="AA696">IFERROR(VLOOKUP($X696,$AN:AQ,COLUMN(AQ:AQ)-COLUMN($AN:$AN)+1,FALSE),"")</f>
        <v>40LB BAG</v>
      </c>
      <c r="AC696" s="1" t="str" cm="1">
        <f t="array" ref="AC696">IFERROR(VLOOKUP($X696,$AN:AS,COLUMN(AS:AS)-COLUMN($AN:$AN)+1,FALSE),"")</f>
        <v>GRAY SQUIRREL</v>
      </c>
      <c r="AD696" s="1" t="s">
        <v>19</v>
      </c>
      <c r="AF696" s="1">
        <f>Table1[[#This Row],[C:C]]*1.1</f>
        <v>0</v>
      </c>
      <c r="AI696" s="1">
        <f>IFERROR(VLOOKUP(X696,#REF!,8,FALSE),0)</f>
        <v>0</v>
      </c>
    </row>
    <row r="697" spans="22:35" x14ac:dyDescent="0.35">
      <c r="V697" s="1" t="str">
        <v>CO FLAKE  PLER40</v>
      </c>
      <c r="X697" s="1" t="str">
        <f t="shared" si="191"/>
        <v>CO FLAKE  GRND40</v>
      </c>
      <c r="Y697" s="1" t="str" cm="1">
        <f t="array" ref="Y697">IFERROR(VLOOKUP($X697,$AN:AO,COLUMN(AO:AO)-COLUMN($AN:$AN)+1,FALSE),"")</f>
        <v>1-16IN DECO FLAKE  - 40LB BAGGREYHOUND40LB BAG</v>
      </c>
      <c r="Z697" s="63" cm="1">
        <f t="array" ref="Z697">IFERROR(VLOOKUP($X697,$AN:AP,COLUMN(AP:AP)-COLUMN($AN:$AN)+1,FALSE),"")</f>
        <v>143</v>
      </c>
      <c r="AA697" s="1" t="str" cm="1">
        <f t="array" ref="AA697">IFERROR(VLOOKUP($X697,$AN:AQ,COLUMN(AQ:AQ)-COLUMN($AN:$AN)+1,FALSE),"")</f>
        <v>40LB BAG</v>
      </c>
      <c r="AC697" s="1" t="str" cm="1">
        <f t="array" ref="AC697">IFERROR(VLOOKUP($X697,$AN:AS,COLUMN(AS:AS)-COLUMN($AN:$AN)+1,FALSE),"")</f>
        <v>GREYHOUND</v>
      </c>
      <c r="AD697" s="1" t="s">
        <v>19</v>
      </c>
      <c r="AF697" s="1">
        <f>Table1[[#This Row],[C:C]]*1.1</f>
        <v>0</v>
      </c>
      <c r="AI697" s="1">
        <f>IFERROR(VLOOKUP(X697,#REF!,8,FALSE),0)</f>
        <v>0</v>
      </c>
    </row>
    <row r="698" spans="22:35" x14ac:dyDescent="0.35">
      <c r="V698" s="1" t="str">
        <v>CO FLAKE  PREL40</v>
      </c>
      <c r="X698" s="1" t="str">
        <f t="shared" si="191"/>
        <v>CO FLAKE  HUAY40</v>
      </c>
      <c r="Y698" s="1" t="str" cm="1">
        <f t="array" ref="Y698">IFERROR(VLOOKUP($X698,$AN:AO,COLUMN(AO:AO)-COLUMN($AN:$AN)+1,FALSE),"")</f>
        <v>1-16IN DECO FLAKE  - 40LB BAGHUSKY GRAY40LB BAG</v>
      </c>
      <c r="Z698" s="63" cm="1">
        <f t="array" ref="Z698">IFERROR(VLOOKUP($X698,$AN:AP,COLUMN(AP:AP)-COLUMN($AN:$AN)+1,FALSE),"")</f>
        <v>143</v>
      </c>
      <c r="AA698" s="1" t="str" cm="1">
        <f t="array" ref="AA698">IFERROR(VLOOKUP($X698,$AN:AQ,COLUMN(AQ:AQ)-COLUMN($AN:$AN)+1,FALSE),"")</f>
        <v>40LB BAG</v>
      </c>
      <c r="AC698" s="1" t="str" cm="1">
        <f t="array" ref="AC698">IFERROR(VLOOKUP($X698,$AN:AS,COLUMN(AS:AS)-COLUMN($AN:$AN)+1,FALSE),"")</f>
        <v>HUSKY GRAY</v>
      </c>
      <c r="AD698" s="1" t="s">
        <v>19</v>
      </c>
      <c r="AF698" s="1">
        <f>Table1[[#This Row],[C:C]]*1.1</f>
        <v>0</v>
      </c>
      <c r="AI698" s="1">
        <f>IFERROR(VLOOKUP(X698,#REF!,8,FALSE),0)</f>
        <v>0</v>
      </c>
    </row>
    <row r="699" spans="22:35" x14ac:dyDescent="0.35">
      <c r="V699" s="1" t="str">
        <v>CO FLAKE  RHNO40</v>
      </c>
      <c r="X699" s="1" t="str">
        <f t="shared" si="191"/>
        <v>CO FLAKE  KIKE40</v>
      </c>
      <c r="Y699" s="1" t="str" cm="1">
        <f t="array" ref="Y699">IFERROR(VLOOKUP($X699,$AN:AO,COLUMN(AO:AO)-COLUMN($AN:$AN)+1,FALSE),"")</f>
        <v>1-16IN DECO FLAKE  - 40LB BAGKINGSNAKE40LB BAG</v>
      </c>
      <c r="Z699" s="63" cm="1">
        <f t="array" ref="Z699">IFERROR(VLOOKUP($X699,$AN:AP,COLUMN(AP:AP)-COLUMN($AN:$AN)+1,FALSE),"")</f>
        <v>143</v>
      </c>
      <c r="AA699" s="1" t="str" cm="1">
        <f t="array" ref="AA699">IFERROR(VLOOKUP($X699,$AN:AQ,COLUMN(AQ:AQ)-COLUMN($AN:$AN)+1,FALSE),"")</f>
        <v>40LB BAG</v>
      </c>
      <c r="AC699" s="1" t="str" cm="1">
        <f t="array" ref="AC699">IFERROR(VLOOKUP($X699,$AN:AS,COLUMN(AS:AS)-COLUMN($AN:$AN)+1,FALSE),"")</f>
        <v>KINGSNAKE</v>
      </c>
      <c r="AD699" s="1" t="s">
        <v>19</v>
      </c>
      <c r="AF699" s="1">
        <f>Table1[[#This Row],[C:C]]*1.1</f>
        <v>0</v>
      </c>
      <c r="AI699" s="1">
        <f>IFERROR(VLOOKUP(X699,#REF!,8,FALSE),0)</f>
        <v>0</v>
      </c>
    </row>
    <row r="700" spans="22:35" x14ac:dyDescent="0.35">
      <c r="V700" s="1" t="str">
        <v>CO FLAKE  SINE40</v>
      </c>
      <c r="X700" s="1" t="str">
        <f t="shared" si="191"/>
        <v>CO FLAKE  KIIN40</v>
      </c>
      <c r="Y700" s="1" t="str" cm="1">
        <f t="array" ref="Y700">IFERROR(VLOOKUP($X700,$AN:AO,COLUMN(AO:AO)-COLUMN($AN:$AN)+1,FALSE),"")</f>
        <v>1-16IN DECO FLAKE  - 40LB BAGKIWI SKIN40LB BAG</v>
      </c>
      <c r="Z700" s="63" cm="1">
        <f t="array" ref="Z700">IFERROR(VLOOKUP($X700,$AN:AP,COLUMN(AP:AP)-COLUMN($AN:$AN)+1,FALSE),"")</f>
        <v>143</v>
      </c>
      <c r="AA700" s="1" t="str" cm="1">
        <f t="array" ref="AA700">IFERROR(VLOOKUP($X700,$AN:AQ,COLUMN(AQ:AQ)-COLUMN($AN:$AN)+1,FALSE),"")</f>
        <v>40LB BAG</v>
      </c>
      <c r="AC700" s="1" t="str" cm="1">
        <f t="array" ref="AC700">IFERROR(VLOOKUP($X700,$AN:AS,COLUMN(AS:AS)-COLUMN($AN:$AN)+1,FALSE),"")</f>
        <v>KIWI SKIN</v>
      </c>
      <c r="AD700" s="1" t="s">
        <v>19</v>
      </c>
      <c r="AF700" s="1">
        <f>Table1[[#This Row],[C:C]]*1.1</f>
        <v>0</v>
      </c>
      <c r="AI700" s="1">
        <f>IFERROR(VLOOKUP(X700,#REF!,8,FALSE),0)</f>
        <v>0</v>
      </c>
    </row>
    <row r="701" spans="22:35" x14ac:dyDescent="0.35">
      <c r="V701" s="1" t="str">
        <v>CO FLAKE  SPSH40</v>
      </c>
      <c r="X701" s="1" t="str">
        <f t="shared" si="191"/>
        <v>CO FLAKE  KOAT40</v>
      </c>
      <c r="Y701" s="1" t="str" cm="1">
        <f t="array" ref="Y701">IFERROR(VLOOKUP($X701,$AN:AO,COLUMN(AO:AO)-COLUMN($AN:$AN)+1,FALSE),"")</f>
        <v>1-16IN DECO FLAKE  - 40LB BAGKORAT40LB BAG</v>
      </c>
      <c r="Z701" s="63" cm="1">
        <f t="array" ref="Z701">IFERROR(VLOOKUP($X701,$AN:AP,COLUMN(AP:AP)-COLUMN($AN:$AN)+1,FALSE),"")</f>
        <v>143</v>
      </c>
      <c r="AA701" s="1" t="str" cm="1">
        <f t="array" ref="AA701">IFERROR(VLOOKUP($X701,$AN:AQ,COLUMN(AQ:AQ)-COLUMN($AN:$AN)+1,FALSE),"")</f>
        <v>40LB BAG</v>
      </c>
      <c r="AC701" s="1" t="str" cm="1">
        <f t="array" ref="AC701">IFERROR(VLOOKUP($X701,$AN:AS,COLUMN(AS:AS)-COLUMN($AN:$AN)+1,FALSE),"")</f>
        <v>KORAT</v>
      </c>
      <c r="AD701" s="1" t="s">
        <v>19</v>
      </c>
      <c r="AF701" s="1">
        <f>Table1[[#This Row],[C:C]]*1.1</f>
        <v>0</v>
      </c>
      <c r="AI701" s="1">
        <f>IFERROR(VLOOKUP(X701,#REF!,8,FALSE),0)</f>
        <v>0</v>
      </c>
    </row>
    <row r="702" spans="22:35" x14ac:dyDescent="0.35">
      <c r="V702" s="1" t="str">
        <v>CO FLAKE  TUEN40</v>
      </c>
      <c r="X702" s="1" t="str">
        <f t="shared" si="191"/>
        <v>CO FLAKE  LINE40</v>
      </c>
      <c r="Y702" s="1" t="str" cm="1">
        <f t="array" ref="Y702">IFERROR(VLOOKUP($X702,$AN:AO,COLUMN(AO:AO)-COLUMN($AN:$AN)+1,FALSE),"")</f>
        <v>1-16IN DECO FLAKE  - 40LB BAGLIMESTONE40LB BAG</v>
      </c>
      <c r="Z702" s="63" cm="1">
        <f t="array" ref="Z702">IFERROR(VLOOKUP($X702,$AN:AP,COLUMN(AP:AP)-COLUMN($AN:$AN)+1,FALSE),"")</f>
        <v>143</v>
      </c>
      <c r="AA702" s="1" t="str" cm="1">
        <f t="array" ref="AA702">IFERROR(VLOOKUP($X702,$AN:AQ,COLUMN(AQ:AQ)-COLUMN($AN:$AN)+1,FALSE),"")</f>
        <v>40LB BAG</v>
      </c>
      <c r="AC702" s="1" t="str" cm="1">
        <f t="array" ref="AC702">IFERROR(VLOOKUP($X702,$AN:AS,COLUMN(AS:AS)-COLUMN($AN:$AN)+1,FALSE),"")</f>
        <v>LIMESTONE</v>
      </c>
      <c r="AD702" s="1" t="s">
        <v>19</v>
      </c>
      <c r="AF702" s="1">
        <f>Table1[[#This Row],[C:C]]*1.1</f>
        <v>0</v>
      </c>
      <c r="AI702" s="1">
        <f>IFERROR(VLOOKUP(X702,#REF!,8,FALSE),0)</f>
        <v>0</v>
      </c>
    </row>
    <row r="703" spans="22:35" x14ac:dyDescent="0.35">
      <c r="V703" s="1" t="str">
        <v>CO FLAKE  WACH40</v>
      </c>
      <c r="X703" s="1" t="str">
        <f t="shared" si="191"/>
        <v>CO FLAKE  MAEL40</v>
      </c>
      <c r="Y703" s="1" t="str" cm="1">
        <f t="array" ref="Y703">IFERROR(VLOOKUP($X703,$AN:AO,COLUMN(AO:AO)-COLUMN($AN:$AN)+1,FALSE),"")</f>
        <v>1-16IN DECO FLAKE  - 40LB BAGMACKEREL40LB BAG</v>
      </c>
      <c r="Z703" s="63" cm="1">
        <f t="array" ref="Z703">IFERROR(VLOOKUP($X703,$AN:AP,COLUMN(AP:AP)-COLUMN($AN:$AN)+1,FALSE),"")</f>
        <v>143</v>
      </c>
      <c r="AA703" s="1" t="str" cm="1">
        <f t="array" ref="AA703">IFERROR(VLOOKUP($X703,$AN:AQ,COLUMN(AQ:AQ)-COLUMN($AN:$AN)+1,FALSE),"")</f>
        <v>40LB BAG</v>
      </c>
      <c r="AC703" s="1" t="str" cm="1">
        <f t="array" ref="AC703">IFERROR(VLOOKUP($X703,$AN:AS,COLUMN(AS:AS)-COLUMN($AN:$AN)+1,FALSE),"")</f>
        <v>MACKEREL</v>
      </c>
      <c r="AD703" s="1" t="s">
        <v>19</v>
      </c>
      <c r="AF703" s="1">
        <f>Table1[[#This Row],[C:C]]*1.1</f>
        <v>0</v>
      </c>
      <c r="AI703" s="1">
        <f>IFERROR(VLOOKUP(X703,#REF!,8,FALSE),0)</f>
        <v>0</v>
      </c>
    </row>
    <row r="704" spans="22:35" x14ac:dyDescent="0.35">
      <c r="V704" s="1" t="str">
        <v>TUBES / CACHAYTU</v>
      </c>
      <c r="X704" s="1" t="str">
        <f t="shared" si="191"/>
        <v>CO FLAKE  METE40</v>
      </c>
      <c r="Y704" s="1" t="str" cm="1">
        <f t="array" ref="Y704">IFERROR(VLOOKUP($X704,$AN:AO,COLUMN(AO:AO)-COLUMN($AN:$AN)+1,FALSE),"")</f>
        <v>1-16IN DECO FLAKE  - 40LB BAGMETEORITE40LB BAG</v>
      </c>
      <c r="Z704" s="63" cm="1">
        <f t="array" ref="Z704">IFERROR(VLOOKUP($X704,$AN:AP,COLUMN(AP:AP)-COLUMN($AN:$AN)+1,FALSE),"")</f>
        <v>143</v>
      </c>
      <c r="AA704" s="1" t="str" cm="1">
        <f t="array" ref="AA704">IFERROR(VLOOKUP($X704,$AN:AQ,COLUMN(AQ:AQ)-COLUMN($AN:$AN)+1,FALSE),"")</f>
        <v>40LB BAG</v>
      </c>
      <c r="AC704" s="1" t="str" cm="1">
        <f t="array" ref="AC704">IFERROR(VLOOKUP($X704,$AN:AS,COLUMN(AS:AS)-COLUMN($AN:$AN)+1,FALSE),"")</f>
        <v>METEORITE</v>
      </c>
      <c r="AD704" s="1" t="s">
        <v>19</v>
      </c>
      <c r="AF704" s="1">
        <f>Table1[[#This Row],[C:C]]*1.1</f>
        <v>0</v>
      </c>
      <c r="AI704" s="1">
        <f>IFERROR(VLOOKUP(X704,#REF!,8,FALSE),0)</f>
        <v>0</v>
      </c>
    </row>
    <row r="705" spans="22:35" x14ac:dyDescent="0.35">
      <c r="V705" s="1" t="str">
        <v>TUBES / CASTAYTU</v>
      </c>
      <c r="X705" s="1" t="str">
        <f t="shared" si="191"/>
        <v>CO FLAKE  MOON40</v>
      </c>
      <c r="Y705" s="1" t="str" cm="1">
        <f t="array" ref="Y705">IFERROR(VLOOKUP($X705,$AN:AO,COLUMN(AO:AO)-COLUMN($AN:$AN)+1,FALSE),"")</f>
        <v>1-16IN DECO FLAKE  - 40LB BAGMOON40LB BAG</v>
      </c>
      <c r="Z705" s="63" cm="1">
        <f t="array" ref="Z705">IFERROR(VLOOKUP($X705,$AN:AP,COLUMN(AP:AP)-COLUMN($AN:$AN)+1,FALSE),"")</f>
        <v>143</v>
      </c>
      <c r="AA705" s="1" t="str" cm="1">
        <f t="array" ref="AA705">IFERROR(VLOOKUP($X705,$AN:AQ,COLUMN(AQ:AQ)-COLUMN($AN:$AN)+1,FALSE),"")</f>
        <v>40LB BAG</v>
      </c>
      <c r="AC705" s="1" t="str" cm="1">
        <f t="array" ref="AC705">IFERROR(VLOOKUP($X705,$AN:AS,COLUMN(AS:AS)-COLUMN($AN:$AN)+1,FALSE),"")</f>
        <v>MOON</v>
      </c>
      <c r="AD705" s="1" t="s">
        <v>19</v>
      </c>
      <c r="AF705" s="1">
        <f>Table1[[#This Row],[C:C]]*1.1</f>
        <v>0</v>
      </c>
      <c r="AI705" s="1">
        <f>IFERROR(VLOOKUP(X705,#REF!,8,FALSE),0)</f>
        <v>0</v>
      </c>
    </row>
    <row r="706" spans="22:35" x14ac:dyDescent="0.35">
      <c r="V706" s="1" t="str">
        <v>TUBES / CAGREATU</v>
      </c>
      <c r="X706" s="1" t="str">
        <f t="shared" si="191"/>
        <v>CO FLAKE  MOSE40</v>
      </c>
      <c r="Y706" s="1" t="str" cm="1">
        <f t="array" ref="Y706">IFERROR(VLOOKUP($X706,$AN:AO,COLUMN(AO:AO)-COLUMN($AN:$AN)+1,FALSE),"")</f>
        <v>1-16IN DECO FLAKE  - 40LB BAGMOOSE40LB BAG</v>
      </c>
      <c r="Z706" s="63" cm="1">
        <f t="array" ref="Z706">IFERROR(VLOOKUP($X706,$AN:AP,COLUMN(AP:AP)-COLUMN($AN:$AN)+1,FALSE),"")</f>
        <v>143</v>
      </c>
      <c r="AA706" s="1" t="str" cm="1">
        <f t="array" ref="AA706">IFERROR(VLOOKUP($X706,$AN:AQ,COLUMN(AQ:AQ)-COLUMN($AN:$AN)+1,FALSE),"")</f>
        <v>40LB BAG</v>
      </c>
      <c r="AC706" s="1" t="str" cm="1">
        <f t="array" ref="AC706">IFERROR(VLOOKUP($X706,$AN:AS,COLUMN(AS:AS)-COLUMN($AN:$AN)+1,FALSE),"")</f>
        <v>MOOSE</v>
      </c>
      <c r="AD706" s="1" t="s">
        <v>19</v>
      </c>
      <c r="AF706" s="1">
        <f>Table1[[#This Row],[C:C]]*1.1</f>
        <v>0</v>
      </c>
      <c r="AI706" s="1">
        <f>IFERROR(VLOOKUP(X706,#REF!,8,FALSE),0)</f>
        <v>0</v>
      </c>
    </row>
    <row r="707" spans="22:35" x14ac:dyDescent="0.35">
      <c r="V707" s="1" t="str">
        <v>TUBES / CACHAYCA</v>
      </c>
      <c r="X707" s="1" t="str">
        <f t="shared" si="191"/>
        <v>CO FLAKE  MOOG40</v>
      </c>
      <c r="Y707" s="1" t="str" cm="1">
        <f t="array" ref="Y707">IFERROR(VLOOKUP($X707,$AN:AO,COLUMN(AO:AO)-COLUMN($AN:$AN)+1,FALSE),"")</f>
        <v>1-16IN DECO FLAKE  - 40LB BAGMOUNTAIN FOG40LB BAG</v>
      </c>
      <c r="Z707" s="63" cm="1">
        <f t="array" ref="Z707">IFERROR(VLOOKUP($X707,$AN:AP,COLUMN(AP:AP)-COLUMN($AN:$AN)+1,FALSE),"")</f>
        <v>143</v>
      </c>
      <c r="AA707" s="1" t="str" cm="1">
        <f t="array" ref="AA707">IFERROR(VLOOKUP($X707,$AN:AQ,COLUMN(AQ:AQ)-COLUMN($AN:$AN)+1,FALSE),"")</f>
        <v>40LB BAG</v>
      </c>
      <c r="AC707" s="1" t="str" cm="1">
        <f t="array" ref="AC707">IFERROR(VLOOKUP($X707,$AN:AS,COLUMN(AS:AS)-COLUMN($AN:$AN)+1,FALSE),"")</f>
        <v>MOUNTAIN FOG</v>
      </c>
      <c r="AD707" s="1" t="s">
        <v>19</v>
      </c>
      <c r="AF707" s="1">
        <f>Table1[[#This Row],[C:C]]*1.1</f>
        <v>0</v>
      </c>
      <c r="AI707" s="1">
        <f>IFERROR(VLOOKUP(X707,#REF!,8,FALSE),0)</f>
        <v>0</v>
      </c>
    </row>
    <row r="708" spans="22:35" x14ac:dyDescent="0.35">
      <c r="V708" s="1" t="str">
        <v>TUBES / CASTAYCA</v>
      </c>
      <c r="X708" s="1" t="str">
        <f t="shared" si="191"/>
        <v>CO FLAKE  OCOT40</v>
      </c>
      <c r="Y708" s="1" t="str" cm="1">
        <f t="array" ref="Y708">IFERROR(VLOOKUP($X708,$AN:AO,COLUMN(AO:AO)-COLUMN($AN:$AN)+1,FALSE),"")</f>
        <v>1-16IN DECO FLAKE  - 40LB BAGOCELOT40LB BAG</v>
      </c>
      <c r="Z708" s="63" cm="1">
        <f t="array" ref="Z708">IFERROR(VLOOKUP($X708,$AN:AP,COLUMN(AP:AP)-COLUMN($AN:$AN)+1,FALSE),"")</f>
        <v>143</v>
      </c>
      <c r="AA708" s="1" t="str" cm="1">
        <f t="array" ref="AA708">IFERROR(VLOOKUP($X708,$AN:AQ,COLUMN(AQ:AQ)-COLUMN($AN:$AN)+1,FALSE),"")</f>
        <v>40LB BAG</v>
      </c>
      <c r="AC708" s="1" t="str" cm="1">
        <f t="array" ref="AC708">IFERROR(VLOOKUP($X708,$AN:AS,COLUMN(AS:AS)-COLUMN($AN:$AN)+1,FALSE),"")</f>
        <v>OCELOT</v>
      </c>
      <c r="AD708" s="1" t="s">
        <v>19</v>
      </c>
      <c r="AF708" s="1">
        <f>Table1[[#This Row],[C:C]]*1.1</f>
        <v>0</v>
      </c>
      <c r="AI708" s="1">
        <f>IFERROR(VLOOKUP(X708,#REF!,8,FALSE),0)</f>
        <v>0</v>
      </c>
    </row>
    <row r="709" spans="22:35" x14ac:dyDescent="0.35">
      <c r="V709" s="1" t="str">
        <v>TUBES / CAGREACA</v>
      </c>
      <c r="X709" s="1" t="str">
        <f t="shared" si="191"/>
        <v>CO FLAKE  PLER40</v>
      </c>
      <c r="Y709" s="1" t="str" cm="1">
        <f t="array" ref="Y709">IFERROR(VLOOKUP($X709,$AN:AO,COLUMN(AO:AO)-COLUMN($AN:$AN)+1,FALSE),"")</f>
        <v>1-16IN DECO FLAKE  - 40LB BAGPLOVER40LB BAG</v>
      </c>
      <c r="Z709" s="63" cm="1">
        <f t="array" ref="Z709">IFERROR(VLOOKUP($X709,$AN:AP,COLUMN(AP:AP)-COLUMN($AN:$AN)+1,FALSE),"")</f>
        <v>143</v>
      </c>
      <c r="AA709" s="1" t="str" cm="1">
        <f t="array" ref="AA709">IFERROR(VLOOKUP($X709,$AN:AQ,COLUMN(AQ:AQ)-COLUMN($AN:$AN)+1,FALSE),"")</f>
        <v>40LB BAG</v>
      </c>
      <c r="AC709" s="1" t="str" cm="1">
        <f t="array" ref="AC709">IFERROR(VLOOKUP($X709,$AN:AS,COLUMN(AS:AS)-COLUMN($AN:$AN)+1,FALSE),"")</f>
        <v>PLOVER</v>
      </c>
      <c r="AD709" s="1" t="s">
        <v>19</v>
      </c>
      <c r="AF709" s="1">
        <f>Table1[[#This Row],[C:C]]*1.1</f>
        <v>0</v>
      </c>
      <c r="AI709" s="1">
        <f>IFERROR(VLOOKUP(X709,#REF!,8,FALSE),0)</f>
        <v>0</v>
      </c>
    </row>
    <row r="710" spans="22:35" x14ac:dyDescent="0.35">
      <c r="V710" s="1" t="str">
        <v>S (30 TUBEN//ATU</v>
      </c>
      <c r="X710" s="1" t="str">
        <f t="shared" si="191"/>
        <v>CO FLAKE  PREL40</v>
      </c>
      <c r="Y710" s="1" t="str" cm="1">
        <f t="array" ref="Y710">IFERROR(VLOOKUP($X710,$AN:AO,COLUMN(AO:AO)-COLUMN($AN:$AN)+1,FALSE),"")</f>
        <v>1-16IN DECO FLAKE  - 40LB BAGPRETZEL40LB BAG</v>
      </c>
      <c r="Z710" s="63" cm="1">
        <f t="array" ref="Z710">IFERROR(VLOOKUP($X710,$AN:AP,COLUMN(AP:AP)-COLUMN($AN:$AN)+1,FALSE),"")</f>
        <v>143</v>
      </c>
      <c r="AA710" s="1" t="str" cm="1">
        <f t="array" ref="AA710">IFERROR(VLOOKUP($X710,$AN:AQ,COLUMN(AQ:AQ)-COLUMN($AN:$AN)+1,FALSE),"")</f>
        <v>40LB BAG</v>
      </c>
      <c r="AC710" s="1" t="str" cm="1">
        <f t="array" ref="AC710">IFERROR(VLOOKUP($X710,$AN:AS,COLUMN(AS:AS)-COLUMN($AN:$AN)+1,FALSE),"")</f>
        <v>PRETZEL</v>
      </c>
      <c r="AD710" s="1" t="s">
        <v>19</v>
      </c>
      <c r="AF710" s="1">
        <f>Table1[[#This Row],[C:C]]*1.1</f>
        <v>0</v>
      </c>
      <c r="AI710" s="1">
        <f>IFERROR(VLOOKUP(X710,#REF!,8,FALSE),0)</f>
        <v>0</v>
      </c>
    </row>
    <row r="711" spans="22:35" x14ac:dyDescent="0.35">
      <c r="V711" s="1" t="str">
        <v>S (30 TUBEN//ACA</v>
      </c>
      <c r="X711" s="1" t="str">
        <f t="shared" si="191"/>
        <v>CO FLAKE  RHNO40</v>
      </c>
      <c r="Y711" s="1" t="str" cm="1">
        <f t="array" ref="Y711">IFERROR(VLOOKUP($X711,$AN:AO,COLUMN(AO:AO)-COLUMN($AN:$AN)+1,FALSE),"")</f>
        <v>1-16IN DECO FLAKE  - 40LB BAGRHINO40LB BAG</v>
      </c>
      <c r="Z711" s="63" cm="1">
        <f t="array" ref="Z711">IFERROR(VLOOKUP($X711,$AN:AP,COLUMN(AP:AP)-COLUMN($AN:$AN)+1,FALSE),"")</f>
        <v>143</v>
      </c>
      <c r="AA711" s="1" t="str" cm="1">
        <f t="array" ref="AA711">IFERROR(VLOOKUP($X711,$AN:AQ,COLUMN(AQ:AQ)-COLUMN($AN:$AN)+1,FALSE),"")</f>
        <v>40LB BAG</v>
      </c>
      <c r="AC711" s="1" t="str" cm="1">
        <f t="array" ref="AC711">IFERROR(VLOOKUP($X711,$AN:AS,COLUMN(AS:AS)-COLUMN($AN:$AN)+1,FALSE),"")</f>
        <v>RHINO</v>
      </c>
      <c r="AD711" s="1" t="s">
        <v>19</v>
      </c>
      <c r="AF711" s="1">
        <f>Table1[[#This Row],[C:C]]*1.1</f>
        <v>0</v>
      </c>
      <c r="AI711" s="1">
        <f>IFERROR(VLOOKUP(X711,#REF!,8,FALSE),0)</f>
        <v>0</v>
      </c>
    </row>
    <row r="712" spans="22:35" x14ac:dyDescent="0.35">
      <c r="V712" s="1" t="str">
        <v>TUBES / CAGRAYTU</v>
      </c>
      <c r="X712" s="1" t="str">
        <f t="shared" si="191"/>
        <v>CO FLAKE  SINE40</v>
      </c>
      <c r="Y712" s="1" t="str" cm="1">
        <f t="array" ref="Y712">IFERROR(VLOOKUP($X712,$AN:AO,COLUMN(AO:AO)-COLUMN($AN:$AN)+1,FALSE),"")</f>
        <v>1-16IN DECO FLAKE  - 40LB BAGSILTSTONE40LB BAG</v>
      </c>
      <c r="Z712" s="63" cm="1">
        <f t="array" ref="Z712">IFERROR(VLOOKUP($X712,$AN:AP,COLUMN(AP:AP)-COLUMN($AN:$AN)+1,FALSE),"")</f>
        <v>143</v>
      </c>
      <c r="AA712" s="1" t="str" cm="1">
        <f t="array" ref="AA712">IFERROR(VLOOKUP($X712,$AN:AQ,COLUMN(AQ:AQ)-COLUMN($AN:$AN)+1,FALSE),"")</f>
        <v>40LB BAG</v>
      </c>
      <c r="AC712" s="1" t="str" cm="1">
        <f t="array" ref="AC712">IFERROR(VLOOKUP($X712,$AN:AS,COLUMN(AS:AS)-COLUMN($AN:$AN)+1,FALSE),"")</f>
        <v>SILTSTONE</v>
      </c>
      <c r="AD712" s="1" t="s">
        <v>19</v>
      </c>
      <c r="AF712" s="1">
        <f>Table1[[#This Row],[C:C]]*1.1</f>
        <v>0</v>
      </c>
      <c r="AI712" s="1">
        <f>IFERROR(VLOOKUP(X712,#REF!,8,FALSE),0)</f>
        <v>0</v>
      </c>
    </row>
    <row r="713" spans="22:35" x14ac:dyDescent="0.35">
      <c r="V713" s="1" t="str">
        <v>TUBES / CAGRAYCA</v>
      </c>
      <c r="X713" s="1" t="str">
        <f t="shared" si="191"/>
        <v>CO FLAKE  SPSH40</v>
      </c>
      <c r="Y713" s="1" t="str" cm="1">
        <f t="array" ref="Y713">IFERROR(VLOOKUP($X713,$AN:AO,COLUMN(AO:AO)-COLUMN($AN:$AN)+1,FALSE),"")</f>
        <v>1-16IN DECO FLAKE  - 40LB BAGSPECKLED ASH40LB BAG</v>
      </c>
      <c r="Z713" s="63" cm="1">
        <f t="array" ref="Z713">IFERROR(VLOOKUP($X713,$AN:AP,COLUMN(AP:AP)-COLUMN($AN:$AN)+1,FALSE),"")</f>
        <v>143</v>
      </c>
      <c r="AA713" s="1" t="str" cm="1">
        <f t="array" ref="AA713">IFERROR(VLOOKUP($X713,$AN:AQ,COLUMN(AQ:AQ)-COLUMN($AN:$AN)+1,FALSE),"")</f>
        <v>40LB BAG</v>
      </c>
      <c r="AC713" s="1" t="str" cm="1">
        <f t="array" ref="AC713">IFERROR(VLOOKUP($X713,$AN:AS,COLUMN(AS:AS)-COLUMN($AN:$AN)+1,FALSE),"")</f>
        <v>SPECKLED ASH</v>
      </c>
      <c r="AD713" s="1" t="s">
        <v>19</v>
      </c>
      <c r="AF713" s="1">
        <f>Table1[[#This Row],[C:C]]*1.1</f>
        <v>0</v>
      </c>
      <c r="AI713" s="1">
        <f>IFERROR(VLOOKUP(X713,#REF!,8,FALSE),0)</f>
        <v>0</v>
      </c>
    </row>
    <row r="714" spans="22:35" x14ac:dyDescent="0.35">
      <c r="V714" s="1" t="str">
        <v xml:space="preserve"> 3831 MVB N//A2 </v>
      </c>
      <c r="X714" s="1" t="str">
        <f t="shared" si="191"/>
        <v>CO FLAKE  TUEN40</v>
      </c>
      <c r="Y714" s="1" t="str" cm="1">
        <f t="array" ref="Y714">IFERROR(VLOOKUP($X714,$AN:AO,COLUMN(AO:AO)-COLUMN($AN:$AN)+1,FALSE),"")</f>
        <v>1-16IN DECO FLAKE  - 40LB BAGTUNGSTEN40LB BAG</v>
      </c>
      <c r="Z714" s="63" cm="1">
        <f t="array" ref="Z714">IFERROR(VLOOKUP($X714,$AN:AP,COLUMN(AP:AP)-COLUMN($AN:$AN)+1,FALSE),"")</f>
        <v>143</v>
      </c>
      <c r="AA714" s="1" t="str" cm="1">
        <f t="array" ref="AA714">IFERROR(VLOOKUP($X714,$AN:AQ,COLUMN(AQ:AQ)-COLUMN($AN:$AN)+1,FALSE),"")</f>
        <v>40LB BAG</v>
      </c>
      <c r="AC714" s="1" t="str" cm="1">
        <f t="array" ref="AC714">IFERROR(VLOOKUP($X714,$AN:AS,COLUMN(AS:AS)-COLUMN($AN:$AN)+1,FALSE),"")</f>
        <v>TUNGSTEN</v>
      </c>
      <c r="AD714" s="1" t="s">
        <v>19</v>
      </c>
      <c r="AF714" s="1">
        <f>Table1[[#This Row],[C:C]]*1.1</f>
        <v>0</v>
      </c>
      <c r="AI714" s="1">
        <f>IFERROR(VLOOKUP(X714,#REF!,8,FALSE),0)</f>
        <v>0</v>
      </c>
    </row>
    <row r="715" spans="22:35" x14ac:dyDescent="0.35">
      <c r="V715" s="1" t="str">
        <v xml:space="preserve"> 3831 MVB N//A10</v>
      </c>
      <c r="X715" s="1" t="str">
        <f t="shared" si="191"/>
        <v>CO FLAKE  WACH40</v>
      </c>
      <c r="Y715" s="1" t="str" cm="1">
        <f t="array" ref="Y715">IFERROR(VLOOKUP($X715,$AN:AO,COLUMN(AO:AO)-COLUMN($AN:$AN)+1,FALSE),"")</f>
        <v>1-16IN DECO FLAKE  - 40LB BAGWARM BEACH40LB BAG</v>
      </c>
      <c r="Z715" s="63" cm="1">
        <f t="array" ref="Z715">IFERROR(VLOOKUP($X715,$AN:AP,COLUMN(AP:AP)-COLUMN($AN:$AN)+1,FALSE),"")</f>
        <v>143</v>
      </c>
      <c r="AA715" s="1" t="str" cm="1">
        <f t="array" ref="AA715">IFERROR(VLOOKUP($X715,$AN:AQ,COLUMN(AQ:AQ)-COLUMN($AN:$AN)+1,FALSE),"")</f>
        <v>40LB BAG</v>
      </c>
      <c r="AC715" s="1" t="str" cm="1">
        <f t="array" ref="AC715">IFERROR(VLOOKUP($X715,$AN:AS,COLUMN(AS:AS)-COLUMN($AN:$AN)+1,FALSE),"")</f>
        <v>WARM BEACH</v>
      </c>
      <c r="AD715" s="1" t="s">
        <v>19</v>
      </c>
      <c r="AF715" s="1">
        <f>Table1[[#This Row],[C:C]]*1.1</f>
        <v>0</v>
      </c>
      <c r="AI715" s="1">
        <f>IFERROR(VLOOKUP(X715,#REF!,8,FALSE),0)</f>
        <v>0</v>
      </c>
    </row>
    <row r="716" spans="22:35" x14ac:dyDescent="0.35">
      <c r="V716" s="1" t="str">
        <v xml:space="preserve"> 3831 MVB N//A11</v>
      </c>
      <c r="X716" s="1" t="str">
        <f t="shared" si="191"/>
        <v>TUBES / CACHAYTU</v>
      </c>
      <c r="Y716" s="1" t="str" cm="1">
        <f t="array" ref="Y716">IFERROR(VLOOKUP($X716,$AN:AO,COLUMN(AO:AO)-COLUMN($AN:$AN)+1,FALSE),"")</f>
        <v>RS88 (12 TUBES / CASE)CHATEAU GRAYTUBE</v>
      </c>
      <c r="Z716" s="63" cm="1">
        <f t="array" ref="Z716">IFERROR(VLOOKUP($X716,$AN:AP,COLUMN(AP:AP)-COLUMN($AN:$AN)+1,FALSE),"")</f>
        <v>38.5</v>
      </c>
      <c r="AA716" s="1" t="str" cm="1">
        <f t="array" ref="AA716">IFERROR(VLOOKUP($X716,$AN:AQ,COLUMN(AQ:AQ)-COLUMN($AN:$AN)+1,FALSE),"")</f>
        <v>TUBE</v>
      </c>
      <c r="AC716" s="1" t="str" cm="1">
        <f t="array" ref="AC716">IFERROR(VLOOKUP($X716,$AN:AS,COLUMN(AS:AS)-COLUMN($AN:$AN)+1,FALSE),"")</f>
        <v>CHATEAU GRAY</v>
      </c>
      <c r="AD716" s="1" t="s">
        <v>19</v>
      </c>
      <c r="AF716" s="1">
        <f>Table1[[#This Row],[C:C]]*1.1</f>
        <v>0</v>
      </c>
      <c r="AI716" s="1">
        <f>IFERROR(VLOOKUP(X716,#REF!,8,FALSE),0)</f>
        <v>0</v>
      </c>
    </row>
    <row r="717" spans="22:35" x14ac:dyDescent="0.35">
      <c r="V717" s="1" t="str">
        <v xml:space="preserve">POFLEX 1:1GRAY2 </v>
      </c>
      <c r="X717" s="1" t="str">
        <f t="shared" ref="X717:X725" si="192">V705</f>
        <v>TUBES / CASTAYTU</v>
      </c>
      <c r="Y717" s="1" t="str" cm="1">
        <f t="array" ref="Y717">IFERROR(VLOOKUP($X717,$AN:AO,COLUMN(AO:AO)-COLUMN($AN:$AN)+1,FALSE),"")</f>
        <v>RS88 (12 TUBES / CASE)STANDARD GRAYTUBE</v>
      </c>
      <c r="Z717" s="63" cm="1">
        <f t="array" ref="Z717">IFERROR(VLOOKUP($X717,$AN:AP,COLUMN(AP:AP)-COLUMN($AN:$AN)+1,FALSE),"")</f>
        <v>38.5</v>
      </c>
      <c r="AA717" s="1" t="str" cm="1">
        <f t="array" ref="AA717">IFERROR(VLOOKUP($X717,$AN:AQ,COLUMN(AQ:AQ)-COLUMN($AN:$AN)+1,FALSE),"")</f>
        <v>TUBE</v>
      </c>
      <c r="AC717" s="1" t="str" cm="1">
        <f t="array" ref="AC717">IFERROR(VLOOKUP($X717,$AN:AS,COLUMN(AS:AS)-COLUMN($AN:$AN)+1,FALSE),"")</f>
        <v>STANDARD GRAY</v>
      </c>
      <c r="AD717" s="1" t="s">
        <v>19</v>
      </c>
      <c r="AF717" s="1">
        <f>Table1[[#This Row],[C:C]]*1.1</f>
        <v>0</v>
      </c>
      <c r="AI717" s="1">
        <f>IFERROR(VLOOKUP(X717,#REF!,8,FALSE),0)</f>
        <v>0</v>
      </c>
    </row>
    <row r="718" spans="22:35" x14ac:dyDescent="0.35">
      <c r="V718" s="1" t="str">
        <v>POFLEX 1:1GRAY10</v>
      </c>
      <c r="X718" s="1" t="str">
        <f t="shared" si="192"/>
        <v>TUBES / CAGREATU</v>
      </c>
      <c r="Y718" s="1" t="str" cm="1">
        <f t="array" ref="Y718">IFERROR(VLOOKUP($X718,$AN:AO,COLUMN(AO:AO)-COLUMN($AN:$AN)+1,FALSE),"")</f>
        <v>RS88 (12 TUBES / CASE)GRAY AREATUBE</v>
      </c>
      <c r="Z718" s="63" cm="1">
        <f t="array" ref="Z718">IFERROR(VLOOKUP($X718,$AN:AP,COLUMN(AP:AP)-COLUMN($AN:$AN)+1,FALSE),"")</f>
        <v>38.5</v>
      </c>
      <c r="AA718" s="1" t="str" cm="1">
        <f t="array" ref="AA718">IFERROR(VLOOKUP($X718,$AN:AQ,COLUMN(AQ:AQ)-COLUMN($AN:$AN)+1,FALSE),"")</f>
        <v>TUBE</v>
      </c>
      <c r="AC718" s="1" t="str" cm="1">
        <f t="array" ref="AC718">IFERROR(VLOOKUP($X718,$AN:AS,COLUMN(AS:AS)-COLUMN($AN:$AN)+1,FALSE),"")</f>
        <v>GRAY AREA</v>
      </c>
      <c r="AD718" s="1" t="s">
        <v>19</v>
      </c>
      <c r="AF718" s="1">
        <f>Table1[[#This Row],[C:C]]*1.1</f>
        <v>0</v>
      </c>
      <c r="AI718" s="1">
        <f>IFERROR(VLOOKUP(X718,#REF!,8,FALSE),0)</f>
        <v>0</v>
      </c>
    </row>
    <row r="719" spans="22:35" x14ac:dyDescent="0.35">
      <c r="V719" s="1" t="str">
        <v xml:space="preserve">3760 MPE MN//A3 </v>
      </c>
      <c r="X719" s="1" t="str">
        <f t="shared" si="192"/>
        <v>TUBES / CACHAYCA</v>
      </c>
      <c r="Y719" s="1" t="str" cm="1">
        <f t="array" ref="Y719">IFERROR(VLOOKUP($X719,$AN:AO,COLUMN(AO:AO)-COLUMN($AN:$AN)+1,FALSE),"")</f>
        <v>RS88 (12 TUBES / CASE)CHATEAU GRAYCASE</v>
      </c>
      <c r="Z719" s="63" cm="1">
        <f t="array" ref="Z719">IFERROR(VLOOKUP($X719,$AN:AP,COLUMN(AP:AP)-COLUMN($AN:$AN)+1,FALSE),"")</f>
        <v>462</v>
      </c>
      <c r="AA719" s="1" t="str" cm="1">
        <f t="array" ref="AA719">IFERROR(VLOOKUP($X719,$AN:AQ,COLUMN(AQ:AQ)-COLUMN($AN:$AN)+1,FALSE),"")</f>
        <v>CASE</v>
      </c>
      <c r="AC719" s="1" t="str" cm="1">
        <f t="array" ref="AC719">IFERROR(VLOOKUP($X719,$AN:AS,COLUMN(AS:AS)-COLUMN($AN:$AN)+1,FALSE),"")</f>
        <v>CHATEAU GRAY</v>
      </c>
      <c r="AD719" s="1" t="s">
        <v>19</v>
      </c>
      <c r="AF719" s="1">
        <f>Table1[[#This Row],[C:C]]*1.1</f>
        <v>0</v>
      </c>
      <c r="AI719" s="1">
        <f>IFERROR(VLOOKUP(X719,#REF!,8,FALSE),0)</f>
        <v>0</v>
      </c>
    </row>
    <row r="720" spans="22:35" x14ac:dyDescent="0.35">
      <c r="V720" s="1" t="str">
        <v>3760 MPE MN//A15</v>
      </c>
      <c r="X720" s="1" t="str">
        <f t="shared" si="192"/>
        <v>TUBES / CASTAYCA</v>
      </c>
      <c r="Y720" s="1" t="str" cm="1">
        <f t="array" ref="Y720">IFERROR(VLOOKUP($X720,$AN:AO,COLUMN(AO:AO)-COLUMN($AN:$AN)+1,FALSE),"")</f>
        <v>RS88 (12 TUBES / CASE)STANDARD GRAYCASE</v>
      </c>
      <c r="Z720" s="63" cm="1">
        <f t="array" ref="Z720">IFERROR(VLOOKUP($X720,$AN:AP,COLUMN(AP:AP)-COLUMN($AN:$AN)+1,FALSE),"")</f>
        <v>462</v>
      </c>
      <c r="AA720" s="1" t="str" cm="1">
        <f t="array" ref="AA720">IFERROR(VLOOKUP($X720,$AN:AQ,COLUMN(AQ:AQ)-COLUMN($AN:$AN)+1,FALSE),"")</f>
        <v>CASE</v>
      </c>
      <c r="AC720" s="1" t="str" cm="1">
        <f t="array" ref="AC720">IFERROR(VLOOKUP($X720,$AN:AS,COLUMN(AS:AS)-COLUMN($AN:$AN)+1,FALSE),"")</f>
        <v>STANDARD GRAY</v>
      </c>
      <c r="AD720" s="1" t="s">
        <v>19</v>
      </c>
      <c r="AF720" s="1">
        <f>Table1[[#This Row],[C:C]]*1.1</f>
        <v>0</v>
      </c>
      <c r="AI720" s="1">
        <f>IFERROR(VLOOKUP(X720,#REF!,8,FALSE),0)</f>
        <v>0</v>
      </c>
    </row>
    <row r="721" spans="22:35" x14ac:dyDescent="0.35">
      <c r="V721" s="1" t="str">
        <v>3760 MPE MN//A16</v>
      </c>
      <c r="X721" s="1" t="str">
        <f t="shared" si="192"/>
        <v>TUBES / CAGREACA</v>
      </c>
      <c r="Y721" s="1" t="str" cm="1">
        <f t="array" ref="Y721">IFERROR(VLOOKUP($X721,$AN:AO,COLUMN(AO:AO)-COLUMN($AN:$AN)+1,FALSE),"")</f>
        <v>RS88 (12 TUBES / CASE)GRAY AREACASE</v>
      </c>
      <c r="Z721" s="63" cm="1">
        <f t="array" ref="Z721">IFERROR(VLOOKUP($X721,$AN:AP,COLUMN(AP:AP)-COLUMN($AN:$AN)+1,FALSE),"")</f>
        <v>462</v>
      </c>
      <c r="AA721" s="1" t="str" cm="1">
        <f t="array" ref="AA721">IFERROR(VLOOKUP($X721,$AN:AQ,COLUMN(AQ:AQ)-COLUMN($AN:$AN)+1,FALSE),"")</f>
        <v>CASE</v>
      </c>
      <c r="AC721" s="1" t="str" cm="1">
        <f t="array" ref="AC721">IFERROR(VLOOKUP($X721,$AN:AS,COLUMN(AS:AS)-COLUMN($AN:$AN)+1,FALSE),"")</f>
        <v>GRAY AREA</v>
      </c>
      <c r="AD721" s="1" t="s">
        <v>19</v>
      </c>
      <c r="AF721" s="1">
        <f>Table1[[#This Row],[C:C]]*1.1</f>
        <v>0</v>
      </c>
      <c r="AI721" s="1">
        <f>IFERROR(VLOOKUP(X721,#REF!,8,FALSE),0)</f>
        <v>0</v>
      </c>
    </row>
    <row r="722" spans="22:35" x14ac:dyDescent="0.35">
      <c r="V722" s="1" t="str">
        <v>TUBES / CABREDTU</v>
      </c>
      <c r="X722" s="1" t="str">
        <f t="shared" si="192"/>
        <v>S (30 TUBEN//ATU</v>
      </c>
      <c r="Y722" s="1" t="str" cm="1">
        <f t="array" ref="Y722">IFERROR(VLOOKUP($X722,$AN:AO,COLUMN(AO:AO)-COLUMN($AN:$AN)+1,FALSE),"")</f>
        <v>NP-1 TUBES (30 TUBE/CASE)N/ATUBE</v>
      </c>
      <c r="Z722" s="63" cm="1">
        <f t="array" ref="Z722">IFERROR(VLOOKUP($X722,$AN:AP,COLUMN(AP:AP)-COLUMN($AN:$AN)+1,FALSE),"")</f>
        <v>8.2899999999999991</v>
      </c>
      <c r="AA722" s="1" t="str" cm="1">
        <f t="array" ref="AA722">IFERROR(VLOOKUP($X722,$AN:AQ,COLUMN(AQ:AQ)-COLUMN($AN:$AN)+1,FALSE),"")</f>
        <v>TUBE</v>
      </c>
      <c r="AC722" s="1" t="str" cm="1">
        <f t="array" ref="AC722">IFERROR(VLOOKUP($X722,$AN:AS,COLUMN(AS:AS)-COLUMN($AN:$AN)+1,FALSE),"")</f>
        <v>N/A</v>
      </c>
      <c r="AD722" s="1" t="s">
        <v>19</v>
      </c>
      <c r="AF722" s="1">
        <f>Table1[[#This Row],[C:C]]*1.1</f>
        <v>0</v>
      </c>
      <c r="AI722" s="1">
        <f>IFERROR(VLOOKUP(X722,#REF!,8,FALSE),0)</f>
        <v>0</v>
      </c>
    </row>
    <row r="723" spans="22:35" x14ac:dyDescent="0.35">
      <c r="V723" s="1" t="str">
        <v>TUBES / CAOTERTU</v>
      </c>
      <c r="X723" s="1" t="str">
        <f t="shared" si="192"/>
        <v>S (30 TUBEN//ACA</v>
      </c>
      <c r="Y723" s="1" t="str" cm="1">
        <f t="array" ref="Y723">IFERROR(VLOOKUP($X723,$AN:AO,COLUMN(AO:AO)-COLUMN($AN:$AN)+1,FALSE),"")</f>
        <v>NP-1 TUBES (30 TUBE/CASE)N/ACASE</v>
      </c>
      <c r="Z723" s="63" cm="1">
        <f t="array" ref="Z723">IFERROR(VLOOKUP($X723,$AN:AP,COLUMN(AP:AP)-COLUMN($AN:$AN)+1,FALSE),"")</f>
        <v>210</v>
      </c>
      <c r="AA723" s="1" t="str" cm="1">
        <f t="array" ref="AA723">IFERROR(VLOOKUP($X723,$AN:AQ,COLUMN(AQ:AQ)-COLUMN($AN:$AN)+1,FALSE),"")</f>
        <v>CASE</v>
      </c>
      <c r="AC723" s="1" t="str" cm="1">
        <f t="array" ref="AC723">IFERROR(VLOOKUP($X723,$AN:AS,COLUMN(AS:AS)-COLUMN($AN:$AN)+1,FALSE),"")</f>
        <v>N/A</v>
      </c>
      <c r="AD723" s="1" t="s">
        <v>19</v>
      </c>
      <c r="AF723" s="1">
        <f>Table1[[#This Row],[C:C]]*1.1</f>
        <v>0</v>
      </c>
      <c r="AI723" s="1">
        <f>IFERROR(VLOOKUP(X723,#REF!,8,FALSE),0)</f>
        <v>0</v>
      </c>
    </row>
    <row r="724" spans="22:35" x14ac:dyDescent="0.35">
      <c r="V724" s="1" t="str">
        <v>TUBES / CABREDCA</v>
      </c>
      <c r="X724" s="1" t="str">
        <f t="shared" si="192"/>
        <v>TUBES / CAGRAYTU</v>
      </c>
      <c r="Y724" s="1" t="str" cm="1">
        <f t="array" ref="Y724">IFERROR(VLOOKUP($X724,$AN:AO,COLUMN(AO:AO)-COLUMN($AN:$AN)+1,FALSE),"")</f>
        <v>RS65 (12 TUBES / CASE)GRAYTUBE</v>
      </c>
      <c r="Z724" s="63" cm="1">
        <f t="array" ref="Z724">IFERROR(VLOOKUP($X724,$AN:AP,COLUMN(AP:AP)-COLUMN($AN:$AN)+1,FALSE),"")</f>
        <v>38.5</v>
      </c>
      <c r="AA724" s="1" t="str" cm="1">
        <f t="array" ref="AA724">IFERROR(VLOOKUP($X724,$AN:AQ,COLUMN(AQ:AQ)-COLUMN($AN:$AN)+1,FALSE),"")</f>
        <v>TUBE</v>
      </c>
      <c r="AC724" s="1" t="str" cm="1">
        <f t="array" ref="AC724">IFERROR(VLOOKUP($X724,$AN:AS,COLUMN(AS:AS)-COLUMN($AN:$AN)+1,FALSE),"")</f>
        <v>GRAY</v>
      </c>
      <c r="AD724" s="1" t="s">
        <v>19</v>
      </c>
      <c r="AF724" s="1">
        <f>Table1[[#This Row],[C:C]]*1.1</f>
        <v>0</v>
      </c>
      <c r="AI724" s="1">
        <f>IFERROR(VLOOKUP(X724,#REF!,8,FALSE),0)</f>
        <v>0</v>
      </c>
    </row>
    <row r="725" spans="22:35" x14ac:dyDescent="0.35">
      <c r="V725" s="1" t="str">
        <v>TUBES / CAOTERCA</v>
      </c>
      <c r="X725" s="1" t="str">
        <f t="shared" si="192"/>
        <v>TUBES / CAGRAYCA</v>
      </c>
      <c r="Y725" s="1" t="str" cm="1">
        <f t="array" ref="Y725">IFERROR(VLOOKUP($X725,$AN:AO,COLUMN(AO:AO)-COLUMN($AN:$AN)+1,FALSE),"")</f>
        <v>RS65 (12 TUBES / CASE)GRAYCASE</v>
      </c>
      <c r="Z725" s="63" cm="1">
        <f t="array" ref="Z725">IFERROR(VLOOKUP($X725,$AN:AP,COLUMN(AP:AP)-COLUMN($AN:$AN)+1,FALSE),"")</f>
        <v>462</v>
      </c>
      <c r="AA725" s="1" t="str" cm="1">
        <f t="array" ref="AA725">IFERROR(VLOOKUP($X725,$AN:AQ,COLUMN(AQ:AQ)-COLUMN($AN:$AN)+1,FALSE),"")</f>
        <v>CASE</v>
      </c>
      <c r="AC725" s="1" t="str" cm="1">
        <f t="array" ref="AC725">IFERROR(VLOOKUP($X725,$AN:AS,COLUMN(AS:AS)-COLUMN($AN:$AN)+1,FALSE),"")</f>
        <v>GRAY</v>
      </c>
      <c r="AD725" s="1" t="s">
        <v>19</v>
      </c>
      <c r="AF725" s="1">
        <f>Table1[[#This Row],[C:C]]*1.1</f>
        <v>0</v>
      </c>
      <c r="AI725" s="1">
        <f>IFERROR(VLOOKUP(X725,#REF!,8,FALSE),0)</f>
        <v>0</v>
      </c>
    </row>
    <row r="726" spans="22:35" x14ac:dyDescent="0.35">
      <c r="V726" s="1" t="str">
        <v>4640 HTS 1CLAR1.</v>
      </c>
      <c r="X726" s="1" t="str">
        <f t="shared" ref="X726:X789" si="193">V714</f>
        <v xml:space="preserve"> 3831 MVB N//A2 </v>
      </c>
      <c r="Y726" s="1" t="str" cm="1">
        <f t="array" ref="Y726">IFERROR(VLOOKUP($X726,$AN:AO,COLUMN(AO:AO)-COLUMN($AN:$AN)+1,FALSE),"")</f>
        <v>RESUPRIME 3831 MVB MOISTURE EPOXY PRIMERN/A2 GAL</v>
      </c>
      <c r="Z726" s="63" cm="1">
        <f t="array" ref="Z726">IFERROR(VLOOKUP($X726,$AN:AP,COLUMN(AP:AP)-COLUMN($AN:$AN)+1,FALSE),"")</f>
        <v>135.36000000000001</v>
      </c>
      <c r="AA726" s="1" t="str" cm="1">
        <f t="array" ref="AA726">IFERROR(VLOOKUP($X726,$AN:AQ,COLUMN(AQ:AQ)-COLUMN($AN:$AN)+1,FALSE),"")</f>
        <v>2 GAL</v>
      </c>
      <c r="AC726" s="1" t="str" cm="1">
        <f t="array" ref="AC726">IFERROR(VLOOKUP($X726,$AN:AS,COLUMN(AS:AS)-COLUMN($AN:$AN)+1,FALSE),"")</f>
        <v>N/A</v>
      </c>
      <c r="AD726" s="1" t="s">
        <v>19</v>
      </c>
      <c r="AF726" s="1">
        <f>Table1[[#This Row],[C:C]]*1.1</f>
        <v>0</v>
      </c>
      <c r="AI726" s="1">
        <f>IFERROR(VLOOKUP(X726,#REF!,8,FALSE),0)</f>
        <v>0</v>
      </c>
    </row>
    <row r="727" spans="22:35" x14ac:dyDescent="0.35">
      <c r="V727" s="1" t="str">
        <v>4640 HTS 1CLAR2.</v>
      </c>
      <c r="X727" s="1" t="str">
        <f t="shared" si="193"/>
        <v xml:space="preserve"> 3831 MVB N//A10</v>
      </c>
      <c r="Y727" s="1" t="str" cm="1">
        <f t="array" ref="Y727">IFERROR(VLOOKUP($X727,$AN:AO,COLUMN(AO:AO)-COLUMN($AN:$AN)+1,FALSE),"")</f>
        <v>RESUPRIME 3831 MVB MOISTURE EPOXY PRIMERN/A10 GAL</v>
      </c>
      <c r="Z727" s="63" cm="1">
        <f t="array" ref="Z727">IFERROR(VLOOKUP($X727,$AN:AP,COLUMN(AP:AP)-COLUMN($AN:$AN)+1,FALSE),"")</f>
        <v>641.47</v>
      </c>
      <c r="AA727" s="1" t="str" cm="1">
        <f t="array" ref="AA727">IFERROR(VLOOKUP($X727,$AN:AQ,COLUMN(AQ:AQ)-COLUMN($AN:$AN)+1,FALSE),"")</f>
        <v>10 GAL</v>
      </c>
      <c r="AC727" s="1" t="str" cm="1">
        <f t="array" ref="AC727">IFERROR(VLOOKUP($X727,$AN:AS,COLUMN(AS:AS)-COLUMN($AN:$AN)+1,FALSE),"")</f>
        <v>N/A</v>
      </c>
      <c r="AD727" s="1" t="s">
        <v>19</v>
      </c>
      <c r="AF727" s="1">
        <f>Table1[[#This Row],[C:C]]*1.1</f>
        <v>0</v>
      </c>
      <c r="AI727" s="1">
        <f>IFERROR(VLOOKUP(X727,#REF!,8,FALSE),0)</f>
        <v>0</v>
      </c>
    </row>
    <row r="728" spans="22:35" x14ac:dyDescent="0.35">
      <c r="V728" s="1" t="str">
        <v>4640 HTS 1CLAR5.</v>
      </c>
      <c r="X728" s="1" t="str">
        <f t="shared" si="193"/>
        <v xml:space="preserve"> 3831 MVB N//A11</v>
      </c>
      <c r="Y728" s="1" t="str" cm="1">
        <f t="array" ref="Y728">IFERROR(VLOOKUP($X728,$AN:AO,COLUMN(AO:AO)-COLUMN($AN:$AN)+1,FALSE),"")</f>
        <v>RESUPRIME 3831 MVB MOISTURE EPOXY PRIMERN/A110 GAL</v>
      </c>
      <c r="Z728" s="63" cm="1">
        <f t="array" ref="Z728">IFERROR(VLOOKUP($X728,$AN:AP,COLUMN(AP:AP)-COLUMN($AN:$AN)+1,FALSE),"")</f>
        <v>5826.15</v>
      </c>
      <c r="AA728" s="1" t="str" cm="1">
        <f t="array" ref="AA728">IFERROR(VLOOKUP($X728,$AN:AQ,COLUMN(AQ:AQ)-COLUMN($AN:$AN)+1,FALSE),"")</f>
        <v>110 GAL</v>
      </c>
      <c r="AC728" s="1" t="str" cm="1">
        <f t="array" ref="AC728">IFERROR(VLOOKUP($X728,$AN:AS,COLUMN(AS:AS)-COLUMN($AN:$AN)+1,FALSE),"")</f>
        <v>N/A</v>
      </c>
      <c r="AD728" s="1" t="s">
        <v>19</v>
      </c>
      <c r="AF728" s="1">
        <f>Table1[[#This Row],[C:C]]*1.1</f>
        <v>0</v>
      </c>
      <c r="AI728" s="1">
        <f>IFERROR(VLOOKUP(X728,#REF!,8,FALSE),0)</f>
        <v>0</v>
      </c>
    </row>
    <row r="729" spans="22:35" x14ac:dyDescent="0.35">
      <c r="V729" s="1" t="str">
        <v>RSAL COLORBlck1 Pt</v>
      </c>
      <c r="X729" s="1" t="str">
        <f t="shared" si="193"/>
        <v xml:space="preserve">POFLEX 1:1GRAY2 </v>
      </c>
      <c r="Y729" s="1" t="str" cm="1">
        <f t="array" ref="Y729">IFERROR(VLOOKUP($X729,$AN:AO,COLUMN(AO:AO)-COLUMN($AN:$AN)+1,FALSE),"")</f>
        <v>GP 3555 EPOFLEX 1:1GRAY2 GAL</v>
      </c>
      <c r="Z729" s="63" cm="1">
        <f t="array" ref="Z729">IFERROR(VLOOKUP($X729,$AN:AP,COLUMN(AP:AP)-COLUMN($AN:$AN)+1,FALSE),"")</f>
        <v>216.57</v>
      </c>
      <c r="AA729" s="1" t="str" cm="1">
        <f t="array" ref="AA729">IFERROR(VLOOKUP($X729,$AN:AQ,COLUMN(AQ:AQ)-COLUMN($AN:$AN)+1,FALSE),"")</f>
        <v>2 GAL</v>
      </c>
      <c r="AC729" s="1" t="str" cm="1">
        <f t="array" ref="AC729">IFERROR(VLOOKUP($X729,$AN:AS,COLUMN(AS:AS)-COLUMN($AN:$AN)+1,FALSE),"")</f>
        <v>GRAY</v>
      </c>
      <c r="AD729" s="1" t="s">
        <v>19</v>
      </c>
      <c r="AF729" s="1">
        <f>Table1[[#This Row],[C:C]]*1.1</f>
        <v>0</v>
      </c>
      <c r="AI729" s="1">
        <f>IFERROR(VLOOKUP(X729,#REF!,8,FALSE),0)</f>
        <v>0</v>
      </c>
    </row>
    <row r="730" spans="22:35" x14ac:dyDescent="0.35">
      <c r="V730" s="1" t="str">
        <v>RSAL COLORYeow1 Pt</v>
      </c>
      <c r="X730" s="1" t="str">
        <f t="shared" si="193"/>
        <v>POFLEX 1:1GRAY10</v>
      </c>
      <c r="Y730" s="1" t="str" cm="1">
        <f t="array" ref="Y730">IFERROR(VLOOKUP($X730,$AN:AO,COLUMN(AO:AO)-COLUMN($AN:$AN)+1,FALSE),"")</f>
        <v>GP 3555 EPOFLEX 1:1GRAY10 GAL</v>
      </c>
      <c r="Z730" s="63" cm="1">
        <f t="array" ref="Z730">IFERROR(VLOOKUP($X730,$AN:AP,COLUMN(AP:AP)-COLUMN($AN:$AN)+1,FALSE),"")</f>
        <v>946.31</v>
      </c>
      <c r="AA730" s="1" t="str" cm="1">
        <f t="array" ref="AA730">IFERROR(VLOOKUP($X730,$AN:AQ,COLUMN(AQ:AQ)-COLUMN($AN:$AN)+1,FALSE),"")</f>
        <v>10 GAL</v>
      </c>
      <c r="AC730" s="1" t="str" cm="1">
        <f t="array" ref="AC730">IFERROR(VLOOKUP($X730,$AN:AS,COLUMN(AS:AS)-COLUMN($AN:$AN)+1,FALSE),"")</f>
        <v>GRAY</v>
      </c>
      <c r="AD730" s="1" t="s">
        <v>19</v>
      </c>
      <c r="AF730" s="1">
        <f>Table1[[#This Row],[C:C]]*1.1</f>
        <v>0</v>
      </c>
      <c r="AI730" s="1">
        <f>IFERROR(VLOOKUP(X730,#REF!,8,FALSE),0)</f>
        <v>0</v>
      </c>
    </row>
    <row r="731" spans="22:35" x14ac:dyDescent="0.35">
      <c r="V731" s="1" t="str">
        <v>RSAL COLORCaay1 Pt</v>
      </c>
      <c r="X731" s="1" t="str">
        <f t="shared" si="193"/>
        <v xml:space="preserve">3760 MPE MN//A3 </v>
      </c>
      <c r="Y731" s="1" t="str" cm="1">
        <f t="array" ref="Y731">IFERROR(VLOOKUP($X731,$AN:AO,COLUMN(AO:AO)-COLUMN($AN:$AN)+1,FALSE),"")</f>
        <v>RESUFLOR 3760 MPE MULTI-PURPOSE EPOXYN/A3 GAL</v>
      </c>
      <c r="Z731" s="63" cm="1">
        <f t="array" ref="Z731">IFERROR(VLOOKUP($X731,$AN:AP,COLUMN(AP:AP)-COLUMN($AN:$AN)+1,FALSE),"")</f>
        <v>177.73</v>
      </c>
      <c r="AA731" s="1" t="str" cm="1">
        <f t="array" ref="AA731">IFERROR(VLOOKUP($X731,$AN:AQ,COLUMN(AQ:AQ)-COLUMN($AN:$AN)+1,FALSE),"")</f>
        <v>3 GAL</v>
      </c>
      <c r="AC731" s="1" t="str" cm="1">
        <f t="array" ref="AC731">IFERROR(VLOOKUP($X731,$AN:AS,COLUMN(AS:AS)-COLUMN($AN:$AN)+1,FALSE),"")</f>
        <v>N/A</v>
      </c>
      <c r="AD731" s="1" t="s">
        <v>19</v>
      </c>
      <c r="AF731" s="1">
        <f>Table1[[#This Row],[C:C]]*1.1</f>
        <v>0</v>
      </c>
      <c r="AI731" s="1">
        <f>IFERROR(VLOOKUP(X731,#REF!,8,FALSE),0)</f>
        <v>0</v>
      </c>
    </row>
    <row r="732" spans="22:35" x14ac:dyDescent="0.35">
      <c r="V732" s="1" t="str">
        <v>RSAL COLORChal1 Pt</v>
      </c>
      <c r="X732" s="1" t="str">
        <f t="shared" si="193"/>
        <v>3760 MPE MN//A15</v>
      </c>
      <c r="Y732" s="1" t="str" cm="1">
        <f t="array" ref="Y732">IFERROR(VLOOKUP($X732,$AN:AO,COLUMN(AO:AO)-COLUMN($AN:$AN)+1,FALSE),"")</f>
        <v>RESUFLOR 3760 MPE MULTI-PURPOSE EPOXYN/A15 GAL</v>
      </c>
      <c r="Z732" s="63" cm="1">
        <f t="array" ref="Z732">IFERROR(VLOOKUP($X732,$AN:AP,COLUMN(AP:AP)-COLUMN($AN:$AN)+1,FALSE),"")</f>
        <v>847.44</v>
      </c>
      <c r="AA732" s="1" t="str" cm="1">
        <f t="array" ref="AA732">IFERROR(VLOOKUP($X732,$AN:AQ,COLUMN(AQ:AQ)-COLUMN($AN:$AN)+1,FALSE),"")</f>
        <v>15 GAL</v>
      </c>
      <c r="AC732" s="1" t="str" cm="1">
        <f t="array" ref="AC732">IFERROR(VLOOKUP($X732,$AN:AS,COLUMN(AS:AS)-COLUMN($AN:$AN)+1,FALSE),"")</f>
        <v>N/A</v>
      </c>
      <c r="AD732" s="1" t="s">
        <v>19</v>
      </c>
      <c r="AF732" s="1">
        <f>Table1[[#This Row],[C:C]]*1.1</f>
        <v>0</v>
      </c>
      <c r="AI732" s="1">
        <f>IFERROR(VLOOKUP(X732,#REF!,8,FALSE),0)</f>
        <v>0</v>
      </c>
    </row>
    <row r="733" spans="22:35" x14ac:dyDescent="0.35">
      <c r="V733" s="1" t="str">
        <v>RSAL COLORLiay1 Pt</v>
      </c>
      <c r="X733" s="1" t="str">
        <f t="shared" si="193"/>
        <v>3760 MPE MN//A16</v>
      </c>
      <c r="Y733" s="1" t="str" cm="1">
        <f t="array" ref="Y733">IFERROR(VLOOKUP($X733,$AN:AO,COLUMN(AO:AO)-COLUMN($AN:$AN)+1,FALSE),"")</f>
        <v>RESUFLOR 3760 MPE MULTI-PURPOSE EPOXYN/A165 GAL</v>
      </c>
      <c r="Z733" s="63" cm="1">
        <f t="array" ref="Z733">IFERROR(VLOOKUP($X733,$AN:AP,COLUMN(AP:AP)-COLUMN($AN:$AN)+1,FALSE),"")</f>
        <v>16242.6</v>
      </c>
      <c r="AA733" s="1" t="str" cm="1">
        <f t="array" ref="AA733">IFERROR(VLOOKUP($X733,$AN:AQ,COLUMN(AQ:AQ)-COLUMN($AN:$AN)+1,FALSE),"")</f>
        <v>165 GAL</v>
      </c>
      <c r="AC733" s="1" t="str" cm="1">
        <f t="array" ref="AC733">IFERROR(VLOOKUP($X733,$AN:AS,COLUMN(AS:AS)-COLUMN($AN:$AN)+1,FALSE),"")</f>
        <v>N/A</v>
      </c>
      <c r="AD733" s="1" t="s">
        <v>19</v>
      </c>
      <c r="AF733" s="1">
        <f>Table1[[#This Row],[C:C]]*1.1</f>
        <v>0</v>
      </c>
      <c r="AI733" s="1">
        <f>IFERROR(VLOOKUP(X733,#REF!,8,FALSE),0)</f>
        <v>0</v>
      </c>
    </row>
    <row r="734" spans="22:35" x14ac:dyDescent="0.35">
      <c r="V734" s="1" t="str">
        <v>RSAL COLORReue1 Pt</v>
      </c>
      <c r="X734" s="1" t="str">
        <f t="shared" si="193"/>
        <v>TUBES / CABREDTU</v>
      </c>
      <c r="Y734" s="1" t="str" cm="1">
        <f t="array" ref="Y734">IFERROR(VLOOKUP($X734,$AN:AO,COLUMN(AO:AO)-COLUMN($AN:$AN)+1,FALSE),"")</f>
        <v>RS88 (12 TUBES / CASE)BRICKPAVER REDTUBE</v>
      </c>
      <c r="Z734" s="63" cm="1">
        <f t="array" ref="Z734">IFERROR(VLOOKUP($X734,$AN:AP,COLUMN(AP:AP)-COLUMN($AN:$AN)+1,FALSE),"")</f>
        <v>38.5</v>
      </c>
      <c r="AA734" s="1" t="str" cm="1">
        <f t="array" ref="AA734">IFERROR(VLOOKUP($X734,$AN:AQ,COLUMN(AQ:AQ)-COLUMN($AN:$AN)+1,FALSE),"")</f>
        <v>TUBE</v>
      </c>
      <c r="AC734" s="1" t="str" cm="1">
        <f t="array" ref="AC734">IFERROR(VLOOKUP($X734,$AN:AS,COLUMN(AS:AS)-COLUMN($AN:$AN)+1,FALSE),"")</f>
        <v>BRICKPAVER RED</v>
      </c>
      <c r="AD734" s="1" t="s">
        <v>19</v>
      </c>
      <c r="AF734" s="1">
        <f>Table1[[#This Row],[C:C]]*1.1</f>
        <v>0</v>
      </c>
      <c r="AI734" s="1">
        <f>IFERROR(VLOOKUP(X734,#REF!,8,FALSE),0)</f>
        <v>0</v>
      </c>
    </row>
    <row r="735" spans="22:35" x14ac:dyDescent="0.35">
      <c r="V735" s="1" t="str">
        <v>RSAL COLORRien1 Pt</v>
      </c>
      <c r="X735" s="1" t="str">
        <f t="shared" si="193"/>
        <v>TUBES / CAOTERTU</v>
      </c>
      <c r="Y735" s="1" t="str" cm="1">
        <f t="array" ref="Y735">IFERROR(VLOOKUP($X735,$AN:AO,COLUMN(AO:AO)-COLUMN($AN:$AN)+1,FALSE),"")</f>
        <v>RS88 (12 TUBES / CASE)OTHERTUBE</v>
      </c>
      <c r="Z735" s="63" cm="1">
        <f t="array" ref="Z735">IFERROR(VLOOKUP($X735,$AN:AP,COLUMN(AP:AP)-COLUMN($AN:$AN)+1,FALSE),"")</f>
        <v>38.5</v>
      </c>
      <c r="AA735" s="1" t="str" cm="1">
        <f t="array" ref="AA735">IFERROR(VLOOKUP($X735,$AN:AQ,COLUMN(AQ:AQ)-COLUMN($AN:$AN)+1,FALSE),"")</f>
        <v>TUBE</v>
      </c>
      <c r="AC735" s="1" t="str" cm="1">
        <f t="array" ref="AC735">IFERROR(VLOOKUP($X735,$AN:AS,COLUMN(AS:AS)-COLUMN($AN:$AN)+1,FALSE),"")</f>
        <v>OTHER</v>
      </c>
      <c r="AD735" s="1" t="s">
        <v>19</v>
      </c>
      <c r="AF735" s="1">
        <f>Table1[[#This Row],[C:C]]*1.1</f>
        <v>0</v>
      </c>
      <c r="AI735" s="1">
        <f>IFERROR(VLOOKUP(X735,#REF!,8,FALSE),0)</f>
        <v>0</v>
      </c>
    </row>
    <row r="736" spans="22:35" x14ac:dyDescent="0.35">
      <c r="V736" s="1" t="str">
        <v>RSAL COLORRoed1 Pt</v>
      </c>
      <c r="X736" s="1" t="str">
        <f t="shared" si="193"/>
        <v>TUBES / CABREDCA</v>
      </c>
      <c r="Y736" s="1" t="str" cm="1">
        <f t="array" ref="Y736">IFERROR(VLOOKUP($X736,$AN:AO,COLUMN(AO:AO)-COLUMN($AN:$AN)+1,FALSE),"")</f>
        <v>RS88 (12 TUBES / CASE)BRICKPAVER REDCASE</v>
      </c>
      <c r="Z736" s="63" cm="1">
        <f t="array" ref="Z736">IFERROR(VLOOKUP($X736,$AN:AP,COLUMN(AP:AP)-COLUMN($AN:$AN)+1,FALSE),"")</f>
        <v>462</v>
      </c>
      <c r="AA736" s="1" t="str" cm="1">
        <f t="array" ref="AA736">IFERROR(VLOOKUP($X736,$AN:AQ,COLUMN(AQ:AQ)-COLUMN($AN:$AN)+1,FALSE),"")</f>
        <v>CASE</v>
      </c>
      <c r="AC736" s="1" t="str" cm="1">
        <f t="array" ref="AC736">IFERROR(VLOOKUP($X736,$AN:AS,COLUMN(AS:AS)-COLUMN($AN:$AN)+1,FALSE),"")</f>
        <v>BRICKPAVER RED</v>
      </c>
      <c r="AD736" s="1" t="s">
        <v>19</v>
      </c>
      <c r="AF736" s="1">
        <v>0</v>
      </c>
      <c r="AI736" s="1">
        <f>IFERROR(VLOOKUP(X736,#REF!,8,FALSE),0)</f>
        <v>0</v>
      </c>
    </row>
    <row r="737" spans="22:35" x14ac:dyDescent="0.35">
      <c r="V737" s="1" t="str">
        <v>RSAL COLORSage1 Pt</v>
      </c>
      <c r="X737" s="1" t="str">
        <f t="shared" si="193"/>
        <v>TUBES / CAOTERCA</v>
      </c>
      <c r="Y737" s="1" t="str" cm="1">
        <f t="array" ref="Y737">IFERROR(VLOOKUP($X737,$AN:AO,COLUMN(AO:AO)-COLUMN($AN:$AN)+1,FALSE),"")</f>
        <v>RS88 (12 TUBES / CASE)OTHERCASE</v>
      </c>
      <c r="Z737" s="63" cm="1">
        <f t="array" ref="Z737">IFERROR(VLOOKUP($X737,$AN:AP,COLUMN(AP:AP)-COLUMN($AN:$AN)+1,FALSE),"")</f>
        <v>462</v>
      </c>
      <c r="AA737" s="1" t="str" cm="1">
        <f t="array" ref="AA737">IFERROR(VLOOKUP($X737,$AN:AQ,COLUMN(AQ:AQ)-COLUMN($AN:$AN)+1,FALSE),"")</f>
        <v>CASE</v>
      </c>
      <c r="AC737" s="1" t="str" cm="1">
        <f t="array" ref="AC737">IFERROR(VLOOKUP($X737,$AN:AS,COLUMN(AS:AS)-COLUMN($AN:$AN)+1,FALSE),"")</f>
        <v>OTHER</v>
      </c>
      <c r="AD737" s="1" t="s">
        <v>19</v>
      </c>
      <c r="AF737" s="1">
        <f>Table1[[#This Row],[C:C]]*1.1</f>
        <v>0</v>
      </c>
      <c r="AI737" s="1">
        <f>IFERROR(VLOOKUP(X737,#REF!,8,FALSE),0)</f>
        <v>0</v>
      </c>
    </row>
    <row r="738" spans="22:35" x14ac:dyDescent="0.35">
      <c r="V738" s="1" t="str">
        <v>RSAL COLORStay1 Pt</v>
      </c>
      <c r="X738" s="1" t="str">
        <f t="shared" si="193"/>
        <v>4640 HTS 1CLAR1.</v>
      </c>
      <c r="Y738" s="1" t="str" cm="1">
        <f t="array" ref="Y738">IFERROR(VLOOKUP($X738,$AN:AO,COLUMN(AO:AO)-COLUMN($AN:$AN)+1,FALSE),"")</f>
        <v>RESUTILE 4640 HTS 100 HS HIGH TRAFFIC URETHANE ENAMELCLEAR1.2 GAL</v>
      </c>
      <c r="Z738" s="63" cm="1">
        <f t="array" ref="Z738">IFERROR(VLOOKUP($X738,$AN:AP,COLUMN(AP:AP)-COLUMN($AN:$AN)+1,FALSE),"")</f>
        <v>267.77</v>
      </c>
      <c r="AA738" s="1" t="str" cm="1">
        <f t="array" ref="AA738">IFERROR(VLOOKUP($X738,$AN:AQ,COLUMN(AQ:AQ)-COLUMN($AN:$AN)+1,FALSE),"")</f>
        <v>1.2 GAL</v>
      </c>
      <c r="AC738" s="1" t="str" cm="1">
        <f t="array" ref="AC738">IFERROR(VLOOKUP($X738,$AN:AS,COLUMN(AS:AS)-COLUMN($AN:$AN)+1,FALSE),"")</f>
        <v>CLEAR</v>
      </c>
      <c r="AD738" s="1" t="s">
        <v>19</v>
      </c>
      <c r="AF738" s="1">
        <f>Table1[[#This Row],[C:C]]*1.1</f>
        <v>0</v>
      </c>
      <c r="AI738" s="1">
        <f>IFERROR(VLOOKUP(X738,#REF!,8,FALSE),0)</f>
        <v>0</v>
      </c>
    </row>
    <row r="739" spans="22:35" x14ac:dyDescent="0.35">
      <c r="V739" s="1" t="str">
        <v>RSAL COLORTied1 Pt</v>
      </c>
      <c r="X739" s="1" t="str">
        <f t="shared" si="193"/>
        <v>4640 HTS 1CLAR2.</v>
      </c>
      <c r="Y739" s="1" t="str" cm="1">
        <f t="array" ref="Y739">IFERROR(VLOOKUP($X739,$AN:AO,COLUMN(AO:AO)-COLUMN($AN:$AN)+1,FALSE),"")</f>
        <v>RESUTILE 4640 HTS 100 HS HIGH TRAFFIC URETHANE ENAMELCLEAR2.2 GAL</v>
      </c>
      <c r="Z739" s="63" cm="1">
        <f t="array" ref="Z739">IFERROR(VLOOKUP($X739,$AN:AP,COLUMN(AP:AP)-COLUMN($AN:$AN)+1,FALSE),"")</f>
        <v>478.45</v>
      </c>
      <c r="AA739" s="1" t="str" cm="1">
        <f t="array" ref="AA739">IFERROR(VLOOKUP($X739,$AN:AQ,COLUMN(AQ:AQ)-COLUMN($AN:$AN)+1,FALSE),"")</f>
        <v>2.2 GAL</v>
      </c>
      <c r="AC739" s="1" t="str" cm="1">
        <f t="array" ref="AC739">IFERROR(VLOOKUP($X739,$AN:AS,COLUMN(AS:AS)-COLUMN($AN:$AN)+1,FALSE),"")</f>
        <v>CLEAR</v>
      </c>
      <c r="AD739" s="1" t="s">
        <v>19</v>
      </c>
      <c r="AF739" s="1">
        <f>Table1[[#This Row],[C:C]]*1.1</f>
        <v>0</v>
      </c>
      <c r="AI739" s="1">
        <f>IFERROR(VLOOKUP(X739,#REF!,8,FALSE),0)</f>
        <v>0</v>
      </c>
    </row>
    <row r="740" spans="22:35" x14ac:dyDescent="0.35">
      <c r="V740" s="1" t="str">
        <v>RSAL COLORWhte1 Pt</v>
      </c>
      <c r="X740" s="1" t="str">
        <f t="shared" si="193"/>
        <v>4640 HTS 1CLAR5.</v>
      </c>
      <c r="Y740" s="1" t="str" cm="1">
        <f t="array" ref="Y740">IFERROR(VLOOKUP($X740,$AN:AO,COLUMN(AO:AO)-COLUMN($AN:$AN)+1,FALSE),"")</f>
        <v>RESUTILE 4640 HTS 100 HS HIGH TRAFFIC URETHANE ENAMELCLEAR5.75 GAL</v>
      </c>
      <c r="Z740" s="63" cm="1">
        <f t="array" ref="Z740">IFERROR(VLOOKUP($X740,$AN:AP,COLUMN(AP:AP)-COLUMN($AN:$AN)+1,FALSE),"")</f>
        <v>948.07</v>
      </c>
      <c r="AA740" s="1" t="str" cm="1">
        <f t="array" ref="AA740">IFERROR(VLOOKUP($X740,$AN:AQ,COLUMN(AQ:AQ)-COLUMN($AN:$AN)+1,FALSE),"")</f>
        <v>5.75 GAL</v>
      </c>
      <c r="AC740" s="1" t="str" cm="1">
        <f t="array" ref="AC740">IFERROR(VLOOKUP($X740,$AN:AS,COLUMN(AS:AS)-COLUMN($AN:$AN)+1,FALSE),"")</f>
        <v>CLEAR</v>
      </c>
      <c r="AD740" s="1" t="s">
        <v>19</v>
      </c>
      <c r="AF740" s="1">
        <f>Table1[[#This Row],[C:C]]*1.1</f>
        <v>0</v>
      </c>
      <c r="AI740" s="1">
        <f>IFERROR(VLOOKUP(X740,#REF!,8,FALSE),0)</f>
        <v>0</v>
      </c>
    </row>
    <row r="741" spans="22:35" x14ac:dyDescent="0.35">
      <c r="V741" s="1" t="str">
        <v>RSAL COLORCaay25</v>
      </c>
      <c r="X741" s="1" t="str">
        <f t="shared" si="193"/>
        <v>RSAL COLORBlck1 Pt</v>
      </c>
      <c r="Y741" s="1" t="str" cm="1">
        <f t="array" ref="Y741">IFERROR(VLOOKUP($X741,$AN:AO,COLUMN(AO:AO)-COLUMN($AN:$AN)+1,FALSE),"")</f>
        <v>HPF UNIVERSAL COLORANTBlack1 Pt</v>
      </c>
      <c r="Z741" s="63" cm="1">
        <f t="array" ref="Z741">IFERROR(VLOOKUP($X741,$AN:AP,COLUMN(AP:AP)-COLUMN($AN:$AN)+1,FALSE),"")</f>
        <v>34.130000000000003</v>
      </c>
      <c r="AA741" s="1" t="str" cm="1">
        <f t="array" ref="AA741">IFERROR(VLOOKUP($X741,$AN:AQ,COLUMN(AQ:AQ)-COLUMN($AN:$AN)+1,FALSE),"")</f>
        <v>1 Pt</v>
      </c>
      <c r="AC741" s="1" t="str" cm="1">
        <f t="array" ref="AC741">IFERROR(VLOOKUP($X741,$AN:AS,COLUMN(AS:AS)-COLUMN($AN:$AN)+1,FALSE),"")</f>
        <v>Black</v>
      </c>
      <c r="AD741" s="1" t="s">
        <v>19</v>
      </c>
      <c r="AF741" s="1">
        <f>Table1[[#This Row],[C:C]]*1.1</f>
        <v>0</v>
      </c>
      <c r="AI741" s="1">
        <f>IFERROR(VLOOKUP(X741,#REF!,8,FALSE),0)</f>
        <v>0</v>
      </c>
    </row>
    <row r="742" spans="22:35" x14ac:dyDescent="0.35">
      <c r="V742" s="1" t="str">
        <v>RSAL COLORChal25</v>
      </c>
      <c r="X742" s="1" t="str">
        <f t="shared" si="193"/>
        <v>RSAL COLORYeow1 Pt</v>
      </c>
      <c r="Y742" s="1" t="str" cm="1">
        <f t="array" ref="Y742">IFERROR(VLOOKUP($X742,$AN:AO,COLUMN(AO:AO)-COLUMN($AN:$AN)+1,FALSE),"")</f>
        <v>HPF UNIVERSAL COLORANTYellow1 Pt</v>
      </c>
      <c r="Z742" s="63" cm="1">
        <f t="array" ref="Z742">IFERROR(VLOOKUP($X742,$AN:AP,COLUMN(AP:AP)-COLUMN($AN:$AN)+1,FALSE),"")</f>
        <v>58.85</v>
      </c>
      <c r="AA742" s="1" t="str" cm="1">
        <f t="array" ref="AA742">IFERROR(VLOOKUP($X742,$AN:AQ,COLUMN(AQ:AQ)-COLUMN($AN:$AN)+1,FALSE),"")</f>
        <v>1 Pt</v>
      </c>
      <c r="AC742" s="1" t="str" cm="1">
        <f t="array" ref="AC742">IFERROR(VLOOKUP($X742,$AN:AS,COLUMN(AS:AS)-COLUMN($AN:$AN)+1,FALSE),"")</f>
        <v>Yellow</v>
      </c>
      <c r="AD742" s="1" t="s">
        <v>19</v>
      </c>
      <c r="AF742" s="1">
        <f>Table1[[#This Row],[C:C]]*1.1</f>
        <v>0</v>
      </c>
      <c r="AI742" s="1">
        <f>IFERROR(VLOOKUP(X742,#REF!,8,FALSE),0)</f>
        <v>0</v>
      </c>
    </row>
    <row r="743" spans="22:35" x14ac:dyDescent="0.35">
      <c r="V743" s="1" t="str">
        <v>RSAL COLORLiay25</v>
      </c>
      <c r="X743" s="1" t="str">
        <f t="shared" si="193"/>
        <v>RSAL COLORCaay1 Pt</v>
      </c>
      <c r="Y743" s="1" t="str" cm="1">
        <f t="array" ref="Y743">IFERROR(VLOOKUP($X743,$AN:AO,COLUMN(AO:AO)-COLUMN($AN:$AN)+1,FALSE),"")</f>
        <v>HPF UNIVERSAL COLORANTCanada Gray1 Pt</v>
      </c>
      <c r="Z743" s="63" cm="1">
        <f t="array" ref="Z743">IFERROR(VLOOKUP($X743,$AN:AP,COLUMN(AP:AP)-COLUMN($AN:$AN)+1,FALSE),"")</f>
        <v>34.130000000000003</v>
      </c>
      <c r="AA743" s="1" t="str" cm="1">
        <f t="array" ref="AA743">IFERROR(VLOOKUP($X743,$AN:AQ,COLUMN(AQ:AQ)-COLUMN($AN:$AN)+1,FALSE),"")</f>
        <v>1 Pt</v>
      </c>
      <c r="AC743" s="1" t="str" cm="1">
        <f t="array" ref="AC743">IFERROR(VLOOKUP($X743,$AN:AS,COLUMN(AS:AS)-COLUMN($AN:$AN)+1,FALSE),"")</f>
        <v>Canada Gray</v>
      </c>
      <c r="AD743" s="1" t="s">
        <v>19</v>
      </c>
      <c r="AF743" s="1">
        <f>Table1[[#This Row],[C:C]]*1.1</f>
        <v>0</v>
      </c>
      <c r="AI743" s="1">
        <f>IFERROR(VLOOKUP(X743,#REF!,8,FALSE),0)</f>
        <v>0</v>
      </c>
    </row>
    <row r="744" spans="22:35" x14ac:dyDescent="0.35">
      <c r="V744" s="1" t="str">
        <v>RSAL COLORSage25</v>
      </c>
      <c r="X744" s="1" t="str">
        <f t="shared" si="193"/>
        <v>RSAL COLORChal1 Pt</v>
      </c>
      <c r="Y744" s="1" t="str" cm="1">
        <f t="array" ref="Y744">IFERROR(VLOOKUP($X744,$AN:AO,COLUMN(AO:AO)-COLUMN($AN:$AN)+1,FALSE),"")</f>
        <v>HPF UNIVERSAL COLORANTCharcoal1 Pt</v>
      </c>
      <c r="Z744" s="63" cm="1">
        <f t="array" ref="Z744">IFERROR(VLOOKUP($X744,$AN:AP,COLUMN(AP:AP)-COLUMN($AN:$AN)+1,FALSE),"")</f>
        <v>34.130000000000003</v>
      </c>
      <c r="AA744" s="1" t="str" cm="1">
        <f t="array" ref="AA744">IFERROR(VLOOKUP($X744,$AN:AQ,COLUMN(AQ:AQ)-COLUMN($AN:$AN)+1,FALSE),"")</f>
        <v>1 Pt</v>
      </c>
      <c r="AC744" s="1" t="str" cm="1">
        <f t="array" ref="AC744">IFERROR(VLOOKUP($X744,$AN:AS,COLUMN(AS:AS)-COLUMN($AN:$AN)+1,FALSE),"")</f>
        <v>Charcoal</v>
      </c>
      <c r="AD744" s="1" t="s">
        <v>19</v>
      </c>
      <c r="AF744" s="1">
        <f>Table1[[#This Row],[C:C]]*1.1</f>
        <v>0</v>
      </c>
      <c r="AI744" s="1">
        <f>IFERROR(VLOOKUP(X744,#REF!,8,FALSE),0)</f>
        <v>0</v>
      </c>
    </row>
    <row r="745" spans="22:35" x14ac:dyDescent="0.35">
      <c r="V745" s="1" t="str">
        <v>RSAL COLORStay25</v>
      </c>
      <c r="X745" s="1" t="str">
        <f t="shared" si="193"/>
        <v>RSAL COLORLiay1 Pt</v>
      </c>
      <c r="Y745" s="1" t="str" cm="1">
        <f t="array" ref="Y745">IFERROR(VLOOKUP($X745,$AN:AO,COLUMN(AO:AO)-COLUMN($AN:$AN)+1,FALSE),"")</f>
        <v>HPF UNIVERSAL COLORANTLight Gray1 Pt</v>
      </c>
      <c r="Z745" s="63" cm="1">
        <f t="array" ref="Z745">IFERROR(VLOOKUP($X745,$AN:AP,COLUMN(AP:AP)-COLUMN($AN:$AN)+1,FALSE),"")</f>
        <v>34.130000000000003</v>
      </c>
      <c r="AA745" s="1" t="str" cm="1">
        <f t="array" ref="AA745">IFERROR(VLOOKUP($X745,$AN:AQ,COLUMN(AQ:AQ)-COLUMN($AN:$AN)+1,FALSE),"")</f>
        <v>1 Pt</v>
      </c>
      <c r="AC745" s="1" t="str" cm="1">
        <f t="array" ref="AC745">IFERROR(VLOOKUP($X745,$AN:AS,COLUMN(AS:AS)-COLUMN($AN:$AN)+1,FALSE),"")</f>
        <v>Light Gray</v>
      </c>
      <c r="AD745" s="1" t="s">
        <v>19</v>
      </c>
      <c r="AF745" s="1">
        <f>Table1[[#This Row],[C:C]]*1.1</f>
        <v>0</v>
      </c>
      <c r="AI745" s="1">
        <f>IFERROR(VLOOKUP(X745,#REF!,8,FALSE),0)</f>
        <v>0</v>
      </c>
    </row>
    <row r="746" spans="22:35" x14ac:dyDescent="0.35">
      <c r="V746" s="1" t="str">
        <v>RSAL COLORWhte25</v>
      </c>
      <c r="X746" s="1" t="str">
        <f t="shared" si="193"/>
        <v>RSAL COLORReue1 Pt</v>
      </c>
      <c r="Y746" s="1" t="str" cm="1">
        <f t="array" ref="Y746">IFERROR(VLOOKUP($X746,$AN:AO,COLUMN(AO:AO)-COLUMN($AN:$AN)+1,FALSE),"")</f>
        <v>HPF UNIVERSAL COLORANTRegal Blue1 Pt</v>
      </c>
      <c r="Z746" s="63" cm="1">
        <f t="array" ref="Z746">IFERROR(VLOOKUP($X746,$AN:AP,COLUMN(AP:AP)-COLUMN($AN:$AN)+1,FALSE),"")</f>
        <v>34.130000000000003</v>
      </c>
      <c r="AA746" s="1" t="str" cm="1">
        <f t="array" ref="AA746">IFERROR(VLOOKUP($X746,$AN:AQ,COLUMN(AQ:AQ)-COLUMN($AN:$AN)+1,FALSE),"")</f>
        <v>1 Pt</v>
      </c>
      <c r="AC746" s="1" t="str" cm="1">
        <f t="array" ref="AC746">IFERROR(VLOOKUP($X746,$AN:AS,COLUMN(AS:AS)-COLUMN($AN:$AN)+1,FALSE),"")</f>
        <v>Regal Blue</v>
      </c>
      <c r="AD746" s="1" t="s">
        <v>19</v>
      </c>
      <c r="AF746" s="1">
        <f>Table1[[#This Row],[C:C]]*1.1</f>
        <v>0</v>
      </c>
      <c r="AI746" s="1">
        <f>IFERROR(VLOOKUP(X746,#REF!,8,FALSE),0)</f>
        <v>0</v>
      </c>
    </row>
    <row r="747" spans="22:35" x14ac:dyDescent="0.35">
      <c r="V747" s="1" t="str">
        <v xml:space="preserve"> P-101 PRICLAR50</v>
      </c>
      <c r="X747" s="1" t="str">
        <f t="shared" si="193"/>
        <v>RSAL COLORRien1 Pt</v>
      </c>
      <c r="Y747" s="1" t="str" cm="1">
        <f t="array" ref="Y747">IFERROR(VLOOKUP($X747,$AN:AO,COLUMN(AO:AO)-COLUMN($AN:$AN)+1,FALSE),"")</f>
        <v>HPF UNIVERSAL COLORANTRich Green1 Pt</v>
      </c>
      <c r="Z747" s="63" cm="1">
        <f t="array" ref="Z747">IFERROR(VLOOKUP($X747,$AN:AP,COLUMN(AP:AP)-COLUMN($AN:$AN)+1,FALSE),"")</f>
        <v>34.130000000000003</v>
      </c>
      <c r="AA747" s="1" t="str" cm="1">
        <f t="array" ref="AA747">IFERROR(VLOOKUP($X747,$AN:AQ,COLUMN(AQ:AQ)-COLUMN($AN:$AN)+1,FALSE),"")</f>
        <v>1 Pt</v>
      </c>
      <c r="AC747" s="1" t="str" cm="1">
        <f t="array" ref="AC747">IFERROR(VLOOKUP($X747,$AN:AS,COLUMN(AS:AS)-COLUMN($AN:$AN)+1,FALSE),"")</f>
        <v>Rich Green</v>
      </c>
      <c r="AD747" s="1" t="s">
        <v>19</v>
      </c>
      <c r="AF747" s="1">
        <f>Table1[[#This Row],[C:C]]*1.1</f>
        <v>0</v>
      </c>
      <c r="AI747" s="1">
        <f>IFERROR(VLOOKUP(X747,#REF!,8,FALSE),0)</f>
        <v>0</v>
      </c>
    </row>
    <row r="748" spans="22:35" x14ac:dyDescent="0.35">
      <c r="V748" s="1" t="str">
        <v xml:space="preserve"> P-101 PRIBEGE50</v>
      </c>
      <c r="X748" s="1" t="str">
        <f t="shared" si="193"/>
        <v>RSAL COLORRoed1 Pt</v>
      </c>
      <c r="Y748" s="1" t="str" cm="1">
        <f t="array" ref="Y748">IFERROR(VLOOKUP($X748,$AN:AO,COLUMN(AO:AO)-COLUMN($AN:$AN)+1,FALSE),"")</f>
        <v>HPF UNIVERSAL COLORANTRotunda Red1 Pt</v>
      </c>
      <c r="Z748" s="63" cm="1">
        <f t="array" ref="Z748">IFERROR(VLOOKUP($X748,$AN:AP,COLUMN(AP:AP)-COLUMN($AN:$AN)+1,FALSE),"")</f>
        <v>64.739999999999995</v>
      </c>
      <c r="AA748" s="1" t="str" cm="1">
        <f t="array" ref="AA748">IFERROR(VLOOKUP($X748,$AN:AQ,COLUMN(AQ:AQ)-COLUMN($AN:$AN)+1,FALSE),"")</f>
        <v>1 Pt</v>
      </c>
      <c r="AC748" s="1" t="str" cm="1">
        <f t="array" ref="AC748">IFERROR(VLOOKUP($X748,$AN:AS,COLUMN(AS:AS)-COLUMN($AN:$AN)+1,FALSE),"")</f>
        <v>Rotunda Red</v>
      </c>
      <c r="AD748" s="1" t="s">
        <v>19</v>
      </c>
      <c r="AF748" s="1">
        <f>Table1[[#This Row],[C:C]]*1.1</f>
        <v>0</v>
      </c>
      <c r="AI748" s="1">
        <f>IFERROR(VLOOKUP(X748,#REF!,8,FALSE),0)</f>
        <v>0</v>
      </c>
    </row>
    <row r="749" spans="22:35" x14ac:dyDescent="0.35">
      <c r="V749" s="1" t="str">
        <v xml:space="preserve"> P-101 PRIBROW50</v>
      </c>
      <c r="X749" s="1" t="str">
        <f t="shared" si="193"/>
        <v>RSAL COLORSage1 Pt</v>
      </c>
      <c r="Y749" s="1" t="str" cm="1">
        <f t="array" ref="Y749">IFERROR(VLOOKUP($X749,$AN:AO,COLUMN(AO:AO)-COLUMN($AN:$AN)+1,FALSE),"")</f>
        <v>HPF UNIVERSAL COLORANTSandy Beige1 Pt</v>
      </c>
      <c r="Z749" s="63" cm="1">
        <f t="array" ref="Z749">IFERROR(VLOOKUP($X749,$AN:AP,COLUMN(AP:AP)-COLUMN($AN:$AN)+1,FALSE),"")</f>
        <v>34.130000000000003</v>
      </c>
      <c r="AA749" s="1" t="str" cm="1">
        <f t="array" ref="AA749">IFERROR(VLOOKUP($X749,$AN:AQ,COLUMN(AQ:AQ)-COLUMN($AN:$AN)+1,FALSE),"")</f>
        <v>1 Pt</v>
      </c>
      <c r="AC749" s="1" t="str" cm="1">
        <f t="array" ref="AC749">IFERROR(VLOOKUP($X749,$AN:AS,COLUMN(AS:AS)-COLUMN($AN:$AN)+1,FALSE),"")</f>
        <v>Sandy Beige</v>
      </c>
      <c r="AD749" s="1" t="s">
        <v>19</v>
      </c>
      <c r="AF749" s="1">
        <f>Table1[[#This Row],[C:C]]*1.1</f>
        <v>0</v>
      </c>
      <c r="AI749" s="1">
        <f>IFERROR(VLOOKUP(X749,#REF!,8,FALSE),0)</f>
        <v>0</v>
      </c>
    </row>
    <row r="750" spans="22:35" x14ac:dyDescent="0.35">
      <c r="V750" s="1" t="str">
        <v xml:space="preserve"> P-101 PRICOAY50</v>
      </c>
      <c r="X750" s="1" t="str">
        <f t="shared" si="193"/>
        <v>RSAL COLORStay1 Pt</v>
      </c>
      <c r="Y750" s="1" t="str" cm="1">
        <f t="array" ref="Y750">IFERROR(VLOOKUP($X750,$AN:AO,COLUMN(AO:AO)-COLUMN($AN:$AN)+1,FALSE),"")</f>
        <v>HPF UNIVERSAL COLORANTSteel Gray1 Pt</v>
      </c>
      <c r="Z750" s="63" cm="1">
        <f t="array" ref="Z750">IFERROR(VLOOKUP($X750,$AN:AP,COLUMN(AP:AP)-COLUMN($AN:$AN)+1,FALSE),"")</f>
        <v>34.130000000000003</v>
      </c>
      <c r="AA750" s="1" t="str" cm="1">
        <f t="array" ref="AA750">IFERROR(VLOOKUP($X750,$AN:AQ,COLUMN(AQ:AQ)-COLUMN($AN:$AN)+1,FALSE),"")</f>
        <v>1 Pt</v>
      </c>
      <c r="AC750" s="1" t="str" cm="1">
        <f t="array" ref="AC750">IFERROR(VLOOKUP($X750,$AN:AS,COLUMN(AS:AS)-COLUMN($AN:$AN)+1,FALSE),"")</f>
        <v>Steel Gray</v>
      </c>
      <c r="AD750" s="1" t="s">
        <v>19</v>
      </c>
      <c r="AF750" s="1">
        <f>Table1[[#This Row],[C:C]]*1.1</f>
        <v>0</v>
      </c>
      <c r="AI750" s="1">
        <f>IFERROR(VLOOKUP(X750,#REF!,8,FALSE),0)</f>
        <v>0</v>
      </c>
    </row>
    <row r="751" spans="22:35" x14ac:dyDescent="0.35">
      <c r="V751" s="1" t="str">
        <v xml:space="preserve"> P-101 PRICHAY50</v>
      </c>
      <c r="X751" s="1" t="str">
        <f t="shared" si="193"/>
        <v>RSAL COLORTied1 Pt</v>
      </c>
      <c r="Y751" s="1" t="str" cm="1">
        <f t="array" ref="Y751">IFERROR(VLOOKUP($X751,$AN:AO,COLUMN(AO:AO)-COLUMN($AN:$AN)+1,FALSE),"")</f>
        <v>HPF UNIVERSAL COLORANTTile Red1 Pt</v>
      </c>
      <c r="Z751" s="63" cm="1">
        <f t="array" ref="Z751">IFERROR(VLOOKUP($X751,$AN:AP,COLUMN(AP:AP)-COLUMN($AN:$AN)+1,FALSE),"")</f>
        <v>34.130000000000003</v>
      </c>
      <c r="AA751" s="1" t="str" cm="1">
        <f t="array" ref="AA751">IFERROR(VLOOKUP($X751,$AN:AQ,COLUMN(AQ:AQ)-COLUMN($AN:$AN)+1,FALSE),"")</f>
        <v>1 Pt</v>
      </c>
      <c r="AC751" s="1" t="str" cm="1">
        <f t="array" ref="AC751">IFERROR(VLOOKUP($X751,$AN:AS,COLUMN(AS:AS)-COLUMN($AN:$AN)+1,FALSE),"")</f>
        <v>Tile Red</v>
      </c>
      <c r="AD751" s="1" t="s">
        <v>19</v>
      </c>
      <c r="AF751" s="1">
        <f>Table1[[#This Row],[C:C]]*1.1</f>
        <v>0</v>
      </c>
      <c r="AI751" s="1">
        <f>IFERROR(VLOOKUP(X751,#REF!,8,FALSE),0)</f>
        <v>0</v>
      </c>
    </row>
    <row r="752" spans="22:35" x14ac:dyDescent="0.35">
      <c r="V752" s="1" t="str">
        <v xml:space="preserve"> P-101 PRILIAY50</v>
      </c>
      <c r="X752" s="1" t="str">
        <f t="shared" si="193"/>
        <v>RSAL COLORWhte1 Pt</v>
      </c>
      <c r="Y752" s="1" t="str" cm="1">
        <f t="array" ref="Y752">IFERROR(VLOOKUP($X752,$AN:AO,COLUMN(AO:AO)-COLUMN($AN:$AN)+1,FALSE),"")</f>
        <v>HPF UNIVERSAL COLORANTWhite1 Pt</v>
      </c>
      <c r="Z752" s="63" cm="1">
        <f t="array" ref="Z752">IFERROR(VLOOKUP($X752,$AN:AP,COLUMN(AP:AP)-COLUMN($AN:$AN)+1,FALSE),"")</f>
        <v>34.130000000000003</v>
      </c>
      <c r="AA752" s="1" t="str" cm="1">
        <f t="array" ref="AA752">IFERROR(VLOOKUP($X752,$AN:AQ,COLUMN(AQ:AQ)-COLUMN($AN:$AN)+1,FALSE),"")</f>
        <v>1 Pt</v>
      </c>
      <c r="AC752" s="1" t="str" cm="1">
        <f t="array" ref="AC752">IFERROR(VLOOKUP($X752,$AN:AS,COLUMN(AS:AS)-COLUMN($AN:$AN)+1,FALSE),"")</f>
        <v>White</v>
      </c>
      <c r="AD752" s="1" t="s">
        <v>19</v>
      </c>
      <c r="AF752" s="1">
        <f>Table1[[#This Row],[C:C]]*1.1</f>
        <v>0</v>
      </c>
      <c r="AI752" s="1">
        <f>IFERROR(VLOOKUP(X752,#REF!,8,FALSE),0)</f>
        <v>0</v>
      </c>
    </row>
    <row r="753" spans="22:35" x14ac:dyDescent="0.35">
      <c r="V753" s="1" t="str">
        <v xml:space="preserve"> P-101 PRIMEAY50</v>
      </c>
      <c r="X753" s="1" t="str">
        <f t="shared" si="193"/>
        <v>RSAL COLORCaay25</v>
      </c>
      <c r="Y753" s="1" t="str" cm="1">
        <f t="array" ref="Y753">IFERROR(VLOOKUP($X753,$AN:AO,COLUMN(AO:AO)-COLUMN($AN:$AN)+1,FALSE),"")</f>
        <v>HPF UNIVERSAL COLORANTCanada Gray25 Pt</v>
      </c>
      <c r="Z753" s="63" cm="1">
        <f t="array" ref="Z753">IFERROR(VLOOKUP($X753,$AN:AP,COLUMN(AP:AP)-COLUMN($AN:$AN)+1,FALSE),"")</f>
        <v>389.59</v>
      </c>
      <c r="AA753" s="1" t="str" cm="1">
        <f t="array" ref="AA753">IFERROR(VLOOKUP($X753,$AN:AQ,COLUMN(AQ:AQ)-COLUMN($AN:$AN)+1,FALSE),"")</f>
        <v>25 Pt</v>
      </c>
      <c r="AC753" s="1" t="str" cm="1">
        <f t="array" ref="AC753">IFERROR(VLOOKUP($X753,$AN:AS,COLUMN(AS:AS)-COLUMN($AN:$AN)+1,FALSE),"")</f>
        <v>Canada Gray</v>
      </c>
      <c r="AD753" s="1" t="s">
        <v>19</v>
      </c>
      <c r="AF753" s="1">
        <f>Table1[[#This Row],[C:C]]*1.1</f>
        <v>0</v>
      </c>
      <c r="AI753" s="1">
        <f>IFERROR(VLOOKUP(X753,#REF!,8,FALSE),0)</f>
        <v>0</v>
      </c>
    </row>
    <row r="754" spans="22:35" x14ac:dyDescent="0.35">
      <c r="V754" s="1" t="str">
        <v xml:space="preserve"> P-101 PRISLAY50</v>
      </c>
      <c r="X754" s="1" t="str">
        <f t="shared" si="193"/>
        <v>RSAL COLORChal25</v>
      </c>
      <c r="Y754" s="1" t="str" cm="1">
        <f t="array" ref="Y754">IFERROR(VLOOKUP($X754,$AN:AO,COLUMN(AO:AO)-COLUMN($AN:$AN)+1,FALSE),"")</f>
        <v>HPF UNIVERSAL COLORANTCharcoal25 Pt</v>
      </c>
      <c r="Z754" s="63" cm="1">
        <f t="array" ref="Z754">IFERROR(VLOOKUP($X754,$AN:AP,COLUMN(AP:AP)-COLUMN($AN:$AN)+1,FALSE),"")</f>
        <v>516.70000000000005</v>
      </c>
      <c r="AA754" s="1" t="str" cm="1">
        <f t="array" ref="AA754">IFERROR(VLOOKUP($X754,$AN:AQ,COLUMN(AQ:AQ)-COLUMN($AN:$AN)+1,FALSE),"")</f>
        <v>25 Pt</v>
      </c>
      <c r="AC754" s="1" t="str" cm="1">
        <f t="array" ref="AC754">IFERROR(VLOOKUP($X754,$AN:AS,COLUMN(AS:AS)-COLUMN($AN:$AN)+1,FALSE),"")</f>
        <v>Charcoal</v>
      </c>
      <c r="AD754" s="1" t="s">
        <v>19</v>
      </c>
      <c r="AF754" s="1">
        <f>Table1[[#This Row],[C:C]]*1.1</f>
        <v>0</v>
      </c>
      <c r="AI754" s="1">
        <f>IFERROR(VLOOKUP(X754,#REF!,8,FALSE),0)</f>
        <v>0</v>
      </c>
    </row>
    <row r="755" spans="22:35" x14ac:dyDescent="0.35">
      <c r="V755" s="1" t="str">
        <v xml:space="preserve"> G-201 BINCLAR50</v>
      </c>
      <c r="X755" s="1" t="str">
        <f t="shared" si="193"/>
        <v>RSAL COLORLiay25</v>
      </c>
      <c r="Y755" s="1" t="str" cm="1">
        <f t="array" ref="Y755">IFERROR(VLOOKUP($X755,$AN:AO,COLUMN(AO:AO)-COLUMN($AN:$AN)+1,FALSE),"")</f>
        <v>HPF UNIVERSAL COLORANTLight Gray25 Pt</v>
      </c>
      <c r="Z755" s="63" cm="1">
        <f t="array" ref="Z755">IFERROR(VLOOKUP($X755,$AN:AP,COLUMN(AP:AP)-COLUMN($AN:$AN)+1,FALSE),"")</f>
        <v>352.51</v>
      </c>
      <c r="AA755" s="1" t="str" cm="1">
        <f t="array" ref="AA755">IFERROR(VLOOKUP($X755,$AN:AQ,COLUMN(AQ:AQ)-COLUMN($AN:$AN)+1,FALSE),"")</f>
        <v>25 Pt</v>
      </c>
      <c r="AC755" s="1" t="str" cm="1">
        <f t="array" ref="AC755">IFERROR(VLOOKUP($X755,$AN:AS,COLUMN(AS:AS)-COLUMN($AN:$AN)+1,FALSE),"")</f>
        <v>Light Gray</v>
      </c>
      <c r="AD755" s="1" t="s">
        <v>19</v>
      </c>
      <c r="AF755" s="1">
        <f>Table1[[#This Row],[C:C]]*1.1</f>
        <v>0</v>
      </c>
      <c r="AI755" s="1">
        <f>IFERROR(VLOOKUP(X755,#REF!,8,FALSE),0)</f>
        <v>0</v>
      </c>
    </row>
    <row r="756" spans="22:35" x14ac:dyDescent="0.35">
      <c r="V756" s="1" t="str">
        <v xml:space="preserve"> G-201 BINBEGE50</v>
      </c>
      <c r="X756" s="1" t="str">
        <f t="shared" si="193"/>
        <v>RSAL COLORSage25</v>
      </c>
      <c r="Y756" s="1" t="str" cm="1">
        <f t="array" ref="Y756">IFERROR(VLOOKUP($X756,$AN:AO,COLUMN(AO:AO)-COLUMN($AN:$AN)+1,FALSE),"")</f>
        <v>HPF UNIVERSAL COLORANTSandy Beige25 Pt</v>
      </c>
      <c r="Z756" s="63" cm="1">
        <f t="array" ref="Z756">IFERROR(VLOOKUP($X756,$AN:AP,COLUMN(AP:AP)-COLUMN($AN:$AN)+1,FALSE),"")</f>
        <v>417.84</v>
      </c>
      <c r="AA756" s="1" t="str" cm="1">
        <f t="array" ref="AA756">IFERROR(VLOOKUP($X756,$AN:AQ,COLUMN(AQ:AQ)-COLUMN($AN:$AN)+1,FALSE),"")</f>
        <v>25 Pt</v>
      </c>
      <c r="AC756" s="1" t="str" cm="1">
        <f t="array" ref="AC756">IFERROR(VLOOKUP($X756,$AN:AS,COLUMN(AS:AS)-COLUMN($AN:$AN)+1,FALSE),"")</f>
        <v>Sandy Beige</v>
      </c>
      <c r="AD756" s="1" t="s">
        <v>19</v>
      </c>
      <c r="AF756" s="1">
        <f>Table1[[#This Row],[C:C]]*1.1</f>
        <v>0</v>
      </c>
      <c r="AI756" s="1">
        <f>IFERROR(VLOOKUP(X756,#REF!,8,FALSE),0)</f>
        <v>0</v>
      </c>
    </row>
    <row r="757" spans="22:35" x14ac:dyDescent="0.35">
      <c r="V757" s="1" t="str">
        <v xml:space="preserve"> G-201 BINBROW50</v>
      </c>
      <c r="X757" s="1" t="str">
        <f t="shared" si="193"/>
        <v>RSAL COLORStay25</v>
      </c>
      <c r="Y757" s="1" t="str" cm="1">
        <f t="array" ref="Y757">IFERROR(VLOOKUP($X757,$AN:AO,COLUMN(AO:AO)-COLUMN($AN:$AN)+1,FALSE),"")</f>
        <v>HPF UNIVERSAL COLORANTSteel Gray25 Pt</v>
      </c>
      <c r="Z757" s="63" cm="1">
        <f t="array" ref="Z757">IFERROR(VLOOKUP($X757,$AN:AP,COLUMN(AP:AP)-COLUMN($AN:$AN)+1,FALSE),"")</f>
        <v>361.93</v>
      </c>
      <c r="AA757" s="1" t="str" cm="1">
        <f t="array" ref="AA757">IFERROR(VLOOKUP($X757,$AN:AQ,COLUMN(AQ:AQ)-COLUMN($AN:$AN)+1,FALSE),"")</f>
        <v>25 Pt</v>
      </c>
      <c r="AC757" s="1" t="str" cm="1">
        <f t="array" ref="AC757">IFERROR(VLOOKUP($X757,$AN:AS,COLUMN(AS:AS)-COLUMN($AN:$AN)+1,FALSE),"")</f>
        <v>Steel Gray</v>
      </c>
      <c r="AD757" s="1" t="s">
        <v>19</v>
      </c>
      <c r="AF757" s="1">
        <f>Table1[[#This Row],[C:C]]*1.1</f>
        <v>0</v>
      </c>
      <c r="AI757" s="1">
        <f>IFERROR(VLOOKUP(X757,#REF!,8,FALSE),0)</f>
        <v>0</v>
      </c>
    </row>
    <row r="758" spans="22:35" x14ac:dyDescent="0.35">
      <c r="V758" s="1" t="str">
        <v xml:space="preserve"> G-201 BINCOAY50</v>
      </c>
      <c r="X758" s="1" t="str">
        <f t="shared" si="193"/>
        <v>RSAL COLORWhte25</v>
      </c>
      <c r="Y758" s="1" t="str" cm="1">
        <f t="array" ref="Y758">IFERROR(VLOOKUP($X758,$AN:AO,COLUMN(AO:AO)-COLUMN($AN:$AN)+1,FALSE),"")</f>
        <v>HPF UNIVERSAL COLORANTWhite25 Pt</v>
      </c>
      <c r="Z758" s="63" cm="1">
        <f t="array" ref="Z758">IFERROR(VLOOKUP($X758,$AN:AP,COLUMN(AP:AP)-COLUMN($AN:$AN)+1,FALSE),"")</f>
        <v>431.37</v>
      </c>
      <c r="AA758" s="1" t="str" cm="1">
        <f t="array" ref="AA758">IFERROR(VLOOKUP($X758,$AN:AQ,COLUMN(AQ:AQ)-COLUMN($AN:$AN)+1,FALSE),"")</f>
        <v>25 Pt</v>
      </c>
      <c r="AC758" s="1" t="str" cm="1">
        <f t="array" ref="AC758">IFERROR(VLOOKUP($X758,$AN:AS,COLUMN(AS:AS)-COLUMN($AN:$AN)+1,FALSE),"")</f>
        <v>White</v>
      </c>
      <c r="AD758" s="1" t="s">
        <v>19</v>
      </c>
      <c r="AF758" s="1">
        <f>Table1[[#This Row],[C:C]]*1.1</f>
        <v>0</v>
      </c>
      <c r="AI758" s="1">
        <f>IFERROR(VLOOKUP(X758,#REF!,8,FALSE),0)</f>
        <v>0</v>
      </c>
    </row>
    <row r="759" spans="22:35" x14ac:dyDescent="0.35">
      <c r="V759" s="1" t="str">
        <v xml:space="preserve"> G-201 BINCHAY50</v>
      </c>
      <c r="X759" s="1" t="str">
        <f t="shared" si="193"/>
        <v xml:space="preserve"> P-101 PRICLAR50</v>
      </c>
      <c r="Y759" s="1" t="str" cm="1">
        <f t="array" ref="Y759">IFERROR(VLOOKUP($X759,$AN:AO,COLUMN(AO:AO)-COLUMN($AN:$AN)+1,FALSE),"")</f>
        <v>CRYLAFLOR P-101 PRIMERCLEAR50 GAL KIT</v>
      </c>
      <c r="Z759" s="63" cm="1">
        <f t="array" ref="Z759">IFERROR(VLOOKUP($X759,$AN:AP,COLUMN(AP:AP)-COLUMN($AN:$AN)+1,FALSE),"")</f>
        <v>2702.39</v>
      </c>
      <c r="AA759" s="1" t="str" cm="1">
        <f t="array" ref="AA759">IFERROR(VLOOKUP($X759,$AN:AQ,COLUMN(AQ:AQ)-COLUMN($AN:$AN)+1,FALSE),"")</f>
        <v>50 GAL KIT</v>
      </c>
      <c r="AC759" s="1" t="str" cm="1">
        <f t="array" ref="AC759">IFERROR(VLOOKUP($X759,$AN:AS,COLUMN(AS:AS)-COLUMN($AN:$AN)+1,FALSE),"")</f>
        <v>CLEAR</v>
      </c>
      <c r="AF759" s="1">
        <f>Table1[[#This Row],[C:C]]*1.1</f>
        <v>0</v>
      </c>
      <c r="AI759" s="1">
        <f>IFERROR(VLOOKUP(X759,#REF!,8,FALSE),0)</f>
        <v>0</v>
      </c>
    </row>
    <row r="760" spans="22:35" x14ac:dyDescent="0.35">
      <c r="V760" s="1" t="str">
        <v xml:space="preserve"> G-201 BINLIAY50</v>
      </c>
      <c r="X760" s="1" t="str">
        <f t="shared" si="193"/>
        <v xml:space="preserve"> P-101 PRIBEGE50</v>
      </c>
      <c r="Y760" s="1" t="str" cm="1">
        <f t="array" ref="Y760">IFERROR(VLOOKUP($X760,$AN:AO,COLUMN(AO:AO)-COLUMN($AN:$AN)+1,FALSE),"")</f>
        <v>CRYLAFLOR P-101 PRIMERBEIGE50 GAL KIT</v>
      </c>
      <c r="Z760" s="63" cm="1">
        <f t="array" ref="Z760">IFERROR(VLOOKUP($X760,$AN:AP,COLUMN(AP:AP)-COLUMN($AN:$AN)+1,FALSE),"")</f>
        <v>2702.39</v>
      </c>
      <c r="AA760" s="1" t="str" cm="1">
        <f t="array" ref="AA760">IFERROR(VLOOKUP($X760,$AN:AQ,COLUMN(AQ:AQ)-COLUMN($AN:$AN)+1,FALSE),"")</f>
        <v>50 GAL KIT</v>
      </c>
      <c r="AC760" s="1" t="str" cm="1">
        <f t="array" ref="AC760">IFERROR(VLOOKUP($X760,$AN:AS,COLUMN(AS:AS)-COLUMN($AN:$AN)+1,FALSE),"")</f>
        <v>BEIGE</v>
      </c>
      <c r="AF760" s="1">
        <f>Table1[[#This Row],[C:C]]*1.1</f>
        <v>0</v>
      </c>
      <c r="AI760" s="1">
        <f>IFERROR(VLOOKUP(X760,#REF!,8,FALSE),0)</f>
        <v>0</v>
      </c>
    </row>
    <row r="761" spans="22:35" x14ac:dyDescent="0.35">
      <c r="V761" s="1" t="str">
        <v xml:space="preserve"> G-201 BINMEAY50</v>
      </c>
      <c r="X761" s="1" t="str">
        <f t="shared" si="193"/>
        <v xml:space="preserve"> P-101 PRIBROW50</v>
      </c>
      <c r="Y761" s="1" t="str" cm="1">
        <f t="array" ref="Y761">IFERROR(VLOOKUP($X761,$AN:AO,COLUMN(AO:AO)-COLUMN($AN:$AN)+1,FALSE),"")</f>
        <v>CRYLAFLOR P-101 PRIMERBRIGHT YELLOW50 GAL KIT</v>
      </c>
      <c r="Z761" s="63" cm="1">
        <f t="array" ref="Z761">IFERROR(VLOOKUP($X761,$AN:AP,COLUMN(AP:AP)-COLUMN($AN:$AN)+1,FALSE),"")</f>
        <v>2702.39</v>
      </c>
      <c r="AA761" s="1" t="str" cm="1">
        <f t="array" ref="AA761">IFERROR(VLOOKUP($X761,$AN:AQ,COLUMN(AQ:AQ)-COLUMN($AN:$AN)+1,FALSE),"")</f>
        <v>50 GAL KIT</v>
      </c>
      <c r="AC761" s="1" t="str" cm="1">
        <f t="array" ref="AC761">IFERROR(VLOOKUP($X761,$AN:AS,COLUMN(AS:AS)-COLUMN($AN:$AN)+1,FALSE),"")</f>
        <v>BRIGHT YELLOW</v>
      </c>
      <c r="AF761" s="1">
        <f>Table1[[#This Row],[C:C]]*1.1</f>
        <v>0</v>
      </c>
      <c r="AI761" s="1">
        <f>IFERROR(VLOOKUP(X761,#REF!,8,FALSE),0)</f>
        <v>0</v>
      </c>
    </row>
    <row r="762" spans="22:35" x14ac:dyDescent="0.35">
      <c r="V762" s="1" t="str">
        <v xml:space="preserve"> G-201 BINSLAY50</v>
      </c>
      <c r="X762" s="66" t="str">
        <f t="shared" si="193"/>
        <v xml:space="preserve"> P-101 PRICOAY50</v>
      </c>
      <c r="Y762" s="1" t="str" cm="1">
        <f t="array" ref="Y762">IFERROR(VLOOKUP($X762,$AN:AO,COLUMN(AO:AO)-COLUMN($AN:$AN)+1,FALSE),"")</f>
        <v>CRYLAFLOR P-101 PRIMERCONCRETE GRAY50 GAL KIT</v>
      </c>
      <c r="Z762" s="63" cm="1">
        <f t="array" ref="Z762">IFERROR(VLOOKUP($X762,$AN:AP,COLUMN(AP:AP)-COLUMN($AN:$AN)+1,FALSE),"")</f>
        <v>2702.39</v>
      </c>
      <c r="AA762" s="1" t="str" cm="1">
        <f t="array" ref="AA762">IFERROR(VLOOKUP($X762,$AN:AQ,COLUMN(AQ:AQ)-COLUMN($AN:$AN)+1,FALSE),"")</f>
        <v>50 GAL KIT</v>
      </c>
      <c r="AC762" s="1" t="str" cm="1">
        <f t="array" ref="AC762">IFERROR(VLOOKUP($X762,$AN:AS,COLUMN(AS:AS)-COLUMN($AN:$AN)+1,FALSE),"")</f>
        <v>CONCRETE GRAY</v>
      </c>
      <c r="AF762" s="1">
        <f>Table1[[#This Row],[C:C]]*1.1</f>
        <v>0</v>
      </c>
      <c r="AI762" s="1">
        <f>IFERROR(VLOOKUP(X762,#REF!,8,FALSE),0)</f>
        <v>0</v>
      </c>
    </row>
    <row r="763" spans="22:35" x14ac:dyDescent="0.35">
      <c r="V763" s="1" t="str">
        <v xml:space="preserve"> G-201 BINBLCK50</v>
      </c>
      <c r="X763" s="66" t="str">
        <f t="shared" si="193"/>
        <v xml:space="preserve"> P-101 PRICHAY50</v>
      </c>
      <c r="Y763" s="1" t="str" cm="1">
        <f t="array" ref="Y763">IFERROR(VLOOKUP($X763,$AN:AO,COLUMN(AO:AO)-COLUMN($AN:$AN)+1,FALSE),"")</f>
        <v>CRYLAFLOR P-101 PRIMERCHARCOAL GRAY50 GAL KIT</v>
      </c>
      <c r="Z763" s="63" cm="1">
        <f t="array" ref="Z763">IFERROR(VLOOKUP($X763,$AN:AP,COLUMN(AP:AP)-COLUMN($AN:$AN)+1,FALSE),"")</f>
        <v>2702.39</v>
      </c>
      <c r="AA763" s="1" t="str" cm="1">
        <f t="array" ref="AA763">IFERROR(VLOOKUP($X763,$AN:AQ,COLUMN(AQ:AQ)-COLUMN($AN:$AN)+1,FALSE),"")</f>
        <v>50 GAL KIT</v>
      </c>
      <c r="AC763" s="1" t="str" cm="1">
        <f t="array" ref="AC763">IFERROR(VLOOKUP($X763,$AN:AS,COLUMN(AS:AS)-COLUMN($AN:$AN)+1,FALSE),"")</f>
        <v>CHARCOAL GRAY</v>
      </c>
      <c r="AF763" s="1">
        <f>Table1[[#This Row],[C:C]]*1.1</f>
        <v>0</v>
      </c>
      <c r="AI763" s="1">
        <f>IFERROR(VLOOKUP(X763,#REF!,8,FALSE),0)</f>
        <v>0</v>
      </c>
    </row>
    <row r="764" spans="22:35" x14ac:dyDescent="0.35">
      <c r="V764" s="1" t="str">
        <v xml:space="preserve"> G-201 BINGREN50</v>
      </c>
      <c r="X764" s="66" t="str">
        <f t="shared" si="193"/>
        <v xml:space="preserve"> P-101 PRILIAY50</v>
      </c>
      <c r="Y764" s="1" t="str" cm="1">
        <f t="array" ref="Y764">IFERROR(VLOOKUP($X764,$AN:AO,COLUMN(AO:AO)-COLUMN($AN:$AN)+1,FALSE),"")</f>
        <v>CRYLAFLOR P-101 PRIMERLIGHT GRAY50 GAL KIT</v>
      </c>
      <c r="Z764" s="63" cm="1">
        <f t="array" ref="Z764">IFERROR(VLOOKUP($X764,$AN:AP,COLUMN(AP:AP)-COLUMN($AN:$AN)+1,FALSE),"")</f>
        <v>2702.39</v>
      </c>
      <c r="AA764" s="1" t="str" cm="1">
        <f t="array" ref="AA764">IFERROR(VLOOKUP($X764,$AN:AQ,COLUMN(AQ:AQ)-COLUMN($AN:$AN)+1,FALSE),"")</f>
        <v>50 GAL KIT</v>
      </c>
      <c r="AC764" s="1" t="str" cm="1">
        <f t="array" ref="AC764">IFERROR(VLOOKUP($X764,$AN:AS,COLUMN(AS:AS)-COLUMN($AN:$AN)+1,FALSE),"")</f>
        <v>LIGHT GRAY</v>
      </c>
      <c r="AF764" s="1">
        <f>Table1[[#This Row],[C:C]]*1.1</f>
        <v>0</v>
      </c>
      <c r="AI764" s="1">
        <f>IFERROR(VLOOKUP(X764,#REF!,8,FALSE),0)</f>
        <v>0</v>
      </c>
    </row>
    <row r="765" spans="22:35" x14ac:dyDescent="0.35">
      <c r="V765" s="1" t="str">
        <v xml:space="preserve"> G-201 BINWHTE50</v>
      </c>
      <c r="X765" s="66" t="str">
        <f t="shared" si="193"/>
        <v xml:space="preserve"> P-101 PRIMEAY50</v>
      </c>
      <c r="Y765" s="1" t="str" cm="1">
        <f t="array" ref="Y765">IFERROR(VLOOKUP($X765,$AN:AO,COLUMN(AO:AO)-COLUMN($AN:$AN)+1,FALSE),"")</f>
        <v>CRYLAFLOR P-101 PRIMERMED. GRAY50 GAL KIT</v>
      </c>
      <c r="Z765" s="63" cm="1">
        <f t="array" ref="Z765">IFERROR(VLOOKUP($X765,$AN:AP,COLUMN(AP:AP)-COLUMN($AN:$AN)+1,FALSE),"")</f>
        <v>2702.39</v>
      </c>
      <c r="AA765" s="1" t="str" cm="1">
        <f t="array" ref="AA765">IFERROR(VLOOKUP($X765,$AN:AQ,COLUMN(AQ:AQ)-COLUMN($AN:$AN)+1,FALSE),"")</f>
        <v>50 GAL KIT</v>
      </c>
      <c r="AC765" s="1" t="str" cm="1">
        <f t="array" ref="AC765">IFERROR(VLOOKUP($X765,$AN:AS,COLUMN(AS:AS)-COLUMN($AN:$AN)+1,FALSE),"")</f>
        <v>MED. GRAY</v>
      </c>
      <c r="AF765" s="1">
        <f>Table1[[#This Row],[C:C]]*1.1</f>
        <v>0</v>
      </c>
      <c r="AI765" s="1">
        <f>IFERROR(VLOOKUP(X765,#REF!,8,FALSE),0)</f>
        <v>0</v>
      </c>
    </row>
    <row r="766" spans="22:35" x14ac:dyDescent="0.35">
      <c r="V766" s="1" t="str">
        <v xml:space="preserve"> G-201 BINSPAL50</v>
      </c>
      <c r="X766" s="66" t="str">
        <f t="shared" si="193"/>
        <v xml:space="preserve"> P-101 PRISLAY50</v>
      </c>
      <c r="Y766" s="1" t="str" cm="1">
        <f t="array" ref="Y766">IFERROR(VLOOKUP($X766,$AN:AO,COLUMN(AO:AO)-COLUMN($AN:$AN)+1,FALSE),"")</f>
        <v>CRYLAFLOR P-101 PRIMERSLATE GRAY50 GAL KIT</v>
      </c>
      <c r="Z766" s="63" cm="1">
        <f t="array" ref="Z766">IFERROR(VLOOKUP($X766,$AN:AP,COLUMN(AP:AP)-COLUMN($AN:$AN)+1,FALSE),"")</f>
        <v>2702.39</v>
      </c>
      <c r="AA766" s="1" t="str" cm="1">
        <f t="array" ref="AA766">IFERROR(VLOOKUP($X766,$AN:AQ,COLUMN(AQ:AQ)-COLUMN($AN:$AN)+1,FALSE),"")</f>
        <v>50 GAL KIT</v>
      </c>
      <c r="AC766" s="1" t="str" cm="1">
        <f t="array" ref="AC766">IFERROR(VLOOKUP($X766,$AN:AS,COLUMN(AS:AS)-COLUMN($AN:$AN)+1,FALSE),"")</f>
        <v>SLATE GRAY</v>
      </c>
      <c r="AF766" s="1">
        <f>Table1[[#This Row],[C:C]]*1.1</f>
        <v>0</v>
      </c>
      <c r="AI766" s="1">
        <f>IFERROR(VLOOKUP(X766,#REF!,8,FALSE),0)</f>
        <v>0</v>
      </c>
    </row>
    <row r="767" spans="22:35" x14ac:dyDescent="0.35">
      <c r="V767" s="1" t="str">
        <v xml:space="preserve"> G-201 BINTIED50</v>
      </c>
      <c r="X767" s="66" t="str">
        <f t="shared" si="193"/>
        <v xml:space="preserve"> G-201 BINCLAR50</v>
      </c>
      <c r="Y767" s="1" t="str" cm="1">
        <f t="array" ref="Y767">IFERROR(VLOOKUP($X767,$AN:AO,COLUMN(AO:AO)-COLUMN($AN:$AN)+1,FALSE),"")</f>
        <v>CRYLAFLOR G-201 BINDERCLEAR50 GAL KIT</v>
      </c>
      <c r="Z767" s="63" cm="1">
        <f t="array" ref="Z767">IFERROR(VLOOKUP($X767,$AN:AP,COLUMN(AP:AP)-COLUMN($AN:$AN)+1,FALSE),"")</f>
        <v>3294.42</v>
      </c>
      <c r="AA767" s="1" t="str" cm="1">
        <f t="array" ref="AA767">IFERROR(VLOOKUP($X767,$AN:AQ,COLUMN(AQ:AQ)-COLUMN($AN:$AN)+1,FALSE),"")</f>
        <v>50 GAL KIT</v>
      </c>
      <c r="AC767" s="1" t="str" cm="1">
        <f t="array" ref="AC767">IFERROR(VLOOKUP($X767,$AN:AS,COLUMN(AS:AS)-COLUMN($AN:$AN)+1,FALSE),"")</f>
        <v>CLEAR</v>
      </c>
      <c r="AF767" s="1">
        <f>Table1[[#This Row],[C:C]]*1.1</f>
        <v>0</v>
      </c>
      <c r="AI767" s="1">
        <f>IFERROR(VLOOKUP(X767,#REF!,8,FALSE),0)</f>
        <v>0</v>
      </c>
    </row>
    <row r="768" spans="22:35" x14ac:dyDescent="0.35">
      <c r="V768" s="1" t="str">
        <v xml:space="preserve"> T-301 TOPCLAR50</v>
      </c>
      <c r="X768" s="66" t="str">
        <f t="shared" si="193"/>
        <v xml:space="preserve"> G-201 BINBEGE50</v>
      </c>
      <c r="Y768" s="1" t="str" cm="1">
        <f t="array" ref="Y768">IFERROR(VLOOKUP($X768,$AN:AO,COLUMN(AO:AO)-COLUMN($AN:$AN)+1,FALSE),"")</f>
        <v>CRYLAFLOR G-201 BINDERBEIGE50 GAL KIT</v>
      </c>
      <c r="Z768" s="63" cm="1">
        <f t="array" ref="Z768">IFERROR(VLOOKUP($X768,$AN:AP,COLUMN(AP:AP)-COLUMN($AN:$AN)+1,FALSE),"")</f>
        <v>3294.42</v>
      </c>
      <c r="AA768" s="1" t="str" cm="1">
        <f t="array" ref="AA768">IFERROR(VLOOKUP($X768,$AN:AQ,COLUMN(AQ:AQ)-COLUMN($AN:$AN)+1,FALSE),"")</f>
        <v>50 GAL KIT</v>
      </c>
      <c r="AC768" s="1" t="str" cm="1">
        <f t="array" ref="AC768">IFERROR(VLOOKUP($X768,$AN:AS,COLUMN(AS:AS)-COLUMN($AN:$AN)+1,FALSE),"")</f>
        <v>BEIGE</v>
      </c>
      <c r="AF768" s="1">
        <f>Table1[[#This Row],[C:C]]*1.1</f>
        <v>0</v>
      </c>
      <c r="AI768" s="1">
        <f>IFERROR(VLOOKUP(X768,#REF!,8,FALSE),0)</f>
        <v>0</v>
      </c>
    </row>
    <row r="769" spans="22:35" x14ac:dyDescent="0.35">
      <c r="V769" s="1" t="str">
        <v xml:space="preserve"> T-301 TOPBEGE50</v>
      </c>
      <c r="X769" s="66" t="str">
        <f t="shared" si="193"/>
        <v xml:space="preserve"> G-201 BINBROW50</v>
      </c>
      <c r="Y769" s="1" t="str" cm="1">
        <f t="array" ref="Y769">IFERROR(VLOOKUP($X769,$AN:AO,COLUMN(AO:AO)-COLUMN($AN:$AN)+1,FALSE),"")</f>
        <v>CRYLAFLOR G-201 BINDERBRIGHT YELLOW50 GAL KIT</v>
      </c>
      <c r="Z769" s="63" cm="1">
        <f t="array" ref="Z769">IFERROR(VLOOKUP($X769,$AN:AP,COLUMN(AP:AP)-COLUMN($AN:$AN)+1,FALSE),"")</f>
        <v>3294.42</v>
      </c>
      <c r="AA769" s="1" t="str" cm="1">
        <f t="array" ref="AA769">IFERROR(VLOOKUP($X769,$AN:AQ,COLUMN(AQ:AQ)-COLUMN($AN:$AN)+1,FALSE),"")</f>
        <v>50 GAL KIT</v>
      </c>
      <c r="AC769" s="1" t="str" cm="1">
        <f t="array" ref="AC769">IFERROR(VLOOKUP($X769,$AN:AS,COLUMN(AS:AS)-COLUMN($AN:$AN)+1,FALSE),"")</f>
        <v>BRIGHT YELLOW</v>
      </c>
      <c r="AF769" s="1">
        <f>Table1[[#This Row],[C:C]]*1.1</f>
        <v>0</v>
      </c>
      <c r="AI769" s="1">
        <f>IFERROR(VLOOKUP(X769,#REF!,8,FALSE),0)</f>
        <v>0</v>
      </c>
    </row>
    <row r="770" spans="22:35" x14ac:dyDescent="0.35">
      <c r="V770" s="1" t="str">
        <v xml:space="preserve"> T-301 TOPBROW50</v>
      </c>
      <c r="X770" s="66" t="str">
        <f t="shared" si="193"/>
        <v xml:space="preserve"> G-201 BINCOAY50</v>
      </c>
      <c r="Y770" s="1" t="str" cm="1">
        <f t="array" ref="Y770">IFERROR(VLOOKUP($X770,$AN:AO,COLUMN(AO:AO)-COLUMN($AN:$AN)+1,FALSE),"")</f>
        <v>CRYLAFLOR G-201 BINDERCONCRETE GRAY50 GAL KIT</v>
      </c>
      <c r="Z770" s="63" cm="1">
        <f t="array" ref="Z770">IFERROR(VLOOKUP($X770,$AN:AP,COLUMN(AP:AP)-COLUMN($AN:$AN)+1,FALSE),"")</f>
        <v>3294.42</v>
      </c>
      <c r="AA770" s="1" t="str" cm="1">
        <f t="array" ref="AA770">IFERROR(VLOOKUP($X770,$AN:AQ,COLUMN(AQ:AQ)-COLUMN($AN:$AN)+1,FALSE),"")</f>
        <v>50 GAL KIT</v>
      </c>
      <c r="AC770" s="1" t="str" cm="1">
        <f t="array" ref="AC770">IFERROR(VLOOKUP($X770,$AN:AS,COLUMN(AS:AS)-COLUMN($AN:$AN)+1,FALSE),"")</f>
        <v>CONCRETE GRAY</v>
      </c>
      <c r="AF770" s="1">
        <f>Table1[[#This Row],[C:C]]*1.1</f>
        <v>0</v>
      </c>
      <c r="AI770" s="1">
        <f>IFERROR(VLOOKUP(X770,#REF!,8,FALSE),0)</f>
        <v>0</v>
      </c>
    </row>
    <row r="771" spans="22:35" x14ac:dyDescent="0.35">
      <c r="V771" s="1" t="str">
        <v xml:space="preserve"> T-301 TOPCOAY50</v>
      </c>
      <c r="X771" s="66" t="str">
        <f t="shared" si="193"/>
        <v xml:space="preserve"> G-201 BINCHAY50</v>
      </c>
      <c r="Y771" s="1" t="str" cm="1">
        <f t="array" ref="Y771">IFERROR(VLOOKUP($X771,$AN:AO,COLUMN(AO:AO)-COLUMN($AN:$AN)+1,FALSE),"")</f>
        <v>CRYLAFLOR G-201 BINDERCHARCOAL GRAY50 GAL KIT</v>
      </c>
      <c r="Z771" s="63" cm="1">
        <f t="array" ref="Z771">IFERROR(VLOOKUP($X771,$AN:AP,COLUMN(AP:AP)-COLUMN($AN:$AN)+1,FALSE),"")</f>
        <v>3294.42</v>
      </c>
      <c r="AA771" s="1" t="str" cm="1">
        <f t="array" ref="AA771">IFERROR(VLOOKUP($X771,$AN:AQ,COLUMN(AQ:AQ)-COLUMN($AN:$AN)+1,FALSE),"")</f>
        <v>50 GAL KIT</v>
      </c>
      <c r="AC771" s="1" t="str" cm="1">
        <f t="array" ref="AC771">IFERROR(VLOOKUP($X771,$AN:AS,COLUMN(AS:AS)-COLUMN($AN:$AN)+1,FALSE),"")</f>
        <v>CHARCOAL GRAY</v>
      </c>
      <c r="AF771" s="1">
        <f>Table1[[#This Row],[C:C]]*1.1</f>
        <v>0</v>
      </c>
      <c r="AI771" s="1">
        <f>IFERROR(VLOOKUP(X771,#REF!,8,FALSE),0)</f>
        <v>0</v>
      </c>
    </row>
    <row r="772" spans="22:35" x14ac:dyDescent="0.35">
      <c r="V772" s="1" t="str">
        <v xml:space="preserve"> T-301 TOPCHAY50</v>
      </c>
      <c r="X772" s="66" t="str">
        <f t="shared" si="193"/>
        <v xml:space="preserve"> G-201 BINLIAY50</v>
      </c>
      <c r="Y772" s="1" t="str" cm="1">
        <f t="array" ref="Y772">IFERROR(VLOOKUP($X772,$AN:AO,COLUMN(AO:AO)-COLUMN($AN:$AN)+1,FALSE),"")</f>
        <v>CRYLAFLOR G-201 BINDERLIGHT GRAY50 GAL KIT</v>
      </c>
      <c r="Z772" s="63" cm="1">
        <f t="array" ref="Z772">IFERROR(VLOOKUP($X772,$AN:AP,COLUMN(AP:AP)-COLUMN($AN:$AN)+1,FALSE),"")</f>
        <v>3294.42</v>
      </c>
      <c r="AA772" s="1" t="str" cm="1">
        <f t="array" ref="AA772">IFERROR(VLOOKUP($X772,$AN:AQ,COLUMN(AQ:AQ)-COLUMN($AN:$AN)+1,FALSE),"")</f>
        <v>50 GAL KIT</v>
      </c>
      <c r="AC772" s="1" t="str" cm="1">
        <f t="array" ref="AC772">IFERROR(VLOOKUP($X772,$AN:AS,COLUMN(AS:AS)-COLUMN($AN:$AN)+1,FALSE),"")</f>
        <v>LIGHT GRAY</v>
      </c>
      <c r="AF772" s="1">
        <f>Table1[[#This Row],[C:C]]*1.1</f>
        <v>0</v>
      </c>
      <c r="AI772" s="1">
        <f>IFERROR(VLOOKUP(X772,#REF!,8,FALSE),0)</f>
        <v>0</v>
      </c>
    </row>
    <row r="773" spans="22:35" x14ac:dyDescent="0.35">
      <c r="V773" s="1" t="str">
        <v xml:space="preserve"> T-301 TOPLIAY50</v>
      </c>
      <c r="X773" s="66" t="str">
        <f t="shared" si="193"/>
        <v xml:space="preserve"> G-201 BINMEAY50</v>
      </c>
      <c r="Y773" s="1" t="str" cm="1">
        <f t="array" ref="Y773">IFERROR(VLOOKUP($X773,$AN:AO,COLUMN(AO:AO)-COLUMN($AN:$AN)+1,FALSE),"")</f>
        <v>CRYLAFLOR G-201 BINDERMED. GRAY50 GAL KIT</v>
      </c>
      <c r="Z773" s="63" cm="1">
        <f t="array" ref="Z773">IFERROR(VLOOKUP($X773,$AN:AP,COLUMN(AP:AP)-COLUMN($AN:$AN)+1,FALSE),"")</f>
        <v>3294.42</v>
      </c>
      <c r="AA773" s="1" t="str" cm="1">
        <f t="array" ref="AA773">IFERROR(VLOOKUP($X773,$AN:AQ,COLUMN(AQ:AQ)-COLUMN($AN:$AN)+1,FALSE),"")</f>
        <v>50 GAL KIT</v>
      </c>
      <c r="AC773" s="1" t="str" cm="1">
        <f t="array" ref="AC773">IFERROR(VLOOKUP($X773,$AN:AS,COLUMN(AS:AS)-COLUMN($AN:$AN)+1,FALSE),"")</f>
        <v>MED. GRAY</v>
      </c>
      <c r="AF773" s="1">
        <f>Table1[[#This Row],[C:C]]*1.1</f>
        <v>0</v>
      </c>
      <c r="AI773" s="1">
        <f>IFERROR(VLOOKUP(X773,#REF!,8,FALSE),0)</f>
        <v>0</v>
      </c>
    </row>
    <row r="774" spans="22:35" x14ac:dyDescent="0.35">
      <c r="V774" s="1" t="str">
        <v xml:space="preserve"> T-301 TOPMEAY50</v>
      </c>
      <c r="X774" s="66" t="str">
        <f t="shared" si="193"/>
        <v xml:space="preserve"> G-201 BINSLAY50</v>
      </c>
      <c r="Y774" s="1" t="str" cm="1">
        <f t="array" ref="Y774">IFERROR(VLOOKUP($X774,$AN:AO,COLUMN(AO:AO)-COLUMN($AN:$AN)+1,FALSE),"")</f>
        <v>CRYLAFLOR G-201 BINDERSLATE GRAY50 GAL KIT</v>
      </c>
      <c r="Z774" s="63" cm="1">
        <f t="array" ref="Z774">IFERROR(VLOOKUP($X774,$AN:AP,COLUMN(AP:AP)-COLUMN($AN:$AN)+1,FALSE),"")</f>
        <v>3294.42</v>
      </c>
      <c r="AA774" s="1" t="str" cm="1">
        <f t="array" ref="AA774">IFERROR(VLOOKUP($X774,$AN:AQ,COLUMN(AQ:AQ)-COLUMN($AN:$AN)+1,FALSE),"")</f>
        <v>50 GAL KIT</v>
      </c>
      <c r="AC774" s="1" t="str" cm="1">
        <f t="array" ref="AC774">IFERROR(VLOOKUP($X774,$AN:AS,COLUMN(AS:AS)-COLUMN($AN:$AN)+1,FALSE),"")</f>
        <v>SLATE GRAY</v>
      </c>
      <c r="AF774" s="1">
        <f>Table1[[#This Row],[C:C]]*1.1</f>
        <v>0</v>
      </c>
      <c r="AI774" s="1">
        <f>IFERROR(VLOOKUP(X774,#REF!,8,FALSE),0)</f>
        <v>0</v>
      </c>
    </row>
    <row r="775" spans="22:35" x14ac:dyDescent="0.35">
      <c r="V775" s="1" t="str">
        <v xml:space="preserve"> T-301 TOPSLAY50</v>
      </c>
      <c r="X775" s="66" t="str">
        <f t="shared" si="193"/>
        <v xml:space="preserve"> G-201 BINBLCK50</v>
      </c>
      <c r="Y775" s="1" t="str" cm="1">
        <f t="array" ref="Y775">IFERROR(VLOOKUP($X775,$AN:AO,COLUMN(AO:AO)-COLUMN($AN:$AN)+1,FALSE),"")</f>
        <v>CRYLAFLOR G-201 BINDERBLACK50 GAL KIT</v>
      </c>
      <c r="Z775" s="63" cm="1">
        <f t="array" ref="Z775">IFERROR(VLOOKUP($X775,$AN:AP,COLUMN(AP:AP)-COLUMN($AN:$AN)+1,FALSE),"")</f>
        <v>3294.42</v>
      </c>
      <c r="AA775" s="1" t="str" cm="1">
        <f t="array" ref="AA775">IFERROR(VLOOKUP($X775,$AN:AQ,COLUMN(AQ:AQ)-COLUMN($AN:$AN)+1,FALSE),"")</f>
        <v>50 GAL KIT</v>
      </c>
      <c r="AC775" s="1" t="str" cm="1">
        <f t="array" ref="AC775">IFERROR(VLOOKUP($X775,$AN:AS,COLUMN(AS:AS)-COLUMN($AN:$AN)+1,FALSE),"")</f>
        <v>BLACK</v>
      </c>
      <c r="AF775" s="1">
        <f>Table1[[#This Row],[C:C]]*1.1</f>
        <v>0</v>
      </c>
      <c r="AI775" s="1">
        <f>IFERROR(VLOOKUP(X775,#REF!,8,FALSE),0)</f>
        <v>0</v>
      </c>
    </row>
    <row r="776" spans="22:35" x14ac:dyDescent="0.35">
      <c r="V776" s="1" t="str">
        <v xml:space="preserve"> T-301 TOPBLCK50</v>
      </c>
      <c r="X776" s="66" t="str">
        <f t="shared" si="193"/>
        <v xml:space="preserve"> G-201 BINGREN50</v>
      </c>
      <c r="Y776" s="1" t="str" cm="1">
        <f t="array" ref="Y776">IFERROR(VLOOKUP($X776,$AN:AO,COLUMN(AO:AO)-COLUMN($AN:$AN)+1,FALSE),"")</f>
        <v>CRYLAFLOR G-201 BINDERGREEN50 GAL KIT</v>
      </c>
      <c r="Z776" s="63" cm="1">
        <f t="array" ref="Z776">IFERROR(VLOOKUP($X776,$AN:AP,COLUMN(AP:AP)-COLUMN($AN:$AN)+1,FALSE),"")</f>
        <v>3294.42</v>
      </c>
      <c r="AA776" s="1" t="str" cm="1">
        <f t="array" ref="AA776">IFERROR(VLOOKUP($X776,$AN:AQ,COLUMN(AQ:AQ)-COLUMN($AN:$AN)+1,FALSE),"")</f>
        <v>50 GAL KIT</v>
      </c>
      <c r="AC776" s="1" t="str" cm="1">
        <f t="array" ref="AC776">IFERROR(VLOOKUP($X776,$AN:AS,COLUMN(AS:AS)-COLUMN($AN:$AN)+1,FALSE),"")</f>
        <v>GREEN</v>
      </c>
      <c r="AF776" s="1">
        <f>Table1[[#This Row],[C:C]]*1.1</f>
        <v>0</v>
      </c>
      <c r="AI776" s="1">
        <f>IFERROR(VLOOKUP(X776,#REF!,8,FALSE),0)</f>
        <v>0</v>
      </c>
    </row>
    <row r="777" spans="22:35" x14ac:dyDescent="0.35">
      <c r="V777" s="1" t="str">
        <v xml:space="preserve"> T-301 TOPGREN50</v>
      </c>
      <c r="X777" s="66" t="str">
        <f t="shared" si="193"/>
        <v xml:space="preserve"> G-201 BINWHTE50</v>
      </c>
      <c r="Y777" s="1" t="str" cm="1">
        <f t="array" ref="Y777">IFERROR(VLOOKUP($X777,$AN:AO,COLUMN(AO:AO)-COLUMN($AN:$AN)+1,FALSE),"")</f>
        <v>CRYLAFLOR G-201 BINDERWHITE50 GAL KIT</v>
      </c>
      <c r="Z777" s="63" cm="1">
        <f t="array" ref="Z777">IFERROR(VLOOKUP($X777,$AN:AP,COLUMN(AP:AP)-COLUMN($AN:$AN)+1,FALSE),"")</f>
        <v>3294.42</v>
      </c>
      <c r="AA777" s="1" t="str" cm="1">
        <f t="array" ref="AA777">IFERROR(VLOOKUP($X777,$AN:AQ,COLUMN(AQ:AQ)-COLUMN($AN:$AN)+1,FALSE),"")</f>
        <v>50 GAL KIT</v>
      </c>
      <c r="AC777" s="1" t="str" cm="1">
        <f t="array" ref="AC777">IFERROR(VLOOKUP($X777,$AN:AS,COLUMN(AS:AS)-COLUMN($AN:$AN)+1,FALSE),"")</f>
        <v>WHITE</v>
      </c>
      <c r="AF777" s="1">
        <f>Table1[[#This Row],[C:C]]*1.1</f>
        <v>0</v>
      </c>
      <c r="AI777" s="1">
        <f>IFERROR(VLOOKUP(X777,#REF!,8,FALSE),0)</f>
        <v>0</v>
      </c>
    </row>
    <row r="778" spans="22:35" x14ac:dyDescent="0.35">
      <c r="V778" s="1" t="str">
        <v xml:space="preserve"> T-301 TOPWHTE50</v>
      </c>
      <c r="X778" s="66" t="str">
        <f t="shared" si="193"/>
        <v xml:space="preserve"> G-201 BINSPAL50</v>
      </c>
      <c r="Y778" s="1" t="str" cm="1">
        <f t="array" ref="Y778">IFERROR(VLOOKUP($X778,$AN:AO,COLUMN(AO:AO)-COLUMN($AN:$AN)+1,FALSE),"")</f>
        <v>CRYLAFLOR G-201 BINDERSPECIAL50 GAL KIT</v>
      </c>
      <c r="Z778" s="63" cm="1">
        <f t="array" ref="Z778">IFERROR(VLOOKUP($X778,$AN:AP,COLUMN(AP:AP)-COLUMN($AN:$AN)+1,FALSE),"")</f>
        <v>3294.42</v>
      </c>
      <c r="AA778" s="1" t="str" cm="1">
        <f t="array" ref="AA778">IFERROR(VLOOKUP($X778,$AN:AQ,COLUMN(AQ:AQ)-COLUMN($AN:$AN)+1,FALSE),"")</f>
        <v>50 GAL KIT</v>
      </c>
      <c r="AC778" s="1" t="str" cm="1">
        <f t="array" ref="AC778">IFERROR(VLOOKUP($X778,$AN:AS,COLUMN(AS:AS)-COLUMN($AN:$AN)+1,FALSE),"")</f>
        <v>SPECIAL</v>
      </c>
      <c r="AF778" s="1">
        <f>Table1[[#This Row],[C:C]]*1.1</f>
        <v>0</v>
      </c>
      <c r="AI778" s="1">
        <f>IFERROR(VLOOKUP(X778,#REF!,8,FALSE),0)</f>
        <v>0</v>
      </c>
    </row>
    <row r="779" spans="22:35" x14ac:dyDescent="0.35">
      <c r="V779" s="1" t="str">
        <v xml:space="preserve"> T-301 TOPSPAL50</v>
      </c>
      <c r="X779" s="66" t="str">
        <f t="shared" si="193"/>
        <v xml:space="preserve"> G-201 BINTIED50</v>
      </c>
      <c r="Y779" s="1" t="str" cm="1">
        <f t="array" ref="Y779">IFERROR(VLOOKUP($X779,$AN:AO,COLUMN(AO:AO)-COLUMN($AN:$AN)+1,FALSE),"")</f>
        <v>CRYLAFLOR G-201 BINDERTILE RED50 GAL KIT</v>
      </c>
      <c r="Z779" s="63" cm="1">
        <f t="array" ref="Z779">IFERROR(VLOOKUP($X779,$AN:AP,COLUMN(AP:AP)-COLUMN($AN:$AN)+1,FALSE),"")</f>
        <v>3294.42</v>
      </c>
      <c r="AA779" s="1" t="str" cm="1">
        <f t="array" ref="AA779">IFERROR(VLOOKUP($X779,$AN:AQ,COLUMN(AQ:AQ)-COLUMN($AN:$AN)+1,FALSE),"")</f>
        <v>50 GAL KIT</v>
      </c>
      <c r="AC779" s="1" t="str" cm="1">
        <f t="array" ref="AC779">IFERROR(VLOOKUP($X779,$AN:AS,COLUMN(AS:AS)-COLUMN($AN:$AN)+1,FALSE),"")</f>
        <v>TILE RED</v>
      </c>
      <c r="AF779" s="1">
        <f>Table1[[#This Row],[C:C]]*1.1</f>
        <v>0</v>
      </c>
      <c r="AI779" s="1">
        <f>IFERROR(VLOOKUP(X779,#REF!,8,FALSE),0)</f>
        <v>0</v>
      </c>
    </row>
    <row r="780" spans="22:35" x14ac:dyDescent="0.35">
      <c r="V780" s="1" t="str">
        <v xml:space="preserve"> T-301 TOPTIED50</v>
      </c>
      <c r="X780" s="66" t="str">
        <f t="shared" si="193"/>
        <v xml:space="preserve"> T-301 TOPCLAR50</v>
      </c>
      <c r="Y780" s="1" t="str" cm="1">
        <f t="array" ref="Y780">IFERROR(VLOOKUP($X780,$AN:AO,COLUMN(AO:AO)-COLUMN($AN:$AN)+1,FALSE),"")</f>
        <v>CRYLAFLOR T-301 TOPCOATCLEAR50 GAL KIT</v>
      </c>
      <c r="Z780" s="63" cm="1">
        <f t="array" ref="Z780">IFERROR(VLOOKUP($X780,$AN:AP,COLUMN(AP:AP)-COLUMN($AN:$AN)+1,FALSE),"")</f>
        <v>3206.15</v>
      </c>
      <c r="AA780" s="1" t="str" cm="1">
        <f t="array" ref="AA780">IFERROR(VLOOKUP($X780,$AN:AQ,COLUMN(AQ:AQ)-COLUMN($AN:$AN)+1,FALSE),"")</f>
        <v>50 GAL KIT</v>
      </c>
      <c r="AC780" s="1" t="str" cm="1">
        <f t="array" ref="AC780">IFERROR(VLOOKUP($X780,$AN:AS,COLUMN(AS:AS)-COLUMN($AN:$AN)+1,FALSE),"")</f>
        <v>CLEAR</v>
      </c>
      <c r="AF780" s="1">
        <f>Table1[[#This Row],[C:C]]*1.1</f>
        <v>0</v>
      </c>
      <c r="AI780" s="1">
        <f>IFERROR(VLOOKUP(X780,#REF!,8,FALSE),0)</f>
        <v>0</v>
      </c>
    </row>
    <row r="781" spans="22:35" x14ac:dyDescent="0.35">
      <c r="V781" s="1" t="str">
        <v xml:space="preserve"> T-301 TOPSMUE50</v>
      </c>
      <c r="X781" s="66" t="str">
        <f t="shared" si="193"/>
        <v xml:space="preserve"> T-301 TOPBEGE50</v>
      </c>
      <c r="Y781" s="1" t="str" cm="1">
        <f t="array" ref="Y781">IFERROR(VLOOKUP($X781,$AN:AO,COLUMN(AO:AO)-COLUMN($AN:$AN)+1,FALSE),"")</f>
        <v>CRYLAFLOR T-301 TOPCOATBEIGE50 GAL KIT</v>
      </c>
      <c r="Z781" s="63" cm="1">
        <f t="array" ref="Z781">IFERROR(VLOOKUP($X781,$AN:AP,COLUMN(AP:AP)-COLUMN($AN:$AN)+1,FALSE),"")</f>
        <v>3206.15</v>
      </c>
      <c r="AA781" s="1" t="str" cm="1">
        <f t="array" ref="AA781">IFERROR(VLOOKUP($X781,$AN:AQ,COLUMN(AQ:AQ)-COLUMN($AN:$AN)+1,FALSE),"")</f>
        <v>50 GAL KIT</v>
      </c>
      <c r="AC781" s="1" t="str" cm="1">
        <f t="array" ref="AC781">IFERROR(VLOOKUP($X781,$AN:AS,COLUMN(AS:AS)-COLUMN($AN:$AN)+1,FALSE),"")</f>
        <v>BEIGE</v>
      </c>
      <c r="AF781" s="1">
        <f>Table1[[#This Row],[C:C]]*1.1</f>
        <v>0</v>
      </c>
      <c r="AI781" s="1">
        <f>IFERROR(VLOOKUP(X781,#REF!,8,FALSE),0)</f>
        <v>0</v>
      </c>
    </row>
    <row r="782" spans="22:35" x14ac:dyDescent="0.35">
      <c r="V782" s="1" t="str">
        <v xml:space="preserve"> T-303 FLECLAR50</v>
      </c>
      <c r="X782" s="66" t="str">
        <f t="shared" si="193"/>
        <v xml:space="preserve"> T-301 TOPBROW50</v>
      </c>
      <c r="Y782" s="1" t="str" cm="1">
        <f t="array" ref="Y782">IFERROR(VLOOKUP($X782,$AN:AO,COLUMN(AO:AO)-COLUMN($AN:$AN)+1,FALSE),"")</f>
        <v>CRYLAFLOR T-301 TOPCOATBRIGHT YELLOW50 GAL KIT</v>
      </c>
      <c r="Z782" s="63" cm="1">
        <f t="array" ref="Z782">IFERROR(VLOOKUP($X782,$AN:AP,COLUMN(AP:AP)-COLUMN($AN:$AN)+1,FALSE),"")</f>
        <v>3206.15</v>
      </c>
      <c r="AA782" s="1" t="str" cm="1">
        <f t="array" ref="AA782">IFERROR(VLOOKUP($X782,$AN:AQ,COLUMN(AQ:AQ)-COLUMN($AN:$AN)+1,FALSE),"")</f>
        <v>50 GAL KIT</v>
      </c>
      <c r="AC782" s="1" t="str" cm="1">
        <f t="array" ref="AC782">IFERROR(VLOOKUP($X782,$AN:AS,COLUMN(AS:AS)-COLUMN($AN:$AN)+1,FALSE),"")</f>
        <v>BRIGHT YELLOW</v>
      </c>
      <c r="AF782" s="1">
        <f>Table1[[#This Row],[C:C]]*1.1</f>
        <v>0</v>
      </c>
      <c r="AI782" s="1">
        <f>IFERROR(VLOOKUP(X782,#REF!,8,FALSE),0)</f>
        <v>0</v>
      </c>
    </row>
    <row r="783" spans="22:35" x14ac:dyDescent="0.35">
      <c r="V783" s="1" t="str">
        <v xml:space="preserve"> T-303 FLEBEGE50</v>
      </c>
      <c r="X783" s="66" t="str">
        <f t="shared" si="193"/>
        <v xml:space="preserve"> T-301 TOPCOAY50</v>
      </c>
      <c r="Y783" s="1" t="str" cm="1">
        <f t="array" ref="Y783">IFERROR(VLOOKUP($X783,$AN:AO,COLUMN(AO:AO)-COLUMN($AN:$AN)+1,FALSE),"")</f>
        <v>CRYLAFLOR T-301 TOPCOATCONCRETE GRAY50 GAL KIT</v>
      </c>
      <c r="Z783" s="63" cm="1">
        <f t="array" ref="Z783">IFERROR(VLOOKUP($X783,$AN:AP,COLUMN(AP:AP)-COLUMN($AN:$AN)+1,FALSE),"")</f>
        <v>3206.15</v>
      </c>
      <c r="AA783" s="1" t="str" cm="1">
        <f t="array" ref="AA783">IFERROR(VLOOKUP($X783,$AN:AQ,COLUMN(AQ:AQ)-COLUMN($AN:$AN)+1,FALSE),"")</f>
        <v>50 GAL KIT</v>
      </c>
      <c r="AC783" s="1" t="str" cm="1">
        <f t="array" ref="AC783">IFERROR(VLOOKUP($X783,$AN:AS,COLUMN(AS:AS)-COLUMN($AN:$AN)+1,FALSE),"")</f>
        <v>CONCRETE GRAY</v>
      </c>
      <c r="AF783" s="1">
        <f>Table1[[#This Row],[C:C]]*1.1</f>
        <v>0</v>
      </c>
      <c r="AI783" s="1">
        <f>IFERROR(VLOOKUP(X783,#REF!,8,FALSE),0)</f>
        <v>0</v>
      </c>
    </row>
    <row r="784" spans="22:35" x14ac:dyDescent="0.35">
      <c r="V784" s="1" t="str">
        <v xml:space="preserve"> T-303 FLEBROW50</v>
      </c>
      <c r="X784" s="66" t="str">
        <f t="shared" si="193"/>
        <v xml:space="preserve"> T-301 TOPCHAY50</v>
      </c>
      <c r="Y784" s="1" t="str" cm="1">
        <f t="array" ref="Y784">IFERROR(VLOOKUP($X784,$AN:AO,COLUMN(AO:AO)-COLUMN($AN:$AN)+1,FALSE),"")</f>
        <v>CRYLAFLOR T-301 TOPCOATCHARCOAL GRAY50 GAL KIT</v>
      </c>
      <c r="Z784" s="63" cm="1">
        <f t="array" ref="Z784">IFERROR(VLOOKUP($X784,$AN:AP,COLUMN(AP:AP)-COLUMN($AN:$AN)+1,FALSE),"")</f>
        <v>3206.15</v>
      </c>
      <c r="AA784" s="1" t="str" cm="1">
        <f t="array" ref="AA784">IFERROR(VLOOKUP($X784,$AN:AQ,COLUMN(AQ:AQ)-COLUMN($AN:$AN)+1,FALSE),"")</f>
        <v>50 GAL KIT</v>
      </c>
      <c r="AC784" s="1" t="str" cm="1">
        <f t="array" ref="AC784">IFERROR(VLOOKUP($X784,$AN:AS,COLUMN(AS:AS)-COLUMN($AN:$AN)+1,FALSE),"")</f>
        <v>CHARCOAL GRAY</v>
      </c>
      <c r="AF784" s="1">
        <f>Table1[[#This Row],[C:C]]*1.1</f>
        <v>0</v>
      </c>
      <c r="AI784" s="1">
        <f>IFERROR(VLOOKUP(X784,#REF!,8,FALSE),0)</f>
        <v>0</v>
      </c>
    </row>
    <row r="785" spans="22:35" x14ac:dyDescent="0.35">
      <c r="V785" s="1" t="str">
        <v xml:space="preserve"> T-303 FLECOAY50</v>
      </c>
      <c r="X785" s="66" t="str">
        <f t="shared" si="193"/>
        <v xml:space="preserve"> T-301 TOPLIAY50</v>
      </c>
      <c r="Y785" s="1" t="str" cm="1">
        <f t="array" ref="Y785">IFERROR(VLOOKUP($X785,$AN:AO,COLUMN(AO:AO)-COLUMN($AN:$AN)+1,FALSE),"")</f>
        <v>CRYLAFLOR T-301 TOPCOATLIGHT GRAY50 GAL KIT</v>
      </c>
      <c r="Z785" s="63" cm="1">
        <f t="array" ref="Z785">IFERROR(VLOOKUP($X785,$AN:AP,COLUMN(AP:AP)-COLUMN($AN:$AN)+1,FALSE),"")</f>
        <v>3206.15</v>
      </c>
      <c r="AA785" s="1" t="str" cm="1">
        <f t="array" ref="AA785">IFERROR(VLOOKUP($X785,$AN:AQ,COLUMN(AQ:AQ)-COLUMN($AN:$AN)+1,FALSE),"")</f>
        <v>50 GAL KIT</v>
      </c>
      <c r="AC785" s="1" t="str" cm="1">
        <f t="array" ref="AC785">IFERROR(VLOOKUP($X785,$AN:AS,COLUMN(AS:AS)-COLUMN($AN:$AN)+1,FALSE),"")</f>
        <v>LIGHT GRAY</v>
      </c>
      <c r="AF785" s="1">
        <f>Table1[[#This Row],[C:C]]*1.1</f>
        <v>0</v>
      </c>
      <c r="AI785" s="1">
        <f>IFERROR(VLOOKUP(X785,#REF!,8,FALSE),0)</f>
        <v>0</v>
      </c>
    </row>
    <row r="786" spans="22:35" x14ac:dyDescent="0.35">
      <c r="V786" s="1" t="str">
        <v xml:space="preserve"> T-303 FLECHAY50</v>
      </c>
      <c r="X786" s="66" t="str">
        <f t="shared" si="193"/>
        <v xml:space="preserve"> T-301 TOPMEAY50</v>
      </c>
      <c r="Y786" s="1" t="str" cm="1">
        <f t="array" ref="Y786">IFERROR(VLOOKUP($X786,$AN:AO,COLUMN(AO:AO)-COLUMN($AN:$AN)+1,FALSE),"")</f>
        <v>CRYLAFLOR T-301 TOPCOATMED. GRAY50 GAL KIT</v>
      </c>
      <c r="Z786" s="63" cm="1">
        <f t="array" ref="Z786">IFERROR(VLOOKUP($X786,$AN:AP,COLUMN(AP:AP)-COLUMN($AN:$AN)+1,FALSE),"")</f>
        <v>3206.15</v>
      </c>
      <c r="AA786" s="1" t="str" cm="1">
        <f t="array" ref="AA786">IFERROR(VLOOKUP($X786,$AN:AQ,COLUMN(AQ:AQ)-COLUMN($AN:$AN)+1,FALSE),"")</f>
        <v>50 GAL KIT</v>
      </c>
      <c r="AC786" s="1" t="str" cm="1">
        <f t="array" ref="AC786">IFERROR(VLOOKUP($X786,$AN:AS,COLUMN(AS:AS)-COLUMN($AN:$AN)+1,FALSE),"")</f>
        <v>MED. GRAY</v>
      </c>
      <c r="AF786" s="1">
        <f>Table1[[#This Row],[C:C]]*1.1</f>
        <v>0</v>
      </c>
      <c r="AI786" s="1">
        <f>IFERROR(VLOOKUP(X786,#REF!,8,FALSE),0)</f>
        <v>0</v>
      </c>
    </row>
    <row r="787" spans="22:35" x14ac:dyDescent="0.35">
      <c r="V787" s="1" t="str">
        <v xml:space="preserve"> T-303 FLELIAY50</v>
      </c>
      <c r="X787" s="66" t="str">
        <f t="shared" si="193"/>
        <v xml:space="preserve"> T-301 TOPSLAY50</v>
      </c>
      <c r="Y787" s="1" t="str" cm="1">
        <f t="array" ref="Y787">IFERROR(VLOOKUP($X787,$AN:AO,COLUMN(AO:AO)-COLUMN($AN:$AN)+1,FALSE),"")</f>
        <v>CRYLAFLOR T-301 TOPCOATSLATE GRAY50 GAL KIT</v>
      </c>
      <c r="Z787" s="63" cm="1">
        <f t="array" ref="Z787">IFERROR(VLOOKUP($X787,$AN:AP,COLUMN(AP:AP)-COLUMN($AN:$AN)+1,FALSE),"")</f>
        <v>3206.15</v>
      </c>
      <c r="AA787" s="1" t="str" cm="1">
        <f t="array" ref="AA787">IFERROR(VLOOKUP($X787,$AN:AQ,COLUMN(AQ:AQ)-COLUMN($AN:$AN)+1,FALSE),"")</f>
        <v>50 GAL KIT</v>
      </c>
      <c r="AC787" s="1" t="str" cm="1">
        <f t="array" ref="AC787">IFERROR(VLOOKUP($X787,$AN:AS,COLUMN(AS:AS)-COLUMN($AN:$AN)+1,FALSE),"")</f>
        <v>SLATE GRAY</v>
      </c>
      <c r="AF787" s="1">
        <f>Table1[[#This Row],[C:C]]*1.1</f>
        <v>0</v>
      </c>
      <c r="AI787" s="1">
        <f>IFERROR(VLOOKUP(X787,#REF!,8,FALSE),0)</f>
        <v>0</v>
      </c>
    </row>
    <row r="788" spans="22:35" x14ac:dyDescent="0.35">
      <c r="V788" s="1" t="str">
        <v xml:space="preserve"> T-303 FLEMEAY50</v>
      </c>
      <c r="X788" s="66" t="str">
        <f t="shared" si="193"/>
        <v xml:space="preserve"> T-301 TOPBLCK50</v>
      </c>
      <c r="Y788" s="1" t="str" cm="1">
        <f t="array" ref="Y788">IFERROR(VLOOKUP($X788,$AN:AO,COLUMN(AO:AO)-COLUMN($AN:$AN)+1,FALSE),"")</f>
        <v>CRYLAFLOR T-301 TOPCOATBLACK50 GAL KIT</v>
      </c>
      <c r="Z788" s="63" cm="1">
        <f t="array" ref="Z788">IFERROR(VLOOKUP($X788,$AN:AP,COLUMN(AP:AP)-COLUMN($AN:$AN)+1,FALSE),"")</f>
        <v>3206.15</v>
      </c>
      <c r="AA788" s="1" t="str" cm="1">
        <f t="array" ref="AA788">IFERROR(VLOOKUP($X788,$AN:AQ,COLUMN(AQ:AQ)-COLUMN($AN:$AN)+1,FALSE),"")</f>
        <v>50 GAL KIT</v>
      </c>
      <c r="AC788" s="1" t="str" cm="1">
        <f t="array" ref="AC788">IFERROR(VLOOKUP($X788,$AN:AS,COLUMN(AS:AS)-COLUMN($AN:$AN)+1,FALSE),"")</f>
        <v>BLACK</v>
      </c>
      <c r="AF788" s="1">
        <f>Table1[[#This Row],[C:C]]*1.1</f>
        <v>0</v>
      </c>
      <c r="AI788" s="1">
        <f>IFERROR(VLOOKUP(X788,#REF!,8,FALSE),0)</f>
        <v>0</v>
      </c>
    </row>
    <row r="789" spans="22:35" x14ac:dyDescent="0.35">
      <c r="V789" s="1" t="str">
        <v xml:space="preserve"> T-303 FLESLAY50</v>
      </c>
      <c r="X789" s="66" t="str">
        <f t="shared" si="193"/>
        <v xml:space="preserve"> T-301 TOPGREN50</v>
      </c>
      <c r="Y789" s="1" t="str" cm="1">
        <f t="array" ref="Y789">IFERROR(VLOOKUP($X789,$AN:AO,COLUMN(AO:AO)-COLUMN($AN:$AN)+1,FALSE),"")</f>
        <v>CRYLAFLOR T-301 TOPCOATGREEN50 GAL KIT</v>
      </c>
      <c r="Z789" s="63" cm="1">
        <f t="array" ref="Z789">IFERROR(VLOOKUP($X789,$AN:AP,COLUMN(AP:AP)-COLUMN($AN:$AN)+1,FALSE),"")</f>
        <v>3206.15</v>
      </c>
      <c r="AA789" s="1" t="str" cm="1">
        <f t="array" ref="AA789">IFERROR(VLOOKUP($X789,$AN:AQ,COLUMN(AQ:AQ)-COLUMN($AN:$AN)+1,FALSE),"")</f>
        <v>50 GAL KIT</v>
      </c>
      <c r="AC789" s="1" t="str" cm="1">
        <f t="array" ref="AC789">IFERROR(VLOOKUP($X789,$AN:AS,COLUMN(AS:AS)-COLUMN($AN:$AN)+1,FALSE),"")</f>
        <v>GREEN</v>
      </c>
      <c r="AF789" s="1">
        <f>Table1[[#This Row],[C:C]]*1.1</f>
        <v>0</v>
      </c>
      <c r="AI789" s="1">
        <f>IFERROR(VLOOKUP(X789,#REF!,8,FALSE),0)</f>
        <v>0</v>
      </c>
    </row>
    <row r="790" spans="22:35" x14ac:dyDescent="0.35">
      <c r="V790" s="1" t="str">
        <v xml:space="preserve"> T-303 FLEBLCK50</v>
      </c>
      <c r="X790" s="66" t="str">
        <f t="shared" ref="X790:X840" si="194">V778</f>
        <v xml:space="preserve"> T-301 TOPWHTE50</v>
      </c>
      <c r="Y790" s="1" t="str" cm="1">
        <f t="array" ref="Y790">IFERROR(VLOOKUP($X790,$AN:AO,COLUMN(AO:AO)-COLUMN($AN:$AN)+1,FALSE),"")</f>
        <v>CRYLAFLOR T-301 TOPCOATWHITE50 GAL KIT</v>
      </c>
      <c r="Z790" s="63" cm="1">
        <f t="array" ref="Z790">IFERROR(VLOOKUP($X790,$AN:AP,COLUMN(AP:AP)-COLUMN($AN:$AN)+1,FALSE),"")</f>
        <v>3206.15</v>
      </c>
      <c r="AA790" s="1" t="str" cm="1">
        <f t="array" ref="AA790">IFERROR(VLOOKUP($X790,$AN:AQ,COLUMN(AQ:AQ)-COLUMN($AN:$AN)+1,FALSE),"")</f>
        <v>50 GAL KIT</v>
      </c>
      <c r="AC790" s="1" t="str" cm="1">
        <f t="array" ref="AC790">IFERROR(VLOOKUP($X790,$AN:AS,COLUMN(AS:AS)-COLUMN($AN:$AN)+1,FALSE),"")</f>
        <v>WHITE</v>
      </c>
      <c r="AF790" s="1">
        <f>Table1[[#This Row],[C:C]]*1.1</f>
        <v>0</v>
      </c>
      <c r="AI790" s="1">
        <f>IFERROR(VLOOKUP(X790,#REF!,8,FALSE),0)</f>
        <v>0</v>
      </c>
    </row>
    <row r="791" spans="22:35" x14ac:dyDescent="0.35">
      <c r="V791" s="1" t="str">
        <v xml:space="preserve"> T-303 FLEGREN50</v>
      </c>
      <c r="X791" s="66" t="str">
        <f t="shared" si="194"/>
        <v xml:space="preserve"> T-301 TOPSPAL50</v>
      </c>
      <c r="Y791" s="1" t="str" cm="1">
        <f t="array" ref="Y791">IFERROR(VLOOKUP($X791,$AN:AO,COLUMN(AO:AO)-COLUMN($AN:$AN)+1,FALSE),"")</f>
        <v>CRYLAFLOR T-301 TOPCOATSPECIAL50 GAL KIT</v>
      </c>
      <c r="Z791" s="63" cm="1">
        <f t="array" ref="Z791">IFERROR(VLOOKUP($X791,$AN:AP,COLUMN(AP:AP)-COLUMN($AN:$AN)+1,FALSE),"")</f>
        <v>3206.15</v>
      </c>
      <c r="AA791" s="1" t="str" cm="1">
        <f t="array" ref="AA791">IFERROR(VLOOKUP($X791,$AN:AQ,COLUMN(AQ:AQ)-COLUMN($AN:$AN)+1,FALSE),"")</f>
        <v>50 GAL KIT</v>
      </c>
      <c r="AC791" s="1" t="str" cm="1">
        <f t="array" ref="AC791">IFERROR(VLOOKUP($X791,$AN:AS,COLUMN(AS:AS)-COLUMN($AN:$AN)+1,FALSE),"")</f>
        <v>SPECIAL</v>
      </c>
      <c r="AF791" s="1">
        <f>Table1[[#This Row],[C:C]]*1.1</f>
        <v>0</v>
      </c>
      <c r="AI791" s="1">
        <f>IFERROR(VLOOKUP(X791,#REF!,8,FALSE),0)</f>
        <v>0</v>
      </c>
    </row>
    <row r="792" spans="22:35" x14ac:dyDescent="0.35">
      <c r="V792" s="1" t="str">
        <v xml:space="preserve"> T-303 FLEWHTE50</v>
      </c>
      <c r="X792" s="66" t="str">
        <f t="shared" si="194"/>
        <v xml:space="preserve"> T-301 TOPTIED50</v>
      </c>
      <c r="Y792" s="1" t="str" cm="1">
        <f t="array" ref="Y792">IFERROR(VLOOKUP($X792,$AN:AO,COLUMN(AO:AO)-COLUMN($AN:$AN)+1,FALSE),"")</f>
        <v>CRYLAFLOR T-301 TOPCOATTILE RED50 GAL KIT</v>
      </c>
      <c r="Z792" s="63" cm="1">
        <f t="array" ref="Z792">IFERROR(VLOOKUP($X792,$AN:AP,COLUMN(AP:AP)-COLUMN($AN:$AN)+1,FALSE),"")</f>
        <v>3206.15</v>
      </c>
      <c r="AA792" s="1" t="str" cm="1">
        <f t="array" ref="AA792">IFERROR(VLOOKUP($X792,$AN:AQ,COLUMN(AQ:AQ)-COLUMN($AN:$AN)+1,FALSE),"")</f>
        <v>50 GAL KIT</v>
      </c>
      <c r="AC792" s="1" t="str" cm="1">
        <f t="array" ref="AC792">IFERROR(VLOOKUP($X792,$AN:AS,COLUMN(AS:AS)-COLUMN($AN:$AN)+1,FALSE),"")</f>
        <v>TILE RED</v>
      </c>
      <c r="AF792" s="1">
        <f>Table1[[#This Row],[C:C]]*1.1</f>
        <v>0</v>
      </c>
      <c r="AI792" s="1">
        <f>IFERROR(VLOOKUP(X792,#REF!,8,FALSE),0)</f>
        <v>0</v>
      </c>
    </row>
    <row r="793" spans="22:35" x14ac:dyDescent="0.35">
      <c r="V793" s="1" t="str">
        <v xml:space="preserve"> T-303 FLESPAL50</v>
      </c>
      <c r="X793" s="66" t="str">
        <f t="shared" si="194"/>
        <v xml:space="preserve"> T-301 TOPSMUE50</v>
      </c>
      <c r="Y793" s="1" t="str" cm="1">
        <f t="array" ref="Y793">IFERROR(VLOOKUP($X793,$AN:AO,COLUMN(AO:AO)-COLUMN($AN:$AN)+1,FALSE),"")</f>
        <v>CRYLAFLOR T-301 TOPCOATSMOKE BLUE50 GAL KIT</v>
      </c>
      <c r="Z793" s="63" cm="1">
        <f t="array" ref="Z793">IFERROR(VLOOKUP($X793,$AN:AP,COLUMN(AP:AP)-COLUMN($AN:$AN)+1,FALSE),"")</f>
        <v>3206.15</v>
      </c>
      <c r="AA793" s="1" t="str" cm="1">
        <f t="array" ref="AA793">IFERROR(VLOOKUP($X793,$AN:AQ,COLUMN(AQ:AQ)-COLUMN($AN:$AN)+1,FALSE),"")</f>
        <v>50 GAL KIT</v>
      </c>
      <c r="AC793" s="1" t="str" cm="1">
        <f t="array" ref="AC793">IFERROR(VLOOKUP($X793,$AN:AS,COLUMN(AS:AS)-COLUMN($AN:$AN)+1,FALSE),"")</f>
        <v>SMOKE BLUE</v>
      </c>
      <c r="AF793" s="1">
        <f>Table1[[#This Row],[C:C]]*1.1</f>
        <v>0</v>
      </c>
      <c r="AI793" s="1">
        <f>IFERROR(VLOOKUP(X793,#REF!,8,FALSE),0)</f>
        <v>0</v>
      </c>
    </row>
    <row r="794" spans="22:35" x14ac:dyDescent="0.35">
      <c r="V794" s="1" t="str">
        <v xml:space="preserve"> T-303 FLETIED50</v>
      </c>
      <c r="X794" s="66" t="str">
        <f t="shared" si="194"/>
        <v xml:space="preserve"> T-303 FLECLAR50</v>
      </c>
      <c r="Y794" s="1" t="str" cm="1">
        <f t="array" ref="Y794">IFERROR(VLOOKUP($X794,$AN:AO,COLUMN(AO:AO)-COLUMN($AN:$AN)+1,FALSE),"")</f>
        <v>CRYLAFLOR T-303 FLEXIBLE TOPCOATCLEAR50 GAL KIT</v>
      </c>
      <c r="Z794" s="63" cm="1">
        <f t="array" ref="Z794">IFERROR(VLOOKUP($X794,$AN:AP,COLUMN(AP:AP)-COLUMN($AN:$AN)+1,FALSE),"")</f>
        <v>3999.45</v>
      </c>
      <c r="AA794" s="1" t="str" cm="1">
        <f t="array" ref="AA794">IFERROR(VLOOKUP($X794,$AN:AQ,COLUMN(AQ:AQ)-COLUMN($AN:$AN)+1,FALSE),"")</f>
        <v>50 GAL KIT</v>
      </c>
      <c r="AC794" s="1" t="str" cm="1">
        <f t="array" ref="AC794">IFERROR(VLOOKUP($X794,$AN:AS,COLUMN(AS:AS)-COLUMN($AN:$AN)+1,FALSE),"")</f>
        <v>CLEAR</v>
      </c>
      <c r="AF794" s="1">
        <f>Table1[[#This Row],[C:C]]*1.1</f>
        <v>0</v>
      </c>
      <c r="AI794" s="1">
        <f>IFERROR(VLOOKUP(X794,#REF!,8,FALSE),0)</f>
        <v>0</v>
      </c>
    </row>
    <row r="795" spans="22:35" x14ac:dyDescent="0.35">
      <c r="V795" s="1" t="str">
        <v xml:space="preserve"> T-303 FLESMUE50</v>
      </c>
      <c r="X795" s="66" t="str">
        <f t="shared" si="194"/>
        <v xml:space="preserve"> T-303 FLEBEGE50</v>
      </c>
      <c r="Y795" s="1" t="str" cm="1">
        <f t="array" ref="Y795">IFERROR(VLOOKUP($X795,$AN:AO,COLUMN(AO:AO)-COLUMN($AN:$AN)+1,FALSE),"")</f>
        <v>CRYLAFLOR T-303 FLEXIBLE TOPCOATBEIGE50 GAL KIT</v>
      </c>
      <c r="Z795" s="63" cm="1">
        <f t="array" ref="Z795">IFERROR(VLOOKUP($X795,$AN:AP,COLUMN(AP:AP)-COLUMN($AN:$AN)+1,FALSE),"")</f>
        <v>3999.45</v>
      </c>
      <c r="AA795" s="1" t="str" cm="1">
        <f t="array" ref="AA795">IFERROR(VLOOKUP($X795,$AN:AQ,COLUMN(AQ:AQ)-COLUMN($AN:$AN)+1,FALSE),"")</f>
        <v>50 GAL KIT</v>
      </c>
      <c r="AC795" s="1" t="str" cm="1">
        <f t="array" ref="AC795">IFERROR(VLOOKUP($X795,$AN:AS,COLUMN(AS:AS)-COLUMN($AN:$AN)+1,FALSE),"")</f>
        <v>BEIGE</v>
      </c>
      <c r="AF795" s="1">
        <f>Table1[[#This Row],[C:C]]*1.1</f>
        <v>0</v>
      </c>
      <c r="AI795" s="1">
        <f>IFERROR(VLOOKUP(X795,#REF!,8,FALSE),0)</f>
        <v>0</v>
      </c>
    </row>
    <row r="796" spans="22:35" x14ac:dyDescent="0.35">
      <c r="V796" s="1" t="str">
        <v xml:space="preserve"> COVECLAR5 </v>
      </c>
      <c r="X796" s="66" t="str">
        <f t="shared" si="194"/>
        <v xml:space="preserve"> T-303 FLEBROW50</v>
      </c>
      <c r="Y796" s="1" t="str" cm="1">
        <f t="array" ref="Y796">IFERROR(VLOOKUP($X796,$AN:AO,COLUMN(AO:AO)-COLUMN($AN:$AN)+1,FALSE),"")</f>
        <v>CRYLAFLOR T-303 FLEXIBLE TOPCOATBRIGHT YELLOW50 GAL KIT</v>
      </c>
      <c r="Z796" s="63" cm="1">
        <f t="array" ref="Z796">IFERROR(VLOOKUP($X796,$AN:AP,COLUMN(AP:AP)-COLUMN($AN:$AN)+1,FALSE),"")</f>
        <v>3999.45</v>
      </c>
      <c r="AA796" s="1" t="str" cm="1">
        <f t="array" ref="AA796">IFERROR(VLOOKUP($X796,$AN:AQ,COLUMN(AQ:AQ)-COLUMN($AN:$AN)+1,FALSE),"")</f>
        <v>50 GAL KIT</v>
      </c>
      <c r="AC796" s="1" t="str" cm="1">
        <f t="array" ref="AC796">IFERROR(VLOOKUP($X796,$AN:AS,COLUMN(AS:AS)-COLUMN($AN:$AN)+1,FALSE),"")</f>
        <v>BRIGHT YELLOW</v>
      </c>
      <c r="AF796" s="1">
        <f>Table1[[#This Row],[C:C]]*1.1</f>
        <v>0</v>
      </c>
      <c r="AI796" s="1">
        <f>IFERROR(VLOOKUP(X796,#REF!,8,FALSE),0)</f>
        <v>0</v>
      </c>
    </row>
    <row r="797" spans="22:35" x14ac:dyDescent="0.35">
      <c r="V797" s="1" t="str">
        <v xml:space="preserve"> COVECOAY5 </v>
      </c>
      <c r="X797" s="66" t="str">
        <f t="shared" si="194"/>
        <v xml:space="preserve"> T-303 FLECOAY50</v>
      </c>
      <c r="Y797" s="1" t="str" cm="1">
        <f t="array" ref="Y797">IFERROR(VLOOKUP($X797,$AN:AO,COLUMN(AO:AO)-COLUMN($AN:$AN)+1,FALSE),"")</f>
        <v>CRYLAFLOR T-303 FLEXIBLE TOPCOATCONCRETE GRAY50 GAL KIT</v>
      </c>
      <c r="Z797" s="63" cm="1">
        <f t="array" ref="Z797">IFERROR(VLOOKUP($X797,$AN:AP,COLUMN(AP:AP)-COLUMN($AN:$AN)+1,FALSE),"")</f>
        <v>3999.45</v>
      </c>
      <c r="AA797" s="1" t="str" cm="1">
        <f t="array" ref="AA797">IFERROR(VLOOKUP($X797,$AN:AQ,COLUMN(AQ:AQ)-COLUMN($AN:$AN)+1,FALSE),"")</f>
        <v>50 GAL KIT</v>
      </c>
      <c r="AC797" s="1" t="str" cm="1">
        <f t="array" ref="AC797">IFERROR(VLOOKUP($X797,$AN:AS,COLUMN(AS:AS)-COLUMN($AN:$AN)+1,FALSE),"")</f>
        <v>CONCRETE GRAY</v>
      </c>
      <c r="AF797" s="1">
        <f>Table1[[#This Row],[C:C]]*1.1</f>
        <v>0</v>
      </c>
      <c r="AI797" s="1">
        <f>IFERROR(VLOOKUP(X797,#REF!,8,FALSE),0)</f>
        <v>0</v>
      </c>
    </row>
    <row r="798" spans="22:35" x14ac:dyDescent="0.35">
      <c r="V798" s="1" t="str">
        <v xml:space="preserve"> COVEMEAY5 </v>
      </c>
      <c r="X798" s="66" t="str">
        <f t="shared" si="194"/>
        <v xml:space="preserve"> T-303 FLECHAY50</v>
      </c>
      <c r="Y798" s="1" t="str" cm="1">
        <f t="array" ref="Y798">IFERROR(VLOOKUP($X798,$AN:AO,COLUMN(AO:AO)-COLUMN($AN:$AN)+1,FALSE),"")</f>
        <v>CRYLAFLOR T-303 FLEXIBLE TOPCOATCHARCOAL GRAY50 GAL KIT</v>
      </c>
      <c r="Z798" s="63" cm="1">
        <f t="array" ref="Z798">IFERROR(VLOOKUP($X798,$AN:AP,COLUMN(AP:AP)-COLUMN($AN:$AN)+1,FALSE),"")</f>
        <v>3999.45</v>
      </c>
      <c r="AA798" s="1" t="str" cm="1">
        <f t="array" ref="AA798">IFERROR(VLOOKUP($X798,$AN:AQ,COLUMN(AQ:AQ)-COLUMN($AN:$AN)+1,FALSE),"")</f>
        <v>50 GAL KIT</v>
      </c>
      <c r="AC798" s="1" t="str" cm="1">
        <f t="array" ref="AC798">IFERROR(VLOOKUP($X798,$AN:AS,COLUMN(AS:AS)-COLUMN($AN:$AN)+1,FALSE),"")</f>
        <v>CHARCOAL GRAY</v>
      </c>
      <c r="AF798" s="1">
        <f>Table1[[#This Row],[C:C]]*1.1</f>
        <v>0</v>
      </c>
      <c r="AI798" s="1">
        <f>IFERROR(VLOOKUP(X798,#REF!,8,FALSE),0)</f>
        <v>0</v>
      </c>
    </row>
    <row r="799" spans="22:35" x14ac:dyDescent="0.35">
      <c r="V799" s="1" t="str">
        <v xml:space="preserve"> COVESLAY5 </v>
      </c>
      <c r="X799" s="66" t="str">
        <f t="shared" si="194"/>
        <v xml:space="preserve"> T-303 FLELIAY50</v>
      </c>
      <c r="Y799" s="1" t="str" cm="1">
        <f t="array" ref="Y799">IFERROR(VLOOKUP($X799,$AN:AO,COLUMN(AO:AO)-COLUMN($AN:$AN)+1,FALSE),"")</f>
        <v>CRYLAFLOR T-303 FLEXIBLE TOPCOATLIGHT GRAY50 GAL KIT</v>
      </c>
      <c r="Z799" s="63" cm="1">
        <f t="array" ref="Z799">IFERROR(VLOOKUP($X799,$AN:AP,COLUMN(AP:AP)-COLUMN($AN:$AN)+1,FALSE),"")</f>
        <v>3999.45</v>
      </c>
      <c r="AA799" s="1" t="str" cm="1">
        <f t="array" ref="AA799">IFERROR(VLOOKUP($X799,$AN:AQ,COLUMN(AQ:AQ)-COLUMN($AN:$AN)+1,FALSE),"")</f>
        <v>50 GAL KIT</v>
      </c>
      <c r="AC799" s="1" t="str" cm="1">
        <f t="array" ref="AC799">IFERROR(VLOOKUP($X799,$AN:AS,COLUMN(AS:AS)-COLUMN($AN:$AN)+1,FALSE),"")</f>
        <v>LIGHT GRAY</v>
      </c>
      <c r="AF799" s="1">
        <f>Table1[[#This Row],[C:C]]*1.1</f>
        <v>0</v>
      </c>
      <c r="AI799" s="1">
        <f>IFERROR(VLOOKUP(X799,#REF!,8,FALSE),0)</f>
        <v>0</v>
      </c>
    </row>
    <row r="800" spans="22:35" x14ac:dyDescent="0.35">
      <c r="V800" s="1" t="str">
        <v xml:space="preserve"> COVESPAL5 </v>
      </c>
      <c r="X800" s="66" t="str">
        <f t="shared" si="194"/>
        <v xml:space="preserve"> T-303 FLEMEAY50</v>
      </c>
      <c r="Y800" s="1" t="str" cm="1">
        <f t="array" ref="Y800">IFERROR(VLOOKUP($X800,$AN:AO,COLUMN(AO:AO)-COLUMN($AN:$AN)+1,FALSE),"")</f>
        <v>CRYLAFLOR T-303 FLEXIBLE TOPCOATMED. GRAY50 GAL KIT</v>
      </c>
      <c r="Z800" s="63" cm="1">
        <f t="array" ref="Z800">IFERROR(VLOOKUP($X800,$AN:AP,COLUMN(AP:AP)-COLUMN($AN:$AN)+1,FALSE),"")</f>
        <v>3999.45</v>
      </c>
      <c r="AA800" s="1" t="str" cm="1">
        <f t="array" ref="AA800">IFERROR(VLOOKUP($X800,$AN:AQ,COLUMN(AQ:AQ)-COLUMN($AN:$AN)+1,FALSE),"")</f>
        <v>50 GAL KIT</v>
      </c>
      <c r="AC800" s="1" t="str" cm="1">
        <f t="array" ref="AC800">IFERROR(VLOOKUP($X800,$AN:AS,COLUMN(AS:AS)-COLUMN($AN:$AN)+1,FALSE),"")</f>
        <v>MED. GRAY</v>
      </c>
      <c r="AF800" s="1">
        <f>Table1[[#This Row],[C:C]]*1.1</f>
        <v>0</v>
      </c>
      <c r="AI800" s="1">
        <f>IFERROR(VLOOKUP(X800,#REF!,8,FALSE),0)</f>
        <v>0</v>
      </c>
    </row>
    <row r="801" spans="22:35" x14ac:dyDescent="0.35">
      <c r="V801" s="1" t="str">
        <v xml:space="preserve"> COVEWHTE5 </v>
      </c>
      <c r="X801" s="66" t="str">
        <f t="shared" si="194"/>
        <v xml:space="preserve"> T-303 FLESLAY50</v>
      </c>
      <c r="Y801" s="1" t="str" cm="1">
        <f t="array" ref="Y801">IFERROR(VLOOKUP($X801,$AN:AO,COLUMN(AO:AO)-COLUMN($AN:$AN)+1,FALSE),"")</f>
        <v>CRYLAFLOR T-303 FLEXIBLE TOPCOATSLATE GRAY50 GAL KIT</v>
      </c>
      <c r="Z801" s="63" cm="1">
        <f t="array" ref="Z801">IFERROR(VLOOKUP($X801,$AN:AP,COLUMN(AP:AP)-COLUMN($AN:$AN)+1,FALSE),"")</f>
        <v>3999.45</v>
      </c>
      <c r="AA801" s="1" t="str" cm="1">
        <f t="array" ref="AA801">IFERROR(VLOOKUP($X801,$AN:AQ,COLUMN(AQ:AQ)-COLUMN($AN:$AN)+1,FALSE),"")</f>
        <v>50 GAL KIT</v>
      </c>
      <c r="AC801" s="1" t="str" cm="1">
        <f t="array" ref="AC801">IFERROR(VLOOKUP($X801,$AN:AS,COLUMN(AS:AS)-COLUMN($AN:$AN)+1,FALSE),"")</f>
        <v>SLATE GRAY</v>
      </c>
      <c r="AF801" s="1">
        <f>Table1[[#This Row],[C:C]]*1.1</f>
        <v>0</v>
      </c>
      <c r="AI801" s="1">
        <f>IFERROR(VLOOKUP(X801,#REF!,8,FALSE),0)</f>
        <v>0</v>
      </c>
    </row>
    <row r="802" spans="22:35" x14ac:dyDescent="0.35">
      <c r="V802" s="1" t="str">
        <v xml:space="preserve"> CURE (BPON//A55</v>
      </c>
      <c r="X802" s="66" t="str">
        <f t="shared" si="194"/>
        <v xml:space="preserve"> T-303 FLEBLCK50</v>
      </c>
      <c r="Y802" s="1" t="str" cm="1">
        <f t="array" ref="Y802">IFERROR(VLOOKUP($X802,$AN:AO,COLUMN(AO:AO)-COLUMN($AN:$AN)+1,FALSE),"")</f>
        <v>CRYLAFLOR T-303 FLEXIBLE TOPCOATBLACK50 GAL KIT</v>
      </c>
      <c r="Z802" s="63" cm="1">
        <f t="array" ref="Z802">IFERROR(VLOOKUP($X802,$AN:AP,COLUMN(AP:AP)-COLUMN($AN:$AN)+1,FALSE),"")</f>
        <v>3999.45</v>
      </c>
      <c r="AA802" s="1" t="str" cm="1">
        <f t="array" ref="AA802">IFERROR(VLOOKUP($X802,$AN:AQ,COLUMN(AQ:AQ)-COLUMN($AN:$AN)+1,FALSE),"")</f>
        <v>50 GAL KIT</v>
      </c>
      <c r="AC802" s="1" t="str" cm="1">
        <f t="array" ref="AC802">IFERROR(VLOOKUP($X802,$AN:AS,COLUMN(AS:AS)-COLUMN($AN:$AN)+1,FALSE),"")</f>
        <v>BLACK</v>
      </c>
      <c r="AF802" s="1">
        <f>Table1[[#This Row],[C:C]]*1.1</f>
        <v>0</v>
      </c>
      <c r="AI802" s="1">
        <f>IFERROR(VLOOKUP(X802,#REF!,8,FALSE),0)</f>
        <v>0</v>
      </c>
    </row>
    <row r="803" spans="22:35" x14ac:dyDescent="0.35">
      <c r="V803" s="1" t="str">
        <v>3760 RCE RN//A15</v>
      </c>
      <c r="X803" s="66" t="str">
        <f t="shared" si="194"/>
        <v xml:space="preserve"> T-303 FLEGREN50</v>
      </c>
      <c r="Y803" s="1" t="str" cm="1">
        <f t="array" ref="Y803">IFERROR(VLOOKUP($X803,$AN:AO,COLUMN(AO:AO)-COLUMN($AN:$AN)+1,FALSE),"")</f>
        <v>CRYLAFLOR T-303 FLEXIBLE TOPCOATGREEN50 GAL KIT</v>
      </c>
      <c r="Z803" s="63" cm="1">
        <f t="array" ref="Z803">IFERROR(VLOOKUP($X803,$AN:AP,COLUMN(AP:AP)-COLUMN($AN:$AN)+1,FALSE),"")</f>
        <v>3999.45</v>
      </c>
      <c r="AA803" s="1" t="str" cm="1">
        <f t="array" ref="AA803">IFERROR(VLOOKUP($X803,$AN:AQ,COLUMN(AQ:AQ)-COLUMN($AN:$AN)+1,FALSE),"")</f>
        <v>50 GAL KIT</v>
      </c>
      <c r="AC803" s="1" t="str" cm="1">
        <f t="array" ref="AC803">IFERROR(VLOOKUP($X803,$AN:AS,COLUMN(AS:AS)-COLUMN($AN:$AN)+1,FALSE),"")</f>
        <v>GREEN</v>
      </c>
      <c r="AF803" s="1">
        <f>Table1[[#This Row],[C:C]]*1.1</f>
        <v>0</v>
      </c>
      <c r="AI803" s="1">
        <f>IFERROR(VLOOKUP(X803,#REF!,8,FALSE),0)</f>
        <v>0</v>
      </c>
    </row>
    <row r="804" spans="22:35" x14ac:dyDescent="0.35">
      <c r="V804" s="1" t="str">
        <v>3760 RCE RN//A16</v>
      </c>
      <c r="X804" s="66" t="str">
        <f t="shared" si="194"/>
        <v xml:space="preserve"> T-303 FLEWHTE50</v>
      </c>
      <c r="Y804" s="1" t="str" cm="1">
        <f t="array" ref="Y804">IFERROR(VLOOKUP($X804,$AN:AO,COLUMN(AO:AO)-COLUMN($AN:$AN)+1,FALSE),"")</f>
        <v>CRYLAFLOR T-303 FLEXIBLE TOPCOATWHITE50 GAL KIT</v>
      </c>
      <c r="Z804" s="63" cm="1">
        <f t="array" ref="Z804">IFERROR(VLOOKUP($X804,$AN:AP,COLUMN(AP:AP)-COLUMN($AN:$AN)+1,FALSE),"")</f>
        <v>3999.45</v>
      </c>
      <c r="AA804" s="1" t="str" cm="1">
        <f t="array" ref="AA804">IFERROR(VLOOKUP($X804,$AN:AQ,COLUMN(AQ:AQ)-COLUMN($AN:$AN)+1,FALSE),"")</f>
        <v>50 GAL KIT</v>
      </c>
      <c r="AC804" s="1" t="str" cm="1">
        <f t="array" ref="AC804">IFERROR(VLOOKUP($X804,$AN:AS,COLUMN(AS:AS)-COLUMN($AN:$AN)+1,FALSE),"")</f>
        <v>WHITE</v>
      </c>
      <c r="AF804" s="1">
        <f>Table1[[#This Row],[C:C]]*1.1</f>
        <v>0</v>
      </c>
      <c r="AI804" s="1">
        <f>IFERROR(VLOOKUP(X804,#REF!,8,FALSE),0)</f>
        <v>0</v>
      </c>
    </row>
    <row r="805" spans="22:35" x14ac:dyDescent="0.35">
      <c r="V805" s="1" t="str">
        <v>3746 HIGH CLAR15</v>
      </c>
      <c r="X805" s="66" t="str">
        <f t="shared" si="194"/>
        <v xml:space="preserve"> T-303 FLESPAL50</v>
      </c>
      <c r="Y805" s="1" t="str" cm="1">
        <f t="array" ref="Y805">IFERROR(VLOOKUP($X805,$AN:AO,COLUMN(AO:AO)-COLUMN($AN:$AN)+1,FALSE),"")</f>
        <v>CRYLAFLOR T-303 FLEXIBLE TOPCOATSPECIAL50 GAL KIT</v>
      </c>
      <c r="Z805" s="63" cm="1">
        <f t="array" ref="Z805">IFERROR(VLOOKUP($X805,$AN:AP,COLUMN(AP:AP)-COLUMN($AN:$AN)+1,FALSE),"")</f>
        <v>3999.45</v>
      </c>
      <c r="AA805" s="1" t="str" cm="1">
        <f t="array" ref="AA805">IFERROR(VLOOKUP($X805,$AN:AQ,COLUMN(AQ:AQ)-COLUMN($AN:$AN)+1,FALSE),"")</f>
        <v>50 GAL KIT</v>
      </c>
      <c r="AC805" s="1" t="str" cm="1">
        <f t="array" ref="AC805">IFERROR(VLOOKUP($X805,$AN:AS,COLUMN(AS:AS)-COLUMN($AN:$AN)+1,FALSE),"")</f>
        <v>SPECIAL</v>
      </c>
      <c r="AF805" s="1">
        <f>Table1[[#This Row],[C:C]]*1.1</f>
        <v>0</v>
      </c>
      <c r="AI805" s="1">
        <f>IFERROR(VLOOKUP(X805,#REF!,8,FALSE),0)</f>
        <v>0</v>
      </c>
    </row>
    <row r="806" spans="22:35" x14ac:dyDescent="0.35">
      <c r="V806" s="1" t="str">
        <v>3746 HIGH CUOM15</v>
      </c>
      <c r="X806" s="66" t="str">
        <f t="shared" si="194"/>
        <v xml:space="preserve"> T-303 FLETIED50</v>
      </c>
      <c r="Y806" s="1" t="str" cm="1">
        <f t="array" ref="Y806">IFERROR(VLOOKUP($X806,$AN:AO,COLUMN(AO:AO)-COLUMN($AN:$AN)+1,FALSE),"")</f>
        <v>CRYLAFLOR T-303 FLEXIBLE TOPCOATTILE RED50 GAL KIT</v>
      </c>
      <c r="Z806" s="63" cm="1">
        <f t="array" ref="Z806">IFERROR(VLOOKUP($X806,$AN:AP,COLUMN(AP:AP)-COLUMN($AN:$AN)+1,FALSE),"")</f>
        <v>3999.45</v>
      </c>
      <c r="AA806" s="1" t="str" cm="1">
        <f t="array" ref="AA806">IFERROR(VLOOKUP($X806,$AN:AQ,COLUMN(AQ:AQ)-COLUMN($AN:$AN)+1,FALSE),"")</f>
        <v>50 GAL KIT</v>
      </c>
      <c r="AC806" s="1" t="str" cm="1">
        <f t="array" ref="AC806">IFERROR(VLOOKUP($X806,$AN:AS,COLUMN(AS:AS)-COLUMN($AN:$AN)+1,FALSE),"")</f>
        <v>TILE RED</v>
      </c>
      <c r="AF806" s="1">
        <f>Table1[[#This Row],[C:C]]*1.1</f>
        <v>0</v>
      </c>
      <c r="AI806" s="1">
        <f>IFERROR(VLOOKUP(X806,#REF!,8,FALSE),0)</f>
        <v>0</v>
      </c>
    </row>
    <row r="807" spans="22:35" x14ac:dyDescent="0.35">
      <c r="V807" s="1" t="str">
        <v>3746 HIGH WHTE15</v>
      </c>
      <c r="X807" s="66" t="str">
        <f t="shared" si="194"/>
        <v xml:space="preserve"> T-303 FLESMUE50</v>
      </c>
      <c r="Y807" s="1" t="str" cm="1">
        <f t="array" ref="Y807">IFERROR(VLOOKUP($X807,$AN:AO,COLUMN(AO:AO)-COLUMN($AN:$AN)+1,FALSE),"")</f>
        <v>CRYLAFLOR T-303 FLEXIBLE TOPCOATSMOKE BLUE50 GAL KIT</v>
      </c>
      <c r="Z807" s="63" cm="1">
        <f t="array" ref="Z807">IFERROR(VLOOKUP($X807,$AN:AP,COLUMN(AP:AP)-COLUMN($AN:$AN)+1,FALSE),"")</f>
        <v>3999.45</v>
      </c>
      <c r="AA807" s="1" t="str" cm="1">
        <f t="array" ref="AA807">IFERROR(VLOOKUP($X807,$AN:AQ,COLUMN(AQ:AQ)-COLUMN($AN:$AN)+1,FALSE),"")</f>
        <v>50 GAL KIT</v>
      </c>
      <c r="AC807" s="1" t="str" cm="1">
        <f t="array" ref="AC807">IFERROR(VLOOKUP($X807,$AN:AS,COLUMN(AS:AS)-COLUMN($AN:$AN)+1,FALSE),"")</f>
        <v>SMOKE BLUE</v>
      </c>
      <c r="AF807" s="1">
        <f>Table1[[#This Row],[C:C]]*1.1</f>
        <v>0</v>
      </c>
      <c r="AI807" s="1">
        <f>IFERROR(VLOOKUP(X807,#REF!,8,FALSE),0)</f>
        <v>0</v>
      </c>
    </row>
    <row r="808" spans="22:35" x14ac:dyDescent="0.35">
      <c r="V808" s="1" t="str">
        <v>3746 HIGH GRAY15</v>
      </c>
      <c r="X808" s="66" t="str">
        <f t="shared" si="194"/>
        <v xml:space="preserve"> COVECLAR5 </v>
      </c>
      <c r="Y808" s="1" t="str" cm="1">
        <f t="array" ref="Y808">IFERROR(VLOOKUP($X808,$AN:AO,COLUMN(AO:AO)-COLUMN($AN:$AN)+1,FALSE),"")</f>
        <v>CRYLAFLOR COVECLEAR5 GAL KIT</v>
      </c>
      <c r="Z808" s="63" cm="1">
        <f t="array" ref="Z808">IFERROR(VLOOKUP($X808,$AN:AP,COLUMN(AP:AP)-COLUMN($AN:$AN)+1,FALSE),"")</f>
        <v>477.86</v>
      </c>
      <c r="AA808" s="1" t="str" cm="1">
        <f t="array" ref="AA808">IFERROR(VLOOKUP($X808,$AN:AQ,COLUMN(AQ:AQ)-COLUMN($AN:$AN)+1,FALSE),"")</f>
        <v>5 GAL KIT</v>
      </c>
      <c r="AC808" s="1" t="str" cm="1">
        <f t="array" ref="AC808">IFERROR(VLOOKUP($X808,$AN:AS,COLUMN(AS:AS)-COLUMN($AN:$AN)+1,FALSE),"")</f>
        <v>CLEAR</v>
      </c>
      <c r="AF808" s="1">
        <f>Table1[[#This Row],[C:C]]*1.1</f>
        <v>0</v>
      </c>
      <c r="AI808" s="1">
        <f>IFERROR(VLOOKUP(X808,#REF!,8,FALSE),0)</f>
        <v>0</v>
      </c>
    </row>
    <row r="809" spans="22:35" x14ac:dyDescent="0.35">
      <c r="V809" s="1" t="str">
        <v>3746 HIGH MEAY15</v>
      </c>
      <c r="X809" s="66" t="str">
        <f t="shared" si="194"/>
        <v xml:space="preserve"> COVECOAY5 </v>
      </c>
      <c r="Y809" s="1" t="str" cm="1">
        <f t="array" ref="Y809">IFERROR(VLOOKUP($X809,$AN:AO,COLUMN(AO:AO)-COLUMN($AN:$AN)+1,FALSE),"")</f>
        <v>CRYLAFLOR COVECONCRETE GRAY5 GAL KIT</v>
      </c>
      <c r="Z809" s="63" cm="1">
        <f t="array" ref="Z809">IFERROR(VLOOKUP($X809,$AN:AP,COLUMN(AP:AP)-COLUMN($AN:$AN)+1,FALSE),"")</f>
        <v>477.86</v>
      </c>
      <c r="AA809" s="1" t="str" cm="1">
        <f t="array" ref="AA809">IFERROR(VLOOKUP($X809,$AN:AQ,COLUMN(AQ:AQ)-COLUMN($AN:$AN)+1,FALSE),"")</f>
        <v>5 GAL KIT</v>
      </c>
      <c r="AC809" s="1" t="str" cm="1">
        <f t="array" ref="AC809">IFERROR(VLOOKUP($X809,$AN:AS,COLUMN(AS:AS)-COLUMN($AN:$AN)+1,FALSE),"")</f>
        <v>CONCRETE GRAY</v>
      </c>
      <c r="AF809" s="1">
        <f>Table1[[#This Row],[C:C]]*1.1</f>
        <v>0</v>
      </c>
      <c r="AI809" s="1">
        <f>IFERROR(VLOOKUP(X809,#REF!,8,FALSE),0)</f>
        <v>0</v>
      </c>
    </row>
    <row r="810" spans="22:35" x14ac:dyDescent="0.35">
      <c r="V810" s="1" t="str">
        <v>3746 HIGH CAAY15</v>
      </c>
      <c r="X810" s="66" t="str">
        <f t="shared" si="194"/>
        <v xml:space="preserve"> COVEMEAY5 </v>
      </c>
      <c r="Y810" s="1" t="str" cm="1">
        <f t="array" ref="Y810">IFERROR(VLOOKUP($X810,$AN:AO,COLUMN(AO:AO)-COLUMN($AN:$AN)+1,FALSE),"")</f>
        <v>CRYLAFLOR COVEMED. GRAY5 GAL KIT</v>
      </c>
      <c r="Z810" s="63" cm="1">
        <f t="array" ref="Z810">IFERROR(VLOOKUP($X810,$AN:AP,COLUMN(AP:AP)-COLUMN($AN:$AN)+1,FALSE),"")</f>
        <v>477.86</v>
      </c>
      <c r="AA810" s="1" t="str" cm="1">
        <f t="array" ref="AA810">IFERROR(VLOOKUP($X810,$AN:AQ,COLUMN(AQ:AQ)-COLUMN($AN:$AN)+1,FALSE),"")</f>
        <v>5 GAL KIT</v>
      </c>
      <c r="AC810" s="1" t="str" cm="1">
        <f t="array" ref="AC810">IFERROR(VLOOKUP($X810,$AN:AS,COLUMN(AS:AS)-COLUMN($AN:$AN)+1,FALSE),"")</f>
        <v>MED. GRAY</v>
      </c>
      <c r="AF810" s="1">
        <f>Table1[[#This Row],[C:C]]*1.1</f>
        <v>0</v>
      </c>
      <c r="AI810" s="1">
        <f>IFERROR(VLOOKUP(X810,#REF!,8,FALSE),0)</f>
        <v>0</v>
      </c>
    </row>
    <row r="811" spans="22:35" x14ac:dyDescent="0.35">
      <c r="V811" s="1" t="str">
        <v>3746 HIGH CHAL15</v>
      </c>
      <c r="X811" s="66" t="str">
        <f t="shared" si="194"/>
        <v xml:space="preserve"> COVESLAY5 </v>
      </c>
      <c r="Y811" s="1" t="str" cm="1">
        <f t="array" ref="Y811">IFERROR(VLOOKUP($X811,$AN:AO,COLUMN(AO:AO)-COLUMN($AN:$AN)+1,FALSE),"")</f>
        <v>CRYLAFLOR COVESLATE GRAY5 GAL KIT</v>
      </c>
      <c r="Z811" s="63" cm="1">
        <f t="array" ref="Z811">IFERROR(VLOOKUP($X811,$AN:AP,COLUMN(AP:AP)-COLUMN($AN:$AN)+1,FALSE),"")</f>
        <v>477.86</v>
      </c>
      <c r="AA811" s="1" t="str" cm="1">
        <f t="array" ref="AA811">IFERROR(VLOOKUP($X811,$AN:AQ,COLUMN(AQ:AQ)-COLUMN($AN:$AN)+1,FALSE),"")</f>
        <v>5 GAL KIT</v>
      </c>
      <c r="AC811" s="1" t="str" cm="1">
        <f t="array" ref="AC811">IFERROR(VLOOKUP($X811,$AN:AS,COLUMN(AS:AS)-COLUMN($AN:$AN)+1,FALSE),"")</f>
        <v>SLATE GRAY</v>
      </c>
      <c r="AF811" s="1">
        <f>Table1[[#This Row],[C:C]]*1.1</f>
        <v>0</v>
      </c>
      <c r="AI811" s="1">
        <f>IFERROR(VLOOKUP(X811,#REF!,8,FALSE),0)</f>
        <v>0</v>
      </c>
    </row>
    <row r="812" spans="22:35" x14ac:dyDescent="0.35">
      <c r="V812" s="1" t="str">
        <v>3746 HIGH STAY15</v>
      </c>
      <c r="X812" s="66" t="str">
        <f t="shared" si="194"/>
        <v xml:space="preserve"> COVESPAL5 </v>
      </c>
      <c r="Y812" s="1" t="str" cm="1">
        <f t="array" ref="Y812">IFERROR(VLOOKUP($X812,$AN:AO,COLUMN(AO:AO)-COLUMN($AN:$AN)+1,FALSE),"")</f>
        <v>CRYLAFLOR COVESPECIAL5 GAL KIT</v>
      </c>
      <c r="Z812" s="63" cm="1">
        <f t="array" ref="Z812">IFERROR(VLOOKUP($X812,$AN:AP,COLUMN(AP:AP)-COLUMN($AN:$AN)+1,FALSE),"")</f>
        <v>477.86</v>
      </c>
      <c r="AA812" s="1" t="str" cm="1">
        <f t="array" ref="AA812">IFERROR(VLOOKUP($X812,$AN:AQ,COLUMN(AQ:AQ)-COLUMN($AN:$AN)+1,FALSE),"")</f>
        <v>5 GAL KIT</v>
      </c>
      <c r="AC812" s="1" t="str" cm="1">
        <f t="array" ref="AC812">IFERROR(VLOOKUP($X812,$AN:AS,COLUMN(AS:AS)-COLUMN($AN:$AN)+1,FALSE),"")</f>
        <v>SPECIAL</v>
      </c>
      <c r="AF812" s="1">
        <f>Table1[[#This Row],[C:C]]*1.1</f>
        <v>0</v>
      </c>
      <c r="AI812" s="1">
        <f>IFERROR(VLOOKUP(X812,#REF!,8,FALSE),0)</f>
        <v>0</v>
      </c>
    </row>
    <row r="813" spans="22:35" x14ac:dyDescent="0.35">
      <c r="V813" s="1" t="str">
        <v>3746 HIGH BOTE15</v>
      </c>
      <c r="X813" s="66" t="str">
        <f t="shared" si="194"/>
        <v xml:space="preserve"> COVEWHTE5 </v>
      </c>
      <c r="Y813" s="1" t="str" cm="1">
        <f t="array" ref="Y813">IFERROR(VLOOKUP($X813,$AN:AO,COLUMN(AO:AO)-COLUMN($AN:$AN)+1,FALSE),"")</f>
        <v>CRYLAFLOR COVEWHITE5 GAL KIT</v>
      </c>
      <c r="Z813" s="63" cm="1">
        <f t="array" ref="Z813">IFERROR(VLOOKUP($X813,$AN:AP,COLUMN(AP:AP)-COLUMN($AN:$AN)+1,FALSE),"")</f>
        <v>477.86</v>
      </c>
      <c r="AA813" s="1" t="str" cm="1">
        <f t="array" ref="AA813">IFERROR(VLOOKUP($X813,$AN:AQ,COLUMN(AQ:AQ)-COLUMN($AN:$AN)+1,FALSE),"")</f>
        <v>5 GAL KIT</v>
      </c>
      <c r="AC813" s="1" t="str" cm="1">
        <f t="array" ref="AC813">IFERROR(VLOOKUP($X813,$AN:AS,COLUMN(AS:AS)-COLUMN($AN:$AN)+1,FALSE),"")</f>
        <v>WHITE</v>
      </c>
      <c r="AF813" s="1">
        <f>Table1[[#This Row],[C:C]]*1.1</f>
        <v>0</v>
      </c>
      <c r="AI813" s="1">
        <f>IFERROR(VLOOKUP(X813,#REF!,8,FALSE),0)</f>
        <v>0</v>
      </c>
    </row>
    <row r="814" spans="22:35" x14ac:dyDescent="0.35">
      <c r="V814" s="1" t="str">
        <v>3746 HIGH SIAY15</v>
      </c>
      <c r="X814" s="66" t="str">
        <f t="shared" si="194"/>
        <v xml:space="preserve"> CURE (BPON//A55</v>
      </c>
      <c r="Y814" s="1" t="str" cm="1">
        <f t="array" ref="Y814">IFERROR(VLOOKUP($X814,$AN:AO,COLUMN(AO:AO)-COLUMN($AN:$AN)+1,FALSE),"")</f>
        <v>CRYLAFLOR CURE (BPO)N/A55 LB KIT</v>
      </c>
      <c r="Z814" s="63" cm="1">
        <f t="array" ref="Z814">IFERROR(VLOOKUP($X814,$AN:AP,COLUMN(AP:AP)-COLUMN($AN:$AN)+1,FALSE),"")</f>
        <v>712.09</v>
      </c>
      <c r="AA814" s="1" t="str" cm="1">
        <f t="array" ref="AA814">IFERROR(VLOOKUP($X814,$AN:AQ,COLUMN(AQ:AQ)-COLUMN($AN:$AN)+1,FALSE),"")</f>
        <v>55 LB KIT</v>
      </c>
      <c r="AC814" s="1" t="str" cm="1">
        <f t="array" ref="AC814">IFERROR(VLOOKUP($X814,$AN:AS,COLUMN(AS:AS)-COLUMN($AN:$AN)+1,FALSE),"")</f>
        <v>N/A</v>
      </c>
      <c r="AF814" s="1">
        <f>Table1[[#This Row],[C:C]]*1.1</f>
        <v>0</v>
      </c>
      <c r="AI814" s="1">
        <f>IFERROR(VLOOKUP(X814,#REF!,8,FALSE),0)</f>
        <v>0</v>
      </c>
    </row>
    <row r="815" spans="22:35" x14ac:dyDescent="0.35">
      <c r="V815" s="1" t="str">
        <v>3746 HIGH BLCK15</v>
      </c>
      <c r="X815" s="66" t="str">
        <f t="shared" si="194"/>
        <v>3760 RCE RN//A15</v>
      </c>
      <c r="Y815" s="1" t="str" cm="1">
        <f t="array" ref="Y815">IFERROR(VLOOKUP($X815,$AN:AO,COLUMN(AO:AO)-COLUMN($AN:$AN)+1,FALSE),"")</f>
        <v>RESUFLOR 3760 RCE RAPID CURE EPOXYN/A15 GAL</v>
      </c>
      <c r="Z815" s="63" cm="1">
        <f t="array" ref="Z815">IFERROR(VLOOKUP($X815,$AN:AP,COLUMN(AP:AP)-COLUMN($AN:$AN)+1,FALSE),"")</f>
        <v>962.2</v>
      </c>
      <c r="AA815" s="1" t="str" cm="1">
        <f t="array" ref="AA815">IFERROR(VLOOKUP($X815,$AN:AQ,COLUMN(AQ:AQ)-COLUMN($AN:$AN)+1,FALSE),"")</f>
        <v>15 GAL</v>
      </c>
      <c r="AC815" s="1" t="str" cm="1">
        <f t="array" ref="AC815">IFERROR(VLOOKUP($X815,$AN:AS,COLUMN(AS:AS)-COLUMN($AN:$AN)+1,FALSE),"")</f>
        <v>N/A</v>
      </c>
      <c r="AF815" s="1">
        <f>Table1[[#This Row],[C:C]]*1.1</f>
        <v>0</v>
      </c>
      <c r="AI815" s="1">
        <f>IFERROR(VLOOKUP(X815,#REF!,8,FALSE),0)</f>
        <v>0</v>
      </c>
    </row>
    <row r="816" spans="22:35" x14ac:dyDescent="0.35">
      <c r="V816" s="1" t="str">
        <v>3746 HIGH PANT15</v>
      </c>
      <c r="X816" s="66" t="str">
        <f t="shared" si="194"/>
        <v>3760 RCE RN//A16</v>
      </c>
      <c r="Y816" s="1" t="str" cm="1">
        <f t="array" ref="Y816">IFERROR(VLOOKUP($X816,$AN:AO,COLUMN(AO:AO)-COLUMN($AN:$AN)+1,FALSE),"")</f>
        <v>RESUFLOR 3760 RCE RAPID CURE EPOXYN/A165 GAL</v>
      </c>
      <c r="Z816" s="63" cm="1">
        <f t="array" ref="Z816">IFERROR(VLOOKUP($X816,$AN:AP,COLUMN(AP:AP)-COLUMN($AN:$AN)+1,FALSE),"")</f>
        <v>10260</v>
      </c>
      <c r="AA816" s="1" t="str" cm="1">
        <f t="array" ref="AA816">IFERROR(VLOOKUP($X816,$AN:AQ,COLUMN(AQ:AQ)-COLUMN($AN:$AN)+1,FALSE),"")</f>
        <v>165 GAL</v>
      </c>
      <c r="AC816" s="1" t="str" cm="1">
        <f t="array" ref="AC816">IFERROR(VLOOKUP($X816,$AN:AS,COLUMN(AS:AS)-COLUMN($AN:$AN)+1,FALSE),"")</f>
        <v>N/A</v>
      </c>
      <c r="AF816" s="1">
        <f>Table1[[#This Row],[C:C]]*1.1</f>
        <v>0</v>
      </c>
      <c r="AI816" s="1">
        <f>IFERROR(VLOOKUP(X816,#REF!,8,FALSE),0)</f>
        <v>0</v>
      </c>
    </row>
    <row r="817" spans="22:35" x14ac:dyDescent="0.35">
      <c r="V817" s="1" t="str">
        <v>3746 HIGH SAED15</v>
      </c>
      <c r="X817" s="66" t="str">
        <f t="shared" si="194"/>
        <v>3746 HIGH CLAR15</v>
      </c>
      <c r="Y817" s="1" t="str" cm="1">
        <f t="array" ref="Y817">IFERROR(VLOOKUP($X817,$AN:AO,COLUMN(AO:AO)-COLUMN($AN:$AN)+1,FALSE),"")</f>
        <v>RESUFLOR 3746 HIGH PERFORMANCE EPOXYCLEAR159 GAL</v>
      </c>
      <c r="Z817" s="63" cm="1">
        <f t="array" ref="Z817">IFERROR(VLOOKUP($X817,$AN:AP,COLUMN(AP:AP)-COLUMN($AN:$AN)+1,FALSE),"")</f>
        <v>6920.76</v>
      </c>
      <c r="AA817" s="1" t="str" cm="1">
        <f t="array" ref="AA817">IFERROR(VLOOKUP($X817,$AN:AQ,COLUMN(AQ:AQ)-COLUMN($AN:$AN)+1,FALSE),"")</f>
        <v>159 GAL</v>
      </c>
      <c r="AC817" s="1" t="str" cm="1">
        <f t="array" ref="AC817">IFERROR(VLOOKUP($X817,$AN:AS,COLUMN(AS:AS)-COLUMN($AN:$AN)+1,FALSE),"")</f>
        <v>CLEAR</v>
      </c>
      <c r="AF817" s="1">
        <f>Table1[[#This Row],[C:C]]*1.1</f>
        <v>0</v>
      </c>
      <c r="AI817" s="1">
        <f>IFERROR(VLOOKUP(X817,#REF!,8,FALSE),0)</f>
        <v>0</v>
      </c>
    </row>
    <row r="818" spans="22:35" x14ac:dyDescent="0.35">
      <c r="V818" s="1" t="str">
        <v>3746 HIGH SAOW15</v>
      </c>
      <c r="X818" s="66" t="str">
        <f t="shared" si="194"/>
        <v>3746 HIGH CUOM15</v>
      </c>
      <c r="Y818" s="1" t="str" cm="1">
        <f t="array" ref="Y818">IFERROR(VLOOKUP($X818,$AN:AO,COLUMN(AO:AO)-COLUMN($AN:$AN)+1,FALSE),"")</f>
        <v>RESUFLOR 3746 HIGH PERFORMANCE EPOXYCUSTOM159 GAL</v>
      </c>
      <c r="Z818" s="63" cm="1">
        <f t="array" ref="Z818">IFERROR(VLOOKUP($X818,$AN:AP,COLUMN(AP:AP)-COLUMN($AN:$AN)+1,FALSE),"")</f>
        <v>6920.76</v>
      </c>
      <c r="AA818" s="1" t="str" cm="1">
        <f t="array" ref="AA818">IFERROR(VLOOKUP($X818,$AN:AQ,COLUMN(AQ:AQ)-COLUMN($AN:$AN)+1,FALSE),"")</f>
        <v>159 GAL</v>
      </c>
      <c r="AC818" s="1" t="str" cm="1">
        <f t="array" ref="AC818">IFERROR(VLOOKUP($X818,$AN:AS,COLUMN(AS:AS)-COLUMN($AN:$AN)+1,FALSE),"")</f>
        <v>CUSTOM</v>
      </c>
      <c r="AF818" s="1">
        <f>Table1[[#This Row],[C:C]]*1.1</f>
        <v>0</v>
      </c>
      <c r="AI818" s="1">
        <f>IFERROR(VLOOKUP(X818,#REF!,8,FALSE),0)</f>
        <v>0</v>
      </c>
    </row>
    <row r="819" spans="22:35" x14ac:dyDescent="0.35">
      <c r="V819" s="1" t="str">
        <v>3746 HIGH ROUE15</v>
      </c>
      <c r="X819" s="66" t="str">
        <f t="shared" si="194"/>
        <v>3746 HIGH WHTE15</v>
      </c>
      <c r="Y819" s="1" t="str" cm="1">
        <f t="array" ref="Y819">IFERROR(VLOOKUP($X819,$AN:AO,COLUMN(AO:AO)-COLUMN($AN:$AN)+1,FALSE),"")</f>
        <v>RESUFLOR 3746 HIGH PERFORMANCE EPOXYWHITE159 GAL</v>
      </c>
      <c r="Z819" s="63" cm="1">
        <f t="array" ref="Z819">IFERROR(VLOOKUP($X819,$AN:AP,COLUMN(AP:AP)-COLUMN($AN:$AN)+1,FALSE),"")</f>
        <v>6920.76</v>
      </c>
      <c r="AA819" s="1" t="str" cm="1">
        <f t="array" ref="AA819">IFERROR(VLOOKUP($X819,$AN:AQ,COLUMN(AQ:AQ)-COLUMN($AN:$AN)+1,FALSE),"")</f>
        <v>159 GAL</v>
      </c>
      <c r="AC819" s="1" t="str" cm="1">
        <f t="array" ref="AC819">IFERROR(VLOOKUP($X819,$AN:AS,COLUMN(AS:AS)-COLUMN($AN:$AN)+1,FALSE),"")</f>
        <v>WHITE</v>
      </c>
      <c r="AF819" s="1">
        <f>Table1[[#This Row],[C:C]]*1.1</f>
        <v>0</v>
      </c>
      <c r="AI819" s="1">
        <f>IFERROR(VLOOKUP(X819,#REF!,8,FALSE),0)</f>
        <v>0</v>
      </c>
    </row>
    <row r="820" spans="22:35" x14ac:dyDescent="0.35">
      <c r="V820" s="1" t="str">
        <v>3746 HIGH PEER15</v>
      </c>
      <c r="X820" s="66" t="str">
        <f t="shared" si="194"/>
        <v>3746 HIGH GRAY15</v>
      </c>
      <c r="Y820" s="1" t="str" cm="1">
        <f t="array" ref="Y820">IFERROR(VLOOKUP($X820,$AN:AO,COLUMN(AO:AO)-COLUMN($AN:$AN)+1,FALSE),"")</f>
        <v>RESUFLOR 3746 HIGH PERFORMANCE EPOXYGRAY159 GAL</v>
      </c>
      <c r="Z820" s="63" cm="1">
        <f t="array" ref="Z820">IFERROR(VLOOKUP($X820,$AN:AP,COLUMN(AP:AP)-COLUMN($AN:$AN)+1,FALSE),"")</f>
        <v>6920.76</v>
      </c>
      <c r="AA820" s="1" t="str" cm="1">
        <f t="array" ref="AA820">IFERROR(VLOOKUP($X820,$AN:AQ,COLUMN(AQ:AQ)-COLUMN($AN:$AN)+1,FALSE),"")</f>
        <v>159 GAL</v>
      </c>
      <c r="AC820" s="1" t="str" cm="1">
        <f t="array" ref="AC820">IFERROR(VLOOKUP($X820,$AN:AS,COLUMN(AS:AS)-COLUMN($AN:$AN)+1,FALSE),"")</f>
        <v>GRAY</v>
      </c>
      <c r="AF820" s="1">
        <f>Table1[[#This Row],[C:C]]*1.1</f>
        <v>0</v>
      </c>
      <c r="AI820" s="1">
        <f>IFERROR(VLOOKUP(X820,#REF!,8,FALSE),0)</f>
        <v>0</v>
      </c>
    </row>
    <row r="821" spans="22:35" x14ac:dyDescent="0.35">
      <c r="V821" s="1" t="str">
        <v>3746 HIGH CLLE15</v>
      </c>
      <c r="X821" s="66" t="str">
        <f t="shared" si="194"/>
        <v>3746 HIGH MEAY15</v>
      </c>
      <c r="Y821" s="1" t="str" cm="1">
        <f t="array" ref="Y821">IFERROR(VLOOKUP($X821,$AN:AO,COLUMN(AO:AO)-COLUMN($AN:$AN)+1,FALSE),"")</f>
        <v>RESUFLOR 3746 HIGH PERFORMANCE EPOXYMEDIUM GRAY159 GAL</v>
      </c>
      <c r="Z821" s="63" cm="1">
        <f t="array" ref="Z821">IFERROR(VLOOKUP($X821,$AN:AP,COLUMN(AP:AP)-COLUMN($AN:$AN)+1,FALSE),"")</f>
        <v>6920.76</v>
      </c>
      <c r="AA821" s="1" t="str" cm="1">
        <f t="array" ref="AA821">IFERROR(VLOOKUP($X821,$AN:AQ,COLUMN(AQ:AQ)-COLUMN($AN:$AN)+1,FALSE),"")</f>
        <v>159 GAL</v>
      </c>
      <c r="AC821" s="1" t="str" cm="1">
        <f t="array" ref="AC821">IFERROR(VLOOKUP($X821,$AN:AS,COLUMN(AS:AS)-COLUMN($AN:$AN)+1,FALSE),"")</f>
        <v>MEDIUM GRAY</v>
      </c>
      <c r="AF821" s="1">
        <f>Table1[[#This Row],[C:C]]*1.1</f>
        <v>0</v>
      </c>
      <c r="AI821" s="1">
        <f>IFERROR(VLOOKUP(X821,#REF!,8,FALSE),0)</f>
        <v>0</v>
      </c>
    </row>
    <row r="822" spans="22:35" x14ac:dyDescent="0.35">
      <c r="V822" s="1" t="str">
        <v>3746 HIGH CAEL15</v>
      </c>
      <c r="X822" s="66" t="str">
        <f t="shared" si="194"/>
        <v>3746 HIGH CAAY15</v>
      </c>
      <c r="Y822" s="1" t="str" cm="1">
        <f t="array" ref="Y822">IFERROR(VLOOKUP($X822,$AN:AO,COLUMN(AO:AO)-COLUMN($AN:$AN)+1,FALSE),"")</f>
        <v>RESUFLOR 3746 HIGH PERFORMANCE EPOXYCANADA GRAY159 GAL</v>
      </c>
      <c r="Z822" s="63" cm="1">
        <f t="array" ref="Z822">IFERROR(VLOOKUP($X822,$AN:AP,COLUMN(AP:AP)-COLUMN($AN:$AN)+1,FALSE),"")</f>
        <v>6920.76</v>
      </c>
      <c r="AA822" s="1" t="str" cm="1">
        <f t="array" ref="AA822">IFERROR(VLOOKUP($X822,$AN:AQ,COLUMN(AQ:AQ)-COLUMN($AN:$AN)+1,FALSE),"")</f>
        <v>159 GAL</v>
      </c>
      <c r="AC822" s="1" t="str" cm="1">
        <f t="array" ref="AC822">IFERROR(VLOOKUP($X822,$AN:AS,COLUMN(AS:AS)-COLUMN($AN:$AN)+1,FALSE),"")</f>
        <v>CANADA GRAY</v>
      </c>
      <c r="AF822" s="1">
        <f>Table1[[#This Row],[C:C]]*1.1</f>
        <v>0</v>
      </c>
      <c r="AI822" s="1">
        <f>IFERROR(VLOOKUP(X822,#REF!,8,FALSE),0)</f>
        <v>0</v>
      </c>
    </row>
    <row r="823" spans="22:35" x14ac:dyDescent="0.35">
      <c r="V823" s="1" t="str">
        <v>3746 HIGH ULSE15</v>
      </c>
      <c r="X823" s="66" t="str">
        <f t="shared" si="194"/>
        <v>3746 HIGH CHAL15</v>
      </c>
      <c r="Y823" s="1" t="str" cm="1">
        <f t="array" ref="Y823">IFERROR(VLOOKUP($X823,$AN:AO,COLUMN(AO:AO)-COLUMN($AN:$AN)+1,FALSE),"")</f>
        <v>RESUFLOR 3746 HIGH PERFORMANCE EPOXYCHARCOAL159 GAL</v>
      </c>
      <c r="Z823" s="63" cm="1">
        <f t="array" ref="Z823">IFERROR(VLOOKUP($X823,$AN:AP,COLUMN(AP:AP)-COLUMN($AN:$AN)+1,FALSE),"")</f>
        <v>6920.76</v>
      </c>
      <c r="AA823" s="1" t="str" cm="1">
        <f t="array" ref="AA823">IFERROR(VLOOKUP($X823,$AN:AQ,COLUMN(AQ:AQ)-COLUMN($AN:$AN)+1,FALSE),"")</f>
        <v>159 GAL</v>
      </c>
      <c r="AC823" s="1" t="str" cm="1">
        <f t="array" ref="AC823">IFERROR(VLOOKUP($X823,$AN:AS,COLUMN(AS:AS)-COLUMN($AN:$AN)+1,FALSE),"")</f>
        <v>CHARCOAL</v>
      </c>
      <c r="AF823" s="1">
        <f>Table1[[#This Row],[C:C]]*1.1</f>
        <v>0</v>
      </c>
      <c r="AI823" s="1">
        <f>IFERROR(VLOOKUP(X823,#REF!,8,FALSE),0)</f>
        <v>0</v>
      </c>
    </row>
    <row r="824" spans="22:35" x14ac:dyDescent="0.35">
      <c r="V824" s="1" t="str">
        <v>3746 HIGH WHSE15</v>
      </c>
      <c r="X824" s="66" t="str">
        <f t="shared" si="194"/>
        <v>3746 HIGH STAY15</v>
      </c>
      <c r="Y824" s="1" t="str" cm="1">
        <f t="array" ref="Y824">IFERROR(VLOOKUP($X824,$AN:AO,COLUMN(AO:AO)-COLUMN($AN:$AN)+1,FALSE),"")</f>
        <v>RESUFLOR 3746 HIGH PERFORMANCE EPOXYSTEEL GRAY159 GAL</v>
      </c>
      <c r="Z824" s="63" cm="1">
        <f t="array" ref="Z824">IFERROR(VLOOKUP($X824,$AN:AP,COLUMN(AP:AP)-COLUMN($AN:$AN)+1,FALSE),"")</f>
        <v>6920.76</v>
      </c>
      <c r="AA824" s="1" t="str" cm="1">
        <f t="array" ref="AA824">IFERROR(VLOOKUP($X824,$AN:AQ,COLUMN(AQ:AQ)-COLUMN($AN:$AN)+1,FALSE),"")</f>
        <v>159 GAL</v>
      </c>
      <c r="AC824" s="1" t="str" cm="1">
        <f t="array" ref="AC824">IFERROR(VLOOKUP($X824,$AN:AS,COLUMN(AS:AS)-COLUMN($AN:$AN)+1,FALSE),"")</f>
        <v>STEEL GRAY</v>
      </c>
      <c r="AF824" s="1">
        <f>Table1[[#This Row],[C:C]]*1.1</f>
        <v>0</v>
      </c>
      <c r="AI824" s="1">
        <f>IFERROR(VLOOKUP(X824,#REF!,8,FALSE),0)</f>
        <v>0</v>
      </c>
    </row>
    <row r="825" spans="22:35" x14ac:dyDescent="0.35">
      <c r="V825" s="1" t="e">
        <v>#VALUE!</v>
      </c>
      <c r="X825" s="66" t="str">
        <f t="shared" si="194"/>
        <v>3746 HIGH BOTE15</v>
      </c>
      <c r="Y825" s="1" t="str" cm="1">
        <f t="array" ref="Y825">IFERROR(VLOOKUP($X825,$AN:AO,COLUMN(AO:AO)-COLUMN($AN:$AN)+1,FALSE),"")</f>
        <v>RESUFLOR 3746 HIGH PERFORMANCE EPOXYBONE WHITE159 GAL</v>
      </c>
      <c r="Z825" s="63" cm="1">
        <f t="array" ref="Z825">IFERROR(VLOOKUP($X825,$AN:AP,COLUMN(AP:AP)-COLUMN($AN:$AN)+1,FALSE),"")</f>
        <v>6920.76</v>
      </c>
      <c r="AA825" s="1" t="str" cm="1">
        <f t="array" ref="AA825">IFERROR(VLOOKUP($X825,$AN:AQ,COLUMN(AQ:AQ)-COLUMN($AN:$AN)+1,FALSE),"")</f>
        <v>159 GAL</v>
      </c>
      <c r="AC825" s="1" t="str" cm="1">
        <f t="array" ref="AC825">IFERROR(VLOOKUP($X825,$AN:AS,COLUMN(AS:AS)-COLUMN($AN:$AN)+1,FALSE),"")</f>
        <v>BONE WHITE</v>
      </c>
      <c r="AF825" s="1">
        <f>Table1[[#This Row],[C:C]]*1.1</f>
        <v>0</v>
      </c>
      <c r="AI825" s="1">
        <f>IFERROR(VLOOKUP(X825,#REF!,8,FALSE),0)</f>
        <v>0</v>
      </c>
    </row>
    <row r="826" spans="22:35" x14ac:dyDescent="0.35">
      <c r="V826" s="1">
        <v>0</v>
      </c>
      <c r="X826" s="66" t="str">
        <f t="shared" si="194"/>
        <v>3746 HIGH SIAY15</v>
      </c>
      <c r="Y826" s="1" t="str" cm="1">
        <f t="array" ref="Y826">IFERROR(VLOOKUP($X826,$AN:AO,COLUMN(AO:AO)-COLUMN($AN:$AN)+1,FALSE),"")</f>
        <v>RESUFLOR 3746 HIGH PERFORMANCE EPOXYSILVER GRAY159 GAL</v>
      </c>
      <c r="Z826" s="63" cm="1">
        <f t="array" ref="Z826">IFERROR(VLOOKUP($X826,$AN:AP,COLUMN(AP:AP)-COLUMN($AN:$AN)+1,FALSE),"")</f>
        <v>6920.76</v>
      </c>
      <c r="AA826" s="1" t="str" cm="1">
        <f t="array" ref="AA826">IFERROR(VLOOKUP($X826,$AN:AQ,COLUMN(AQ:AQ)-COLUMN($AN:$AN)+1,FALSE),"")</f>
        <v>159 GAL</v>
      </c>
      <c r="AC826" s="1" t="str" cm="1">
        <f t="array" ref="AC826">IFERROR(VLOOKUP($X826,$AN:AS,COLUMN(AS:AS)-COLUMN($AN:$AN)+1,FALSE),"")</f>
        <v>SILVER GRAY</v>
      </c>
      <c r="AF826" s="1">
        <f>Table1[[#This Row],[C:C]]*1.1</f>
        <v>0</v>
      </c>
      <c r="AI826" s="1">
        <f>IFERROR(VLOOKUP(X826,#REF!,8,FALSE),0)</f>
        <v>0</v>
      </c>
    </row>
    <row r="827" spans="22:35" x14ac:dyDescent="0.35">
      <c r="X827" s="66" t="str">
        <f t="shared" si="194"/>
        <v>3746 HIGH BLCK15</v>
      </c>
      <c r="Y827" s="1" t="str" cm="1">
        <f t="array" ref="Y827">IFERROR(VLOOKUP($X827,$AN:AO,COLUMN(AO:AO)-COLUMN($AN:$AN)+1,FALSE),"")</f>
        <v>RESUFLOR 3746 HIGH PERFORMANCE EPOXYBLACK159 GAL</v>
      </c>
      <c r="Z827" s="63" cm="1">
        <f t="array" ref="Z827">IFERROR(VLOOKUP($X827,$AN:AP,COLUMN(AP:AP)-COLUMN($AN:$AN)+1,FALSE),"")</f>
        <v>6920.76</v>
      </c>
      <c r="AA827" s="1" t="str" cm="1">
        <f t="array" ref="AA827">IFERROR(VLOOKUP($X827,$AN:AQ,COLUMN(AQ:AQ)-COLUMN($AN:$AN)+1,FALSE),"")</f>
        <v>159 GAL</v>
      </c>
      <c r="AC827" s="1" t="str" cm="1">
        <f t="array" ref="AC827">IFERROR(VLOOKUP($X827,$AN:AS,COLUMN(AS:AS)-COLUMN($AN:$AN)+1,FALSE),"")</f>
        <v>BLACK</v>
      </c>
      <c r="AF827" s="1">
        <f>Table1[[#This Row],[C:C]]*1.1</f>
        <v>0</v>
      </c>
      <c r="AI827" s="1">
        <f>IFERROR(VLOOKUP(X827,#REF!,8,FALSE),0)</f>
        <v>0</v>
      </c>
    </row>
    <row r="828" spans="22:35" x14ac:dyDescent="0.35">
      <c r="X828" s="66" t="str">
        <f t="shared" si="194"/>
        <v>3746 HIGH PANT15</v>
      </c>
      <c r="Y828" s="1" t="str" cm="1">
        <f t="array" ref="Y828">IFERROR(VLOOKUP($X828,$AN:AO,COLUMN(AO:AO)-COLUMN($AN:$AN)+1,FALSE),"")</f>
        <v>RESUFLOR 3746 HIGH PERFORMANCE EPOXYPARCHMENT159 GAL</v>
      </c>
      <c r="Z828" s="63" cm="1">
        <f t="array" ref="Z828">IFERROR(VLOOKUP($X828,$AN:AP,COLUMN(AP:AP)-COLUMN($AN:$AN)+1,FALSE),"")</f>
        <v>6920.76</v>
      </c>
      <c r="AA828" s="1" t="str" cm="1">
        <f t="array" ref="AA828">IFERROR(VLOOKUP($X828,$AN:AQ,COLUMN(AQ:AQ)-COLUMN($AN:$AN)+1,FALSE),"")</f>
        <v>159 GAL</v>
      </c>
      <c r="AC828" s="1" t="str" cm="1">
        <f t="array" ref="AC828">IFERROR(VLOOKUP($X828,$AN:AS,COLUMN(AS:AS)-COLUMN($AN:$AN)+1,FALSE),"")</f>
        <v>PARCHMENT</v>
      </c>
      <c r="AF828" s="1">
        <f>Table1[[#This Row],[C:C]]*1.1</f>
        <v>0</v>
      </c>
      <c r="AI828" s="1">
        <f>IFERROR(VLOOKUP(X828,#REF!,8,FALSE),0)</f>
        <v>0</v>
      </c>
    </row>
    <row r="829" spans="22:35" x14ac:dyDescent="0.35">
      <c r="X829" s="66" t="str">
        <f t="shared" si="194"/>
        <v>3746 HIGH SAED15</v>
      </c>
      <c r="Y829" s="1" t="str" cm="1">
        <f t="array" ref="Y829">IFERROR(VLOOKUP($X829,$AN:AO,COLUMN(AO:AO)-COLUMN($AN:$AN)+1,FALSE),"")</f>
        <v>RESUFLOR 3746 HIGH PERFORMANCE EPOXYSAFETY RED159 GAL</v>
      </c>
      <c r="Z829" s="63" cm="1">
        <f t="array" ref="Z829">IFERROR(VLOOKUP($X829,$AN:AP,COLUMN(AP:AP)-COLUMN($AN:$AN)+1,FALSE),"")</f>
        <v>6920.76</v>
      </c>
      <c r="AA829" s="1" t="str" cm="1">
        <f t="array" ref="AA829">IFERROR(VLOOKUP($X829,$AN:AQ,COLUMN(AQ:AQ)-COLUMN($AN:$AN)+1,FALSE),"")</f>
        <v>159 GAL</v>
      </c>
      <c r="AC829" s="1" t="str" cm="1">
        <f t="array" ref="AC829">IFERROR(VLOOKUP($X829,$AN:AS,COLUMN(AS:AS)-COLUMN($AN:$AN)+1,FALSE),"")</f>
        <v>SAFETY RED</v>
      </c>
      <c r="AF829" s="1">
        <f>Table1[[#This Row],[C:C]]*1.1</f>
        <v>0</v>
      </c>
      <c r="AI829" s="1">
        <f>IFERROR(VLOOKUP(X829,#REF!,8,FALSE),0)</f>
        <v>0</v>
      </c>
    </row>
    <row r="830" spans="22:35" x14ac:dyDescent="0.35">
      <c r="X830" s="66" t="str">
        <f t="shared" si="194"/>
        <v>3746 HIGH SAOW15</v>
      </c>
      <c r="Y830" s="1" t="str" cm="1">
        <f t="array" ref="Y830">IFERROR(VLOOKUP($X830,$AN:AO,COLUMN(AO:AO)-COLUMN($AN:$AN)+1,FALSE),"")</f>
        <v>RESUFLOR 3746 HIGH PERFORMANCE EPOXYSAFETY YELLOW159 GAL</v>
      </c>
      <c r="Z830" s="63" cm="1">
        <f t="array" ref="Z830">IFERROR(VLOOKUP($X830,$AN:AP,COLUMN(AP:AP)-COLUMN($AN:$AN)+1,FALSE),"")</f>
        <v>6920.76</v>
      </c>
      <c r="AA830" s="1" t="str" cm="1">
        <f t="array" ref="AA830">IFERROR(VLOOKUP($X830,$AN:AQ,COLUMN(AQ:AQ)-COLUMN($AN:$AN)+1,FALSE),"")</f>
        <v>159 GAL</v>
      </c>
      <c r="AC830" s="1" t="str" cm="1">
        <f t="array" ref="AC830">IFERROR(VLOOKUP($X830,$AN:AS,COLUMN(AS:AS)-COLUMN($AN:$AN)+1,FALSE),"")</f>
        <v>SAFETY YELLOW</v>
      </c>
      <c r="AF830" s="1">
        <f>Table1[[#This Row],[C:C]]*1.1</f>
        <v>0</v>
      </c>
      <c r="AI830" s="1">
        <f>IFERROR(VLOOKUP(X830,#REF!,8,FALSE),0)</f>
        <v>0</v>
      </c>
    </row>
    <row r="831" spans="22:35" x14ac:dyDescent="0.35">
      <c r="X831" s="66" t="str">
        <f t="shared" si="194"/>
        <v>3746 HIGH ROUE15</v>
      </c>
      <c r="Y831" s="1" t="str" cm="1">
        <f t="array" ref="Y831">IFERROR(VLOOKUP($X831,$AN:AO,COLUMN(AO:AO)-COLUMN($AN:$AN)+1,FALSE),"")</f>
        <v>RESUFLOR 3746 HIGH PERFORMANCE EPOXYROYAL BLUE159 GAL</v>
      </c>
      <c r="Z831" s="63" cm="1">
        <f t="array" ref="Z831">IFERROR(VLOOKUP($X831,$AN:AP,COLUMN(AP:AP)-COLUMN($AN:$AN)+1,FALSE),"")</f>
        <v>6920.76</v>
      </c>
      <c r="AA831" s="1" t="str" cm="1">
        <f t="array" ref="AA831">IFERROR(VLOOKUP($X831,$AN:AQ,COLUMN(AQ:AQ)-COLUMN($AN:$AN)+1,FALSE),"")</f>
        <v>159 GAL</v>
      </c>
      <c r="AC831" s="1" t="str" cm="1">
        <f t="array" ref="AC831">IFERROR(VLOOKUP($X831,$AN:AS,COLUMN(AS:AS)-COLUMN($AN:$AN)+1,FALSE),"")</f>
        <v>ROYAL BLUE</v>
      </c>
      <c r="AF831" s="1">
        <f>Table1[[#This Row],[C:C]]*1.1</f>
        <v>0</v>
      </c>
      <c r="AI831" s="1">
        <f>IFERROR(VLOOKUP(X831,#REF!,8,FALSE),0)</f>
        <v>0</v>
      </c>
    </row>
    <row r="832" spans="22:35" x14ac:dyDescent="0.35">
      <c r="X832" s="66" t="str">
        <f t="shared" si="194"/>
        <v>3746 HIGH PEER15</v>
      </c>
      <c r="Y832" s="1" t="str" cm="1">
        <f t="array" ref="Y832">IFERROR(VLOOKUP($X832,$AN:AO,COLUMN(AO:AO)-COLUMN($AN:$AN)+1,FALSE),"")</f>
        <v>RESUFLOR 3746 HIGH PERFORMANCE EPOXYPEWTER159 GAL</v>
      </c>
      <c r="Z832" s="63" cm="1">
        <f t="array" ref="Z832">IFERROR(VLOOKUP($X832,$AN:AP,COLUMN(AP:AP)-COLUMN($AN:$AN)+1,FALSE),"")</f>
        <v>6920.76</v>
      </c>
      <c r="AA832" s="1" t="str" cm="1">
        <f t="array" ref="AA832">IFERROR(VLOOKUP($X832,$AN:AQ,COLUMN(AQ:AQ)-COLUMN($AN:$AN)+1,FALSE),"")</f>
        <v>159 GAL</v>
      </c>
      <c r="AC832" s="1" t="str" cm="1">
        <f t="array" ref="AC832">IFERROR(VLOOKUP($X832,$AN:AS,COLUMN(AS:AS)-COLUMN($AN:$AN)+1,FALSE),"")</f>
        <v>PEWTER</v>
      </c>
      <c r="AF832" s="1">
        <f>Table1[[#This Row],[C:C]]*1.1</f>
        <v>0</v>
      </c>
      <c r="AI832" s="1">
        <f>IFERROR(VLOOKUP(X832,#REF!,8,FALSE),0)</f>
        <v>0</v>
      </c>
    </row>
    <row r="833" spans="24:36" x14ac:dyDescent="0.35">
      <c r="X833" s="66" t="str">
        <f t="shared" si="194"/>
        <v>3746 HIGH CLLE15</v>
      </c>
      <c r="Y833" s="1" t="str" cm="1">
        <f t="array" ref="Y833">IFERROR(VLOOKUP($X833,$AN:AO,COLUMN(AO:AO)-COLUMN($AN:$AN)+1,FALSE),"")</f>
        <v>RESUFLOR 3746 HIGH PERFORMANCE EPOXYCLASIC RED TILE159 GAL</v>
      </c>
      <c r="Z833" s="63" cm="1">
        <f t="array" ref="Z833">IFERROR(VLOOKUP($X833,$AN:AP,COLUMN(AP:AP)-COLUMN($AN:$AN)+1,FALSE),"")</f>
        <v>6920.76</v>
      </c>
      <c r="AA833" s="1" t="str" cm="1">
        <f t="array" ref="AA833">IFERROR(VLOOKUP($X833,$AN:AQ,COLUMN(AQ:AQ)-COLUMN($AN:$AN)+1,FALSE),"")</f>
        <v>159 GAL</v>
      </c>
      <c r="AC833" s="1" t="str" cm="1">
        <f t="array" ref="AC833">IFERROR(VLOOKUP($X833,$AN:AS,COLUMN(AS:AS)-COLUMN($AN:$AN)+1,FALSE),"")</f>
        <v>CLASIC RED TILE</v>
      </c>
      <c r="AF833" s="1">
        <f>Table1[[#This Row],[C:C]]*1.1</f>
        <v>0</v>
      </c>
      <c r="AI833" s="1">
        <f>IFERROR(VLOOKUP(X833,#REF!,8,FALSE),0)</f>
        <v>0</v>
      </c>
    </row>
    <row r="834" spans="24:36" x14ac:dyDescent="0.35">
      <c r="X834" s="66" t="str">
        <f t="shared" si="194"/>
        <v>3746 HIGH CAEL15</v>
      </c>
      <c r="Y834" s="1" t="str" cm="1">
        <f t="array" ref="Y834">IFERROR(VLOOKUP($X834,$AN:AO,COLUMN(AO:AO)-COLUMN($AN:$AN)+1,FALSE),"")</f>
        <v>RESUFLOR 3746 HIGH PERFORMANCE EPOXYCARAMEL159 GAL</v>
      </c>
      <c r="Z834" s="63" cm="1">
        <f t="array" ref="Z834">IFERROR(VLOOKUP($X834,$AN:AP,COLUMN(AP:AP)-COLUMN($AN:$AN)+1,FALSE),"")</f>
        <v>6920.76</v>
      </c>
      <c r="AA834" s="1" t="str" cm="1">
        <f t="array" ref="AA834">IFERROR(VLOOKUP($X834,$AN:AQ,COLUMN(AQ:AQ)-COLUMN($AN:$AN)+1,FALSE),"")</f>
        <v>159 GAL</v>
      </c>
      <c r="AC834" s="1" t="str" cm="1">
        <f t="array" ref="AC834">IFERROR(VLOOKUP($X834,$AN:AS,COLUMN(AS:AS)-COLUMN($AN:$AN)+1,FALSE),"")</f>
        <v>CARAMEL</v>
      </c>
      <c r="AF834" s="1">
        <f>Table1[[#This Row],[C:C]]*1.1</f>
        <v>0</v>
      </c>
      <c r="AI834" s="1">
        <f>IFERROR(VLOOKUP(X834,#REF!,8,FALSE),0)</f>
        <v>0</v>
      </c>
    </row>
    <row r="835" spans="24:36" x14ac:dyDescent="0.35">
      <c r="X835" s="66" t="str">
        <f t="shared" si="194"/>
        <v>3746 HIGH ULSE15</v>
      </c>
      <c r="Y835" s="1" t="str" cm="1">
        <f t="array" ref="Y835">IFERROR(VLOOKUP($X835,$AN:AO,COLUMN(AO:AO)-COLUMN($AN:$AN)+1,FALSE),"")</f>
        <v>RESUFLOR 3746 HIGH PERFORMANCE EPOXYULTRA DEEP BASE159 GAL</v>
      </c>
      <c r="Z835" s="63" cm="1">
        <f t="array" ref="Z835">IFERROR(VLOOKUP($X835,$AN:AP,COLUMN(AP:AP)-COLUMN($AN:$AN)+1,FALSE),"")</f>
        <v>6920.76</v>
      </c>
      <c r="AA835" s="1" t="str" cm="1">
        <f t="array" ref="AA835">IFERROR(VLOOKUP($X835,$AN:AQ,COLUMN(AQ:AQ)-COLUMN($AN:$AN)+1,FALSE),"")</f>
        <v>159 GAL</v>
      </c>
      <c r="AC835" s="1" t="str" cm="1">
        <f t="array" ref="AC835">IFERROR(VLOOKUP($X835,$AN:AS,COLUMN(AS:AS)-COLUMN($AN:$AN)+1,FALSE),"")</f>
        <v>ULTRA DEEP BASE</v>
      </c>
      <c r="AF835" s="1">
        <f>Table1[[#This Row],[C:C]]*1.1</f>
        <v>0</v>
      </c>
      <c r="AI835" s="1">
        <f>IFERROR(VLOOKUP(X835,#REF!,8,FALSE),0)</f>
        <v>0</v>
      </c>
    </row>
    <row r="836" spans="24:36" x14ac:dyDescent="0.35">
      <c r="X836" s="66" t="str">
        <f t="shared" si="194"/>
        <v>3746 HIGH WHSE15</v>
      </c>
      <c r="Y836" s="1" t="str" cm="1">
        <f t="array" ref="Y836">IFERROR(VLOOKUP($X836,$AN:AO,COLUMN(AO:AO)-COLUMN($AN:$AN)+1,FALSE),"")</f>
        <v>RESUFLOR 3746 HIGH PERFORMANCE EPOXYWHITE TINT BASE159 GAL</v>
      </c>
      <c r="Z836" s="63" cm="1">
        <f t="array" ref="Z836">IFERROR(VLOOKUP($X836,$AN:AP,COLUMN(AP:AP)-COLUMN($AN:$AN)+1,FALSE),"")</f>
        <v>6920.76</v>
      </c>
      <c r="AA836" s="1" t="str" cm="1">
        <f t="array" ref="AA836">IFERROR(VLOOKUP($X836,$AN:AQ,COLUMN(AQ:AQ)-COLUMN($AN:$AN)+1,FALSE),"")</f>
        <v>159 GAL</v>
      </c>
      <c r="AC836" s="1" t="str" cm="1">
        <f t="array" ref="AC836">IFERROR(VLOOKUP($X836,$AN:AS,COLUMN(AS:AS)-COLUMN($AN:$AN)+1,FALSE),"")</f>
        <v>WHITE TINT BASE</v>
      </c>
      <c r="AF836" s="1">
        <f>Table1[[#This Row],[C:C]]*1.1</f>
        <v>0</v>
      </c>
      <c r="AI836" s="1">
        <f>IFERROR(VLOOKUP(X836,#REF!,8,FALSE),0)</f>
        <v>0</v>
      </c>
    </row>
    <row r="837" spans="24:36" x14ac:dyDescent="0.35">
      <c r="X837" s="66" t="e">
        <f t="shared" si="194"/>
        <v>#VALUE!</v>
      </c>
      <c r="Y837" s="1" t="str" cm="1">
        <f t="array" ref="Y837">IFERROR(VLOOKUP($X837,$AN:AO,COLUMN(AO:AO)-COLUMN($AN:$AN)+1,FALSE),"")</f>
        <v/>
      </c>
      <c r="Z837" s="63" t="str" cm="1">
        <f t="array" ref="Z837">IFERROR(VLOOKUP($X837,$AN:AP,COLUMN(AP:AP)-COLUMN($AN:$AN)+1,FALSE),"")</f>
        <v/>
      </c>
      <c r="AA837" s="1" t="str" cm="1">
        <f t="array" ref="AA837">IFERROR(VLOOKUP($X837,$AN:AQ,COLUMN(AQ:AQ)-COLUMN($AN:$AN)+1,FALSE),"")</f>
        <v/>
      </c>
      <c r="AF837" s="1">
        <f>Table1[[#This Row],[C:C]]*1.1</f>
        <v>0</v>
      </c>
      <c r="AI837" s="1">
        <f>IFERROR(VLOOKUP(X837,#REF!,8,FALSE),0)</f>
        <v>0</v>
      </c>
    </row>
    <row r="838" spans="24:36" x14ac:dyDescent="0.35">
      <c r="X838" s="66">
        <f t="shared" si="194"/>
        <v>0</v>
      </c>
      <c r="Z838" s="63" t="str" cm="1">
        <f t="array" ref="Z838">IFERROR(VLOOKUP($X838,$AN:AP,COLUMN(AP:AP)-COLUMN($AN:$AN)+1,FALSE),"")</f>
        <v/>
      </c>
      <c r="AF838" s="1">
        <f>Table1[[#This Row],[C:C]]*1.1</f>
        <v>0</v>
      </c>
      <c r="AI838" s="1">
        <f>IFERROR(VLOOKUP(X838,#REF!,8,FALSE),0)</f>
        <v>0</v>
      </c>
    </row>
    <row r="839" spans="24:36" x14ac:dyDescent="0.35">
      <c r="X839" s="66">
        <f t="shared" si="194"/>
        <v>0</v>
      </c>
      <c r="AF839" s="1">
        <f>Table1[[#This Row],[C:C]]*1.1</f>
        <v>0</v>
      </c>
      <c r="AI839" s="1">
        <f>IFERROR(VLOOKUP(X839,#REF!,8,FALSE),0)</f>
        <v>0</v>
      </c>
    </row>
    <row r="840" spans="24:36" x14ac:dyDescent="0.35">
      <c r="X840" s="66">
        <f t="shared" si="194"/>
        <v>0</v>
      </c>
      <c r="AF840" s="1">
        <f>Table1[[#This Row],[C:C]]*1.1</f>
        <v>0</v>
      </c>
      <c r="AI840" s="1">
        <f>IFERROR(VLOOKUP(X840,#REF!,8,FALSE),0)</f>
        <v>0</v>
      </c>
    </row>
    <row r="841" spans="24:36" x14ac:dyDescent="0.35">
      <c r="X841" s="590" t="s">
        <v>192</v>
      </c>
      <c r="Y841" s="591" t="s">
        <v>273</v>
      </c>
      <c r="Z841" s="592">
        <f>Table1[[#This Row],[D:D]]</f>
        <v>330</v>
      </c>
      <c r="AA841" s="591" t="s">
        <v>73</v>
      </c>
      <c r="AB841" s="591"/>
      <c r="AC841" s="591"/>
      <c r="AD841" s="591" t="s">
        <v>17</v>
      </c>
      <c r="AE841" s="591">
        <v>300</v>
      </c>
      <c r="AF841" s="591">
        <f>Table1[[#This Row],[C:C]]*1.1</f>
        <v>330</v>
      </c>
      <c r="AG841" s="591"/>
      <c r="AH841" s="591"/>
      <c r="AI841" s="591">
        <f>IFERROR(VLOOKUP(X841,#REF!,8,FALSE),0)</f>
        <v>0</v>
      </c>
      <c r="AJ841" s="593"/>
    </row>
    <row r="842" spans="24:36" x14ac:dyDescent="0.35">
      <c r="X842" s="594" t="s">
        <v>1050</v>
      </c>
      <c r="Y842" s="595" t="s">
        <v>273</v>
      </c>
      <c r="Z842" s="596">
        <f>Table1[[#This Row],[D:D]]</f>
        <v>2915.0000000000005</v>
      </c>
      <c r="AA842" s="595" t="s">
        <v>106</v>
      </c>
      <c r="AB842" s="595"/>
      <c r="AC842" s="595"/>
      <c r="AD842" s="595" t="s">
        <v>17</v>
      </c>
      <c r="AE842" s="595">
        <v>2650</v>
      </c>
      <c r="AF842" s="595">
        <f>Table1[[#This Row],[C:C]]*1.1</f>
        <v>2915.0000000000005</v>
      </c>
      <c r="AG842" s="595"/>
      <c r="AH842" s="595"/>
      <c r="AI842" s="595">
        <f>IFERROR(VLOOKUP(X842,#REF!,8,FALSE),0)</f>
        <v>0</v>
      </c>
      <c r="AJ842" s="597"/>
    </row>
    <row r="843" spans="24:36" x14ac:dyDescent="0.35">
      <c r="X843" s="590" t="s">
        <v>274</v>
      </c>
      <c r="Y843" s="591" t="s">
        <v>275</v>
      </c>
      <c r="Z843" s="592">
        <f>Table1[[#This Row],[D:D]]</f>
        <v>341</v>
      </c>
      <c r="AA843" s="591" t="s">
        <v>73</v>
      </c>
      <c r="AB843" s="591"/>
      <c r="AC843" s="591"/>
      <c r="AD843" s="591" t="s">
        <v>17</v>
      </c>
      <c r="AE843" s="591">
        <v>310</v>
      </c>
      <c r="AF843" s="591">
        <f>Table1[[#This Row],[C:C]]*1.1</f>
        <v>341</v>
      </c>
      <c r="AG843" s="591"/>
      <c r="AH843" s="591"/>
      <c r="AI843" s="591">
        <f>IFERROR(VLOOKUP(X843,#REF!,8,FALSE),0)</f>
        <v>0</v>
      </c>
      <c r="AJ843" s="593"/>
    </row>
    <row r="844" spans="24:36" x14ac:dyDescent="0.35">
      <c r="X844" s="594" t="s">
        <v>1051</v>
      </c>
      <c r="Y844" s="595" t="s">
        <v>275</v>
      </c>
      <c r="Z844" s="596">
        <f>Table1[[#This Row],[D:D]]</f>
        <v>855554.70000000007</v>
      </c>
      <c r="AA844" s="595" t="s">
        <v>106</v>
      </c>
      <c r="AB844" s="595"/>
      <c r="AC844" s="595"/>
      <c r="AD844" s="595" t="s">
        <v>17</v>
      </c>
      <c r="AE844" s="595">
        <v>777777</v>
      </c>
      <c r="AF844" s="595">
        <f>Table1[[#This Row],[C:C]]*1.1</f>
        <v>855554.70000000007</v>
      </c>
      <c r="AG844" s="595"/>
      <c r="AH844" s="595"/>
      <c r="AI844" s="595">
        <f>IFERROR(VLOOKUP(X844,#REF!,8,FALSE),0)</f>
        <v>0</v>
      </c>
      <c r="AJ844" s="597"/>
    </row>
    <row r="845" spans="24:36" x14ac:dyDescent="0.35">
      <c r="X845" s="590" t="s">
        <v>190</v>
      </c>
      <c r="Y845" s="591" t="s">
        <v>1071</v>
      </c>
      <c r="Z845" s="592">
        <f>Table1[[#This Row],[D:D]]</f>
        <v>125.4</v>
      </c>
      <c r="AA845" s="591" t="s">
        <v>116</v>
      </c>
      <c r="AB845" s="591"/>
      <c r="AC845" s="591"/>
      <c r="AD845" s="591" t="s">
        <v>17</v>
      </c>
      <c r="AE845" s="591">
        <v>114</v>
      </c>
      <c r="AF845" s="591">
        <f>Table1[[#This Row],[C:C]]*1.1</f>
        <v>125.4</v>
      </c>
      <c r="AG845" s="591"/>
      <c r="AH845" s="591"/>
      <c r="AI845" s="591">
        <f>IFERROR(VLOOKUP(X845,#REF!,8,FALSE),0)</f>
        <v>0</v>
      </c>
      <c r="AJ845" s="593"/>
    </row>
  </sheetData>
  <sortState xmlns:xlrd2="http://schemas.microsoft.com/office/spreadsheetml/2017/richdata2" ref="BD384:BG486">
    <sortCondition ref="BD384:BD486"/>
    <sortCondition ref="BF384:BF486"/>
    <sortCondition ref="BE384:BE486"/>
  </sortState>
  <phoneticPr fontId="29" type="noConversion"/>
  <conditionalFormatting sqref="AY1:AY1048576">
    <cfRule type="duplicateValues" dxfId="31" priority="1"/>
  </conditionalFormatting>
  <dataValidations disablePrompts="1" count="1">
    <dataValidation type="list" allowBlank="1" showInputMessage="1" showErrorMessage="1" sqref="BE524:BE525 BE527:BE528 BE542 BE547:BE548" xr:uid="{2CA355CB-B90F-415A-813E-9A276727539A}">
      <formula1>_xlfn.SWITCH(BD524,$E$14,$L$37,$E$15,$L$38:$L$40,$E$16,$L$41:$L$43)</formula1>
    </dataValidation>
  </dataValidations>
  <pageMargins left="0.7" right="0.7" top="0.75" bottom="0.75" header="0.3" footer="0.3"/>
  <pageSetup paperSize="8"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BB20-69A2-451E-B0C5-33579608C8D1}">
  <sheetPr codeName="Sheet5">
    <tabColor rgb="FFFF0000"/>
    <pageSetUpPr fitToPage="1"/>
  </sheetPr>
  <dimension ref="A1:N87"/>
  <sheetViews>
    <sheetView showGridLines="0" showRowColHeaders="0" zoomScale="85" zoomScaleNormal="85" workbookViewId="0">
      <selection activeCell="C2" sqref="C2:E2"/>
    </sheetView>
  </sheetViews>
  <sheetFormatPr defaultColWidth="0" defaultRowHeight="0" customHeight="1" zeroHeight="1" x14ac:dyDescent="0.35"/>
  <cols>
    <col min="1" max="1" width="1.7265625" style="123" customWidth="1"/>
    <col min="2" max="2" width="32" style="127" bestFit="1" customWidth="1"/>
    <col min="3" max="8" width="14.26953125" style="123" customWidth="1"/>
    <col min="9" max="9" width="14.453125" style="123" customWidth="1"/>
    <col min="10" max="10" width="14.26953125" style="123" customWidth="1"/>
    <col min="11" max="11" width="1.7265625" style="123" customWidth="1"/>
    <col min="12" max="12" width="1.7265625" style="123" hidden="1" customWidth="1"/>
    <col min="13" max="13" width="7.26953125" style="123" hidden="1" customWidth="1"/>
    <col min="14" max="14" width="13.26953125" style="123" hidden="1" customWidth="1"/>
    <col min="15" max="16384" width="9.26953125" style="123" hidden="1"/>
  </cols>
  <sheetData>
    <row r="1" spans="1:11" ht="16" thickBot="1" x14ac:dyDescent="0.4">
      <c r="A1" s="382"/>
      <c r="B1" s="383"/>
      <c r="C1" s="383"/>
      <c r="D1" s="383"/>
      <c r="E1" s="383"/>
      <c r="F1" s="383"/>
      <c r="G1" s="383"/>
      <c r="H1" s="383"/>
      <c r="I1" s="383"/>
      <c r="J1" s="383"/>
      <c r="K1" s="384"/>
    </row>
    <row r="2" spans="1:11" ht="16" thickBot="1" x14ac:dyDescent="0.4">
      <c r="A2" s="124"/>
      <c r="B2" s="146" t="s">
        <v>753</v>
      </c>
      <c r="C2" s="759"/>
      <c r="D2" s="760"/>
      <c r="E2" s="761"/>
      <c r="F2" s="146" t="s">
        <v>857</v>
      </c>
      <c r="G2" s="136"/>
      <c r="H2" s="146" t="s">
        <v>855</v>
      </c>
      <c r="I2" s="762"/>
      <c r="J2" s="764"/>
      <c r="K2" s="126"/>
    </row>
    <row r="3" spans="1:11" ht="11.25" customHeight="1" thickBot="1" x14ac:dyDescent="0.4">
      <c r="A3" s="385"/>
      <c r="B3" s="385"/>
      <c r="C3" s="385"/>
      <c r="D3" s="385"/>
      <c r="E3" s="385"/>
      <c r="F3" s="385"/>
      <c r="G3" s="385"/>
      <c r="J3" s="385"/>
      <c r="K3" s="126"/>
    </row>
    <row r="4" spans="1:11" ht="16" thickBot="1" x14ac:dyDescent="0.4">
      <c r="A4" s="124"/>
      <c r="B4" s="147" t="s">
        <v>294</v>
      </c>
      <c r="C4" s="759"/>
      <c r="D4" s="760"/>
      <c r="E4" s="761"/>
      <c r="F4" s="710" t="s">
        <v>856</v>
      </c>
      <c r="G4" s="711"/>
      <c r="H4" s="762"/>
      <c r="I4" s="763"/>
      <c r="J4" s="764"/>
      <c r="K4" s="126"/>
    </row>
    <row r="5" spans="1:11" ht="11.25" customHeight="1" thickBot="1" x14ac:dyDescent="0.4">
      <c r="A5" s="124"/>
      <c r="C5" s="127"/>
      <c r="H5" s="127"/>
      <c r="I5" s="127"/>
      <c r="K5" s="126"/>
    </row>
    <row r="6" spans="1:11" ht="16" thickBot="1" x14ac:dyDescent="0.4">
      <c r="A6" s="124"/>
      <c r="B6" s="687" t="s">
        <v>754</v>
      </c>
      <c r="C6" s="688"/>
      <c r="D6" s="688"/>
      <c r="E6" s="688"/>
      <c r="F6" s="688"/>
      <c r="G6" s="688"/>
      <c r="H6" s="688"/>
      <c r="I6" s="688"/>
      <c r="J6" s="689"/>
      <c r="K6" s="126"/>
    </row>
    <row r="7" spans="1:11" ht="33.75" customHeight="1" thickBot="1" x14ac:dyDescent="0.4">
      <c r="A7" s="124"/>
      <c r="B7" s="386" t="s">
        <v>296</v>
      </c>
      <c r="C7" s="386" t="s">
        <v>861</v>
      </c>
      <c r="D7" s="386" t="s">
        <v>759</v>
      </c>
      <c r="E7" s="386" t="s">
        <v>760</v>
      </c>
      <c r="F7" s="386" t="s">
        <v>761</v>
      </c>
      <c r="G7" s="386" t="s">
        <v>858</v>
      </c>
      <c r="H7" s="386" t="s">
        <v>1081</v>
      </c>
      <c r="I7" s="386" t="s">
        <v>859</v>
      </c>
      <c r="J7" s="386" t="s">
        <v>860</v>
      </c>
      <c r="K7" s="387"/>
    </row>
    <row r="8" spans="1:11" ht="15.5" x14ac:dyDescent="0.35">
      <c r="A8" s="124"/>
      <c r="B8" s="397"/>
      <c r="C8" s="137"/>
      <c r="D8" s="138"/>
      <c r="E8" s="138"/>
      <c r="F8" s="416"/>
      <c r="G8" s="602"/>
      <c r="H8" s="605"/>
      <c r="I8" s="453"/>
      <c r="J8" s="454"/>
      <c r="K8" s="126"/>
    </row>
    <row r="9" spans="1:11" ht="15.5" x14ac:dyDescent="0.35">
      <c r="A9" s="124"/>
      <c r="B9" s="398"/>
      <c r="C9" s="139"/>
      <c r="D9" s="140"/>
      <c r="E9" s="140"/>
      <c r="F9" s="417"/>
      <c r="G9" s="603"/>
      <c r="H9" s="606"/>
      <c r="I9" s="449"/>
      <c r="J9" s="450"/>
      <c r="K9" s="126"/>
    </row>
    <row r="10" spans="1:11" ht="15.5" x14ac:dyDescent="0.35">
      <c r="A10" s="124"/>
      <c r="B10" s="398"/>
      <c r="C10" s="139"/>
      <c r="D10" s="140"/>
      <c r="E10" s="140"/>
      <c r="F10" s="417"/>
      <c r="G10" s="603"/>
      <c r="H10" s="606"/>
      <c r="I10" s="449"/>
      <c r="J10" s="450"/>
      <c r="K10" s="126"/>
    </row>
    <row r="11" spans="1:11" ht="15.5" x14ac:dyDescent="0.35">
      <c r="A11" s="124"/>
      <c r="B11" s="398"/>
      <c r="C11" s="139"/>
      <c r="D11" s="140"/>
      <c r="E11" s="140"/>
      <c r="F11" s="417"/>
      <c r="G11" s="603"/>
      <c r="H11" s="606"/>
      <c r="I11" s="449"/>
      <c r="J11" s="450"/>
      <c r="K11" s="126"/>
    </row>
    <row r="12" spans="1:11" ht="15.5" x14ac:dyDescent="0.35">
      <c r="A12" s="124"/>
      <c r="B12" s="398"/>
      <c r="C12" s="139"/>
      <c r="D12" s="140"/>
      <c r="E12" s="140"/>
      <c r="F12" s="417"/>
      <c r="G12" s="603"/>
      <c r="H12" s="606"/>
      <c r="I12" s="449"/>
      <c r="J12" s="450"/>
      <c r="K12" s="126"/>
    </row>
    <row r="13" spans="1:11" ht="15.5" x14ac:dyDescent="0.35">
      <c r="A13" s="124"/>
      <c r="B13" s="398"/>
      <c r="C13" s="139"/>
      <c r="D13" s="140"/>
      <c r="E13" s="140"/>
      <c r="F13" s="417"/>
      <c r="G13" s="603"/>
      <c r="H13" s="606"/>
      <c r="I13" s="449"/>
      <c r="J13" s="450"/>
      <c r="K13" s="126"/>
    </row>
    <row r="14" spans="1:11" ht="16" thickBot="1" x14ac:dyDescent="0.4">
      <c r="A14" s="124"/>
      <c r="B14" s="399"/>
      <c r="C14" s="141"/>
      <c r="D14" s="142"/>
      <c r="E14" s="142"/>
      <c r="F14" s="418"/>
      <c r="G14" s="604"/>
      <c r="H14" s="607"/>
      <c r="I14" s="451"/>
      <c r="J14" s="452"/>
      <c r="K14" s="126"/>
    </row>
    <row r="15" spans="1:11" ht="11.25" customHeight="1" thickBot="1" x14ac:dyDescent="0.4">
      <c r="A15" s="124"/>
      <c r="K15" s="126"/>
    </row>
    <row r="16" spans="1:11" ht="16" thickBot="1" x14ac:dyDescent="0.4">
      <c r="A16" s="124"/>
      <c r="B16" s="687" t="s">
        <v>755</v>
      </c>
      <c r="C16" s="688"/>
      <c r="D16" s="688"/>
      <c r="E16" s="688"/>
      <c r="F16" s="688"/>
      <c r="G16" s="688"/>
      <c r="H16" s="688"/>
      <c r="I16" s="688"/>
      <c r="J16" s="689"/>
      <c r="K16" s="126"/>
    </row>
    <row r="17" spans="1:11" ht="11.25" customHeight="1" thickBot="1" x14ac:dyDescent="0.4">
      <c r="A17" s="124"/>
      <c r="B17" s="388"/>
      <c r="C17" s="388"/>
      <c r="D17" s="388"/>
      <c r="E17" s="388"/>
      <c r="F17" s="388"/>
      <c r="G17" s="388"/>
      <c r="H17" s="388"/>
      <c r="I17" s="388"/>
      <c r="J17" s="388"/>
      <c r="K17" s="126"/>
    </row>
    <row r="18" spans="1:11" ht="16" thickBot="1" x14ac:dyDescent="0.4">
      <c r="A18" s="124"/>
      <c r="B18" s="381" t="s">
        <v>876</v>
      </c>
      <c r="C18" s="756"/>
      <c r="D18" s="757"/>
      <c r="E18" s="758"/>
      <c r="F18" s="710" t="s">
        <v>297</v>
      </c>
      <c r="G18" s="711"/>
      <c r="H18" s="759"/>
      <c r="I18" s="760"/>
      <c r="J18" s="761"/>
      <c r="K18" s="126"/>
    </row>
    <row r="19" spans="1:11" ht="16" thickBot="1" x14ac:dyDescent="0.4">
      <c r="A19" s="124"/>
      <c r="C19" s="765"/>
      <c r="D19" s="766"/>
      <c r="E19" s="767"/>
      <c r="F19" s="125"/>
      <c r="G19" s="125"/>
      <c r="H19" s="759"/>
      <c r="I19" s="760"/>
      <c r="J19" s="761"/>
      <c r="K19" s="126"/>
    </row>
    <row r="20" spans="1:11" ht="16" thickBot="1" x14ac:dyDescent="0.4">
      <c r="A20" s="124"/>
      <c r="C20" s="756"/>
      <c r="D20" s="757"/>
      <c r="E20" s="758"/>
      <c r="F20" s="125"/>
      <c r="G20" s="125"/>
      <c r="H20" s="759"/>
      <c r="I20" s="760"/>
      <c r="J20" s="761"/>
      <c r="K20" s="126"/>
    </row>
    <row r="21" spans="1:11" ht="16" thickBot="1" x14ac:dyDescent="0.4">
      <c r="A21" s="124"/>
      <c r="C21" s="145"/>
      <c r="D21" s="145"/>
      <c r="E21" s="145"/>
      <c r="F21" s="125"/>
      <c r="G21" s="125"/>
      <c r="H21" s="145"/>
      <c r="I21" s="145"/>
      <c r="J21" s="145"/>
      <c r="K21" s="126"/>
    </row>
    <row r="22" spans="1:11" ht="16" thickBot="1" x14ac:dyDescent="0.4">
      <c r="A22" s="124"/>
      <c r="C22" s="458" t="s">
        <v>993</v>
      </c>
      <c r="D22" s="458" t="s">
        <v>994</v>
      </c>
      <c r="E22" s="458" t="s">
        <v>995</v>
      </c>
      <c r="H22" s="458" t="s">
        <v>993</v>
      </c>
      <c r="I22" s="458" t="s">
        <v>994</v>
      </c>
      <c r="J22" s="458" t="s">
        <v>995</v>
      </c>
      <c r="K22" s="126"/>
    </row>
    <row r="23" spans="1:11" ht="11.25" customHeight="1" thickBot="1" x14ac:dyDescent="0.4">
      <c r="A23" s="124"/>
      <c r="C23" s="456"/>
      <c r="D23" s="456"/>
      <c r="E23" s="456"/>
      <c r="F23" s="457"/>
      <c r="G23" s="457"/>
      <c r="H23" s="456"/>
      <c r="I23" s="456"/>
      <c r="J23" s="457"/>
      <c r="K23" s="455"/>
    </row>
    <row r="24" spans="1:11" ht="16" thickBot="1" x14ac:dyDescent="0.4">
      <c r="A24" s="124"/>
      <c r="B24" s="146" t="s">
        <v>877</v>
      </c>
      <c r="C24" s="756"/>
      <c r="D24" s="757"/>
      <c r="E24" s="758"/>
      <c r="G24" s="716" t="s">
        <v>873</v>
      </c>
      <c r="H24" s="744"/>
      <c r="I24" s="143" t="s">
        <v>1038</v>
      </c>
      <c r="K24" s="126"/>
    </row>
    <row r="25" spans="1:11" ht="16" thickBot="1" x14ac:dyDescent="0.4">
      <c r="A25" s="124"/>
      <c r="B25" s="128" t="s">
        <v>1035</v>
      </c>
      <c r="C25" s="756"/>
      <c r="D25" s="757"/>
      <c r="E25" s="758"/>
      <c r="G25" s="716" t="s">
        <v>874</v>
      </c>
      <c r="H25" s="744"/>
      <c r="I25" s="143"/>
      <c r="K25" s="126"/>
    </row>
    <row r="26" spans="1:11" ht="16" thickBot="1" x14ac:dyDescent="0.4">
      <c r="A26" s="124"/>
      <c r="B26" s="128"/>
      <c r="C26" s="756"/>
      <c r="D26" s="757"/>
      <c r="E26" s="758"/>
      <c r="G26" s="754" t="s">
        <v>875</v>
      </c>
      <c r="H26" s="755"/>
      <c r="I26" s="144"/>
      <c r="K26" s="126"/>
    </row>
    <row r="27" spans="1:11" ht="11.25" customHeight="1" thickBot="1" x14ac:dyDescent="0.4">
      <c r="A27" s="124"/>
      <c r="B27" s="391"/>
      <c r="C27" s="390"/>
      <c r="D27" s="390"/>
      <c r="E27" s="390"/>
      <c r="F27" s="390"/>
      <c r="G27" s="390"/>
      <c r="H27" s="390"/>
      <c r="I27" s="390"/>
      <c r="K27" s="126"/>
    </row>
    <row r="28" spans="1:11" ht="16" thickBot="1" x14ac:dyDescent="0.4">
      <c r="A28" s="124"/>
      <c r="B28" s="693" t="s">
        <v>756</v>
      </c>
      <c r="C28" s="694"/>
      <c r="D28" s="694"/>
      <c r="E28" s="694"/>
      <c r="F28" s="694"/>
      <c r="G28" s="694"/>
      <c r="H28" s="694"/>
      <c r="I28" s="694"/>
      <c r="J28" s="695"/>
      <c r="K28" s="126"/>
    </row>
    <row r="29" spans="1:11" ht="11.25" customHeight="1" thickBot="1" x14ac:dyDescent="0.4">
      <c r="A29" s="124"/>
      <c r="C29" s="127"/>
      <c r="K29" s="126"/>
    </row>
    <row r="30" spans="1:11" ht="16" thickBot="1" x14ac:dyDescent="0.4">
      <c r="A30" s="124"/>
      <c r="B30" s="392" t="s">
        <v>862</v>
      </c>
      <c r="C30" s="145"/>
      <c r="E30" s="392" t="s">
        <v>866</v>
      </c>
      <c r="F30" s="145"/>
      <c r="H30" s="735" t="s">
        <v>870</v>
      </c>
      <c r="I30" s="736"/>
      <c r="J30" s="419"/>
      <c r="K30" s="393"/>
    </row>
    <row r="31" spans="1:11" ht="16" thickBot="1" x14ac:dyDescent="0.4">
      <c r="A31" s="124"/>
      <c r="B31" s="392" t="s">
        <v>863</v>
      </c>
      <c r="C31" s="145"/>
      <c r="E31" s="392" t="s">
        <v>867</v>
      </c>
      <c r="F31" s="145"/>
      <c r="H31" s="735" t="s">
        <v>871</v>
      </c>
      <c r="I31" s="736"/>
      <c r="J31" s="145"/>
      <c r="K31" s="393"/>
    </row>
    <row r="32" spans="1:11" ht="16" thickBot="1" x14ac:dyDescent="0.4">
      <c r="A32" s="124"/>
      <c r="B32" s="392" t="s">
        <v>864</v>
      </c>
      <c r="C32" s="145"/>
      <c r="E32" s="392" t="s">
        <v>868</v>
      </c>
      <c r="F32" s="145"/>
      <c r="H32" s="735" t="s">
        <v>872</v>
      </c>
      <c r="I32" s="736"/>
      <c r="J32" s="145"/>
      <c r="K32" s="393"/>
    </row>
    <row r="33" spans="1:11" ht="16" thickBot="1" x14ac:dyDescent="0.4">
      <c r="A33" s="124"/>
      <c r="B33" s="392" t="s">
        <v>865</v>
      </c>
      <c r="C33" s="145"/>
      <c r="E33" s="394" t="s">
        <v>869</v>
      </c>
      <c r="F33" s="145"/>
      <c r="H33" s="735" t="s">
        <v>979</v>
      </c>
      <c r="I33" s="736"/>
      <c r="J33" s="145"/>
      <c r="K33" s="126"/>
    </row>
    <row r="34" spans="1:11" ht="11.25" customHeight="1" thickBot="1" x14ac:dyDescent="0.4">
      <c r="A34" s="124"/>
      <c r="B34" s="391"/>
      <c r="C34" s="390"/>
      <c r="D34" s="389"/>
      <c r="E34" s="389"/>
      <c r="F34" s="389"/>
      <c r="G34" s="390"/>
      <c r="H34" s="390"/>
      <c r="I34" s="390"/>
      <c r="K34" s="126"/>
    </row>
    <row r="35" spans="1:11" ht="16" thickBot="1" x14ac:dyDescent="0.4">
      <c r="A35" s="124"/>
      <c r="B35" s="693" t="s">
        <v>1003</v>
      </c>
      <c r="C35" s="694"/>
      <c r="D35" s="694"/>
      <c r="E35" s="694"/>
      <c r="F35" s="694"/>
      <c r="G35" s="694"/>
      <c r="H35" s="694"/>
      <c r="I35" s="694"/>
      <c r="J35" s="695"/>
      <c r="K35" s="126"/>
    </row>
    <row r="36" spans="1:11" ht="11.25" customHeight="1" thickBot="1" x14ac:dyDescent="0.4">
      <c r="A36" s="124"/>
      <c r="K36" s="126"/>
    </row>
    <row r="37" spans="1:11" ht="15.5" x14ac:dyDescent="0.35">
      <c r="A37" s="124"/>
      <c r="B37" s="745"/>
      <c r="C37" s="746"/>
      <c r="D37" s="746"/>
      <c r="E37" s="746"/>
      <c r="F37" s="746"/>
      <c r="G37" s="746"/>
      <c r="H37" s="746"/>
      <c r="I37" s="746"/>
      <c r="J37" s="747"/>
      <c r="K37" s="126"/>
    </row>
    <row r="38" spans="1:11" ht="15.5" x14ac:dyDescent="0.35">
      <c r="A38" s="124"/>
      <c r="B38" s="748"/>
      <c r="C38" s="749"/>
      <c r="D38" s="749"/>
      <c r="E38" s="749"/>
      <c r="F38" s="749"/>
      <c r="G38" s="749"/>
      <c r="H38" s="749"/>
      <c r="I38" s="749"/>
      <c r="J38" s="750"/>
      <c r="K38" s="126"/>
    </row>
    <row r="39" spans="1:11" ht="15.5" x14ac:dyDescent="0.35">
      <c r="A39" s="124"/>
      <c r="B39" s="748"/>
      <c r="C39" s="749"/>
      <c r="D39" s="749"/>
      <c r="E39" s="749"/>
      <c r="F39" s="749"/>
      <c r="G39" s="749"/>
      <c r="H39" s="749"/>
      <c r="I39" s="749"/>
      <c r="J39" s="750"/>
      <c r="K39" s="126"/>
    </row>
    <row r="40" spans="1:11" ht="15.5" x14ac:dyDescent="0.35">
      <c r="A40" s="124"/>
      <c r="B40" s="748"/>
      <c r="C40" s="749"/>
      <c r="D40" s="749"/>
      <c r="E40" s="749"/>
      <c r="F40" s="749"/>
      <c r="G40" s="749"/>
      <c r="H40" s="749"/>
      <c r="I40" s="749"/>
      <c r="J40" s="750"/>
      <c r="K40" s="126"/>
    </row>
    <row r="41" spans="1:11" ht="15.5" x14ac:dyDescent="0.35">
      <c r="A41" s="124"/>
      <c r="B41" s="748"/>
      <c r="C41" s="749"/>
      <c r="D41" s="749"/>
      <c r="E41" s="749"/>
      <c r="F41" s="749"/>
      <c r="G41" s="749"/>
      <c r="H41" s="749"/>
      <c r="I41" s="749"/>
      <c r="J41" s="750"/>
      <c r="K41" s="126"/>
    </row>
    <row r="42" spans="1:11" ht="15.5" x14ac:dyDescent="0.35">
      <c r="A42" s="124"/>
      <c r="B42" s="748"/>
      <c r="C42" s="749"/>
      <c r="D42" s="749"/>
      <c r="E42" s="749"/>
      <c r="F42" s="749"/>
      <c r="G42" s="749"/>
      <c r="H42" s="749"/>
      <c r="I42" s="749"/>
      <c r="J42" s="750"/>
      <c r="K42" s="126"/>
    </row>
    <row r="43" spans="1:11" ht="15.5" x14ac:dyDescent="0.35">
      <c r="A43" s="124"/>
      <c r="B43" s="748"/>
      <c r="C43" s="749"/>
      <c r="D43" s="749"/>
      <c r="E43" s="749"/>
      <c r="F43" s="749"/>
      <c r="G43" s="749"/>
      <c r="H43" s="749"/>
      <c r="I43" s="749"/>
      <c r="J43" s="750"/>
      <c r="K43" s="126"/>
    </row>
    <row r="44" spans="1:11" ht="15.5" x14ac:dyDescent="0.35">
      <c r="A44" s="124"/>
      <c r="B44" s="748"/>
      <c r="C44" s="749"/>
      <c r="D44" s="749"/>
      <c r="E44" s="749"/>
      <c r="F44" s="749"/>
      <c r="G44" s="749"/>
      <c r="H44" s="749"/>
      <c r="I44" s="749"/>
      <c r="J44" s="750"/>
      <c r="K44" s="126"/>
    </row>
    <row r="45" spans="1:11" ht="16" thickBot="1" x14ac:dyDescent="0.4">
      <c r="A45" s="124"/>
      <c r="B45" s="751"/>
      <c r="C45" s="752"/>
      <c r="D45" s="752"/>
      <c r="E45" s="752"/>
      <c r="F45" s="752"/>
      <c r="G45" s="752"/>
      <c r="H45" s="752"/>
      <c r="I45" s="752"/>
      <c r="J45" s="753"/>
      <c r="K45" s="126"/>
    </row>
    <row r="46" spans="1:11" ht="11.25" customHeight="1" thickBot="1" x14ac:dyDescent="0.4">
      <c r="A46" s="124"/>
      <c r="K46" s="126"/>
    </row>
    <row r="47" spans="1:11" ht="16" thickBot="1" x14ac:dyDescent="0.4">
      <c r="A47" s="124"/>
      <c r="B47" s="693" t="s">
        <v>762</v>
      </c>
      <c r="C47" s="694"/>
      <c r="D47" s="694"/>
      <c r="E47" s="694"/>
      <c r="F47" s="694"/>
      <c r="G47" s="694"/>
      <c r="H47" s="694"/>
      <c r="I47" s="694"/>
      <c r="J47" s="695"/>
      <c r="K47" s="126"/>
    </row>
    <row r="48" spans="1:11" ht="11.25" customHeight="1" x14ac:dyDescent="0.35">
      <c r="A48" s="124"/>
      <c r="K48" s="126"/>
    </row>
    <row r="49" spans="1:11" ht="16.5" customHeight="1" thickBot="1" x14ac:dyDescent="0.4">
      <c r="A49" s="124"/>
      <c r="B49" s="380" t="s">
        <v>1001</v>
      </c>
      <c r="C49" s="737" t="s">
        <v>1005</v>
      </c>
      <c r="D49" s="737"/>
      <c r="E49" s="737" t="s">
        <v>16</v>
      </c>
      <c r="F49" s="737"/>
      <c r="G49" s="129" t="s">
        <v>1006</v>
      </c>
      <c r="H49" s="129" t="s">
        <v>1007</v>
      </c>
      <c r="I49" s="737" t="s">
        <v>1011</v>
      </c>
      <c r="J49" s="737"/>
      <c r="K49" s="126"/>
    </row>
    <row r="50" spans="1:11" ht="16.5" customHeight="1" x14ac:dyDescent="0.35">
      <c r="A50" s="124"/>
      <c r="B50" s="198" t="s">
        <v>19</v>
      </c>
      <c r="C50" s="729">
        <f ca="1">SW!N91</f>
        <v>0</v>
      </c>
      <c r="D50" s="730"/>
      <c r="E50" s="729">
        <f ca="1">SW!N96</f>
        <v>0</v>
      </c>
      <c r="F50" s="730"/>
      <c r="G50" s="614">
        <f ca="1">SW!R92</f>
        <v>0</v>
      </c>
      <c r="H50" s="614">
        <f ca="1">SW!R93</f>
        <v>0</v>
      </c>
      <c r="I50" s="738">
        <f>SW!Q97</f>
        <v>0</v>
      </c>
      <c r="J50" s="739"/>
      <c r="K50" s="126"/>
    </row>
    <row r="51" spans="1:11" ht="16.5" customHeight="1" x14ac:dyDescent="0.35">
      <c r="A51" s="124"/>
      <c r="B51" s="191" t="s">
        <v>18</v>
      </c>
      <c r="C51" s="731">
        <f ca="1">SIKA!N68</f>
        <v>0</v>
      </c>
      <c r="D51" s="732"/>
      <c r="E51" s="731">
        <f ca="1">SIKA!N73</f>
        <v>0</v>
      </c>
      <c r="F51" s="732"/>
      <c r="G51" s="615">
        <f ca="1">SIKA!R69</f>
        <v>0</v>
      </c>
      <c r="H51" s="615">
        <f ca="1">SIKA!R70</f>
        <v>0</v>
      </c>
      <c r="I51" s="740">
        <f>SIKA!Q74</f>
        <v>0</v>
      </c>
      <c r="J51" s="741"/>
      <c r="K51" s="126"/>
    </row>
    <row r="52" spans="1:11" ht="16.5" customHeight="1" x14ac:dyDescent="0.35">
      <c r="A52" s="124"/>
      <c r="B52" s="191" t="s">
        <v>17</v>
      </c>
      <c r="C52" s="731">
        <f ca="1">SGC!N77</f>
        <v>0</v>
      </c>
      <c r="D52" s="732"/>
      <c r="E52" s="731">
        <f ca="1">SGC!N82</f>
        <v>0</v>
      </c>
      <c r="F52" s="732"/>
      <c r="G52" s="615">
        <f ca="1">SGC!R78</f>
        <v>0</v>
      </c>
      <c r="H52" s="615">
        <f ca="1">SGC!R79</f>
        <v>0</v>
      </c>
      <c r="I52" s="740">
        <f>SGC!Q83</f>
        <v>0</v>
      </c>
      <c r="J52" s="741"/>
      <c r="K52" s="126"/>
    </row>
    <row r="53" spans="1:11" ht="16.5" customHeight="1" thickBot="1" x14ac:dyDescent="0.4">
      <c r="A53" s="124"/>
      <c r="B53" s="193" t="s">
        <v>20</v>
      </c>
      <c r="C53" s="733">
        <f ca="1">BLANK!N46</f>
        <v>0</v>
      </c>
      <c r="D53" s="734"/>
      <c r="E53" s="733">
        <f ca="1">BLANK!N51</f>
        <v>0</v>
      </c>
      <c r="F53" s="734"/>
      <c r="G53" s="616">
        <f ca="1">BLANK!R47</f>
        <v>0</v>
      </c>
      <c r="H53" s="616">
        <f ca="1">BLANK!R48</f>
        <v>0</v>
      </c>
      <c r="I53" s="742">
        <f>BLANK!Q52</f>
        <v>0</v>
      </c>
      <c r="J53" s="743"/>
      <c r="K53" s="126"/>
    </row>
    <row r="54" spans="1:11" ht="16.5" customHeight="1" thickBot="1" x14ac:dyDescent="0.4">
      <c r="A54" s="124"/>
      <c r="B54" s="727" t="s">
        <v>1084</v>
      </c>
      <c r="C54" s="728"/>
      <c r="D54" s="728"/>
      <c r="E54" s="728"/>
      <c r="F54" s="728"/>
      <c r="G54" s="728"/>
      <c r="H54" s="728"/>
      <c r="I54" s="721">
        <f>SUM(I50:I53)</f>
        <v>0</v>
      </c>
      <c r="J54" s="722"/>
      <c r="K54" s="126"/>
    </row>
    <row r="55" spans="1:11" ht="16.5" customHeight="1" thickBot="1" x14ac:dyDescent="0.4">
      <c r="A55" s="124"/>
      <c r="B55" s="395"/>
      <c r="C55" s="395"/>
      <c r="D55" s="395"/>
      <c r="E55" s="395"/>
      <c r="F55" s="395"/>
      <c r="G55" s="395"/>
      <c r="H55" s="395"/>
      <c r="I55" s="395"/>
      <c r="J55" s="395"/>
      <c r="K55" s="126"/>
    </row>
    <row r="56" spans="1:11" ht="16.5" customHeight="1" thickBot="1" x14ac:dyDescent="0.4">
      <c r="A56" s="521"/>
      <c r="B56" s="520"/>
      <c r="C56" s="521"/>
      <c r="D56" s="521"/>
      <c r="E56" s="521"/>
      <c r="F56" s="521"/>
      <c r="G56" s="599" t="s">
        <v>1082</v>
      </c>
      <c r="H56" s="600">
        <f>SUM($D$8:$D$14)</f>
        <v>0</v>
      </c>
      <c r="I56" s="599" t="s">
        <v>1083</v>
      </c>
      <c r="J56" s="617" t="str">
        <f>IFERROR($I$54/$H$56, "")</f>
        <v/>
      </c>
      <c r="K56" s="396"/>
    </row>
    <row r="57" spans="1:11" ht="11.25" customHeight="1" x14ac:dyDescent="0.35">
      <c r="A57" s="124"/>
    </row>
    <row r="58" spans="1:11" ht="15.5" hidden="1" x14ac:dyDescent="0.35">
      <c r="A58" s="124"/>
    </row>
    <row r="59" spans="1:11" ht="11.25" customHeight="1" x14ac:dyDescent="0.35"/>
    <row r="60" spans="1:11" ht="16.5" customHeight="1" x14ac:dyDescent="0.35"/>
    <row r="61" spans="1:11" ht="16.5" customHeight="1" x14ac:dyDescent="0.35"/>
    <row r="62" spans="1:11" ht="16.5" customHeight="1" x14ac:dyDescent="0.35"/>
    <row r="63" spans="1:11" ht="16.5" customHeight="1" x14ac:dyDescent="0.35"/>
    <row r="64" spans="1:11" ht="16.5" customHeight="1" x14ac:dyDescent="0.35"/>
    <row r="65" spans="2:10" ht="16.5" customHeight="1" x14ac:dyDescent="0.35"/>
    <row r="66" spans="2:10" ht="16.5" customHeight="1" x14ac:dyDescent="0.35">
      <c r="B66" s="395"/>
      <c r="C66" s="395"/>
      <c r="D66" s="395"/>
      <c r="E66" s="395"/>
      <c r="F66" s="395"/>
      <c r="G66" s="395"/>
      <c r="H66" s="395"/>
      <c r="I66" s="395"/>
      <c r="J66" s="395"/>
    </row>
    <row r="67" spans="2:10" ht="16.5" customHeight="1" x14ac:dyDescent="0.35">
      <c r="B67" s="726"/>
      <c r="C67" s="726"/>
      <c r="D67" s="726"/>
      <c r="E67" s="726"/>
      <c r="F67" s="726"/>
      <c r="G67" s="726"/>
      <c r="H67" s="726"/>
      <c r="I67" s="726"/>
      <c r="J67" s="726"/>
    </row>
    <row r="68" spans="2:10" ht="15.5" hidden="1" x14ac:dyDescent="0.35">
      <c r="B68" s="498"/>
      <c r="C68" s="457"/>
      <c r="D68" s="457"/>
      <c r="E68" s="457"/>
      <c r="F68" s="457"/>
      <c r="G68" s="457"/>
      <c r="H68" s="457"/>
      <c r="I68" s="457"/>
      <c r="J68" s="457"/>
    </row>
    <row r="69" spans="2:10" ht="16.5" customHeight="1" x14ac:dyDescent="0.35">
      <c r="B69" s="499"/>
      <c r="C69" s="499"/>
      <c r="D69" s="500"/>
      <c r="E69" s="499"/>
      <c r="F69" s="499"/>
      <c r="G69" s="499"/>
      <c r="H69" s="499"/>
      <c r="I69" s="499"/>
      <c r="J69" s="499"/>
    </row>
    <row r="70" spans="2:10" ht="10" hidden="1" customHeight="1" x14ac:dyDescent="0.35">
      <c r="B70" s="501"/>
      <c r="C70" s="502"/>
      <c r="D70" s="503"/>
      <c r="E70" s="503"/>
      <c r="F70" s="503"/>
      <c r="G70" s="503"/>
      <c r="H70" s="504"/>
      <c r="I70" s="505"/>
      <c r="J70" s="505"/>
    </row>
    <row r="71" spans="2:10" ht="16.5" hidden="1" customHeight="1" x14ac:dyDescent="0.35">
      <c r="B71" s="501"/>
      <c r="C71" s="501"/>
      <c r="D71" s="506"/>
      <c r="E71" s="506"/>
      <c r="F71" s="503"/>
      <c r="G71" s="503"/>
      <c r="H71" s="504"/>
      <c r="I71" s="505"/>
      <c r="J71" s="505"/>
    </row>
    <row r="72" spans="2:10" ht="20.149999999999999" hidden="1" customHeight="1" x14ac:dyDescent="0.35">
      <c r="B72" s="501"/>
      <c r="C72" s="501"/>
      <c r="D72" s="506"/>
      <c r="E72" s="506"/>
      <c r="F72" s="503"/>
      <c r="G72" s="503"/>
      <c r="H72" s="504"/>
      <c r="I72" s="505"/>
      <c r="J72" s="505"/>
    </row>
    <row r="73" spans="2:10" ht="20.149999999999999" hidden="1" customHeight="1" x14ac:dyDescent="0.35">
      <c r="B73" s="501"/>
      <c r="C73" s="501"/>
      <c r="D73" s="506"/>
      <c r="E73" s="506"/>
      <c r="F73" s="503"/>
      <c r="G73" s="503"/>
      <c r="H73" s="504"/>
      <c r="I73" s="505"/>
      <c r="J73" s="505"/>
    </row>
    <row r="74" spans="2:10" ht="20.149999999999999" hidden="1" customHeight="1" x14ac:dyDescent="0.35">
      <c r="B74" s="501"/>
      <c r="C74" s="501"/>
      <c r="D74" s="506"/>
      <c r="E74" s="506"/>
      <c r="F74" s="503"/>
      <c r="G74" s="503"/>
      <c r="H74" s="504"/>
      <c r="I74" s="505"/>
      <c r="J74" s="505"/>
    </row>
    <row r="75" spans="2:10" ht="20.149999999999999" hidden="1" customHeight="1" x14ac:dyDescent="0.35">
      <c r="B75" s="501"/>
      <c r="C75" s="501"/>
      <c r="D75" s="506"/>
      <c r="E75" s="506"/>
      <c r="F75" s="503"/>
      <c r="G75" s="503"/>
      <c r="H75" s="504"/>
      <c r="I75" s="505"/>
      <c r="J75" s="505"/>
    </row>
    <row r="76" spans="2:10" ht="20.149999999999999" hidden="1" customHeight="1" x14ac:dyDescent="0.35">
      <c r="B76" s="501"/>
      <c r="C76" s="501"/>
      <c r="D76" s="506"/>
      <c r="E76" s="506"/>
      <c r="F76" s="503"/>
      <c r="G76" s="503"/>
      <c r="H76" s="504"/>
      <c r="I76" s="505"/>
      <c r="J76" s="505"/>
    </row>
    <row r="77" spans="2:10" ht="20.149999999999999" hidden="1" customHeight="1" x14ac:dyDescent="0.35">
      <c r="B77" s="501"/>
      <c r="C77" s="501"/>
      <c r="D77" s="506"/>
      <c r="E77" s="506"/>
      <c r="F77" s="503"/>
      <c r="G77" s="503"/>
      <c r="H77" s="504"/>
      <c r="I77" s="505"/>
      <c r="J77" s="505"/>
    </row>
    <row r="78" spans="2:10" ht="20.149999999999999" hidden="1" customHeight="1" x14ac:dyDescent="0.35">
      <c r="B78" s="501"/>
      <c r="C78" s="501"/>
      <c r="D78" s="506"/>
      <c r="E78" s="506"/>
      <c r="F78" s="503"/>
      <c r="G78" s="503"/>
      <c r="H78" s="504"/>
      <c r="I78" s="505"/>
      <c r="J78" s="505"/>
    </row>
    <row r="79" spans="2:10" ht="20.149999999999999" hidden="1" customHeight="1" x14ac:dyDescent="0.35">
      <c r="B79" s="501"/>
      <c r="C79" s="501"/>
      <c r="D79" s="506"/>
      <c r="E79" s="506"/>
      <c r="F79" s="503"/>
      <c r="G79" s="503"/>
      <c r="H79" s="504"/>
      <c r="I79" s="505"/>
      <c r="J79" s="505"/>
    </row>
    <row r="80" spans="2:10" ht="20.149999999999999" hidden="1" customHeight="1" x14ac:dyDescent="0.35">
      <c r="B80" s="501"/>
      <c r="C80" s="501"/>
      <c r="D80" s="506"/>
      <c r="E80" s="506"/>
      <c r="F80" s="503"/>
      <c r="G80" s="503"/>
      <c r="H80" s="504"/>
      <c r="I80" s="505"/>
      <c r="J80" s="505"/>
    </row>
    <row r="81" spans="2:10" ht="20.149999999999999" hidden="1" customHeight="1" x14ac:dyDescent="0.35">
      <c r="B81" s="501"/>
      <c r="C81" s="501"/>
      <c r="D81" s="506"/>
      <c r="E81" s="723"/>
      <c r="F81" s="723"/>
      <c r="G81" s="723"/>
      <c r="H81" s="725"/>
      <c r="I81" s="725"/>
      <c r="J81" s="505"/>
    </row>
    <row r="82" spans="2:10" ht="11.25" hidden="1" customHeight="1" x14ac:dyDescent="0.35">
      <c r="B82" s="501"/>
      <c r="C82" s="501"/>
      <c r="D82" s="506"/>
      <c r="E82" s="724"/>
      <c r="F82" s="724"/>
      <c r="G82" s="724"/>
      <c r="H82" s="725"/>
      <c r="I82" s="725"/>
      <c r="J82" s="505"/>
    </row>
    <row r="83" spans="2:10" ht="20.149999999999999" hidden="1" customHeight="1" x14ac:dyDescent="0.35"/>
    <row r="84" spans="2:10" ht="20.149999999999999" hidden="1" customHeight="1" x14ac:dyDescent="0.35"/>
    <row r="85" spans="2:10" ht="20.149999999999999" hidden="1" customHeight="1" x14ac:dyDescent="0.35"/>
    <row r="86" spans="2:10" ht="20.149999999999999" hidden="1" customHeight="1" x14ac:dyDescent="0.35"/>
    <row r="87" spans="2:10" ht="20.149999999999999" hidden="1" customHeight="1" x14ac:dyDescent="0.35"/>
  </sheetData>
  <sheetProtection sheet="1" selectLockedCells="1"/>
  <mergeCells count="50">
    <mergeCell ref="C20:E20"/>
    <mergeCell ref="H20:J20"/>
    <mergeCell ref="H4:J4"/>
    <mergeCell ref="I2:J2"/>
    <mergeCell ref="C2:E2"/>
    <mergeCell ref="F18:G18"/>
    <mergeCell ref="C19:E19"/>
    <mergeCell ref="H19:J19"/>
    <mergeCell ref="B16:J16"/>
    <mergeCell ref="C4:E4"/>
    <mergeCell ref="B6:J6"/>
    <mergeCell ref="F4:G4"/>
    <mergeCell ref="C18:E18"/>
    <mergeCell ref="H18:J18"/>
    <mergeCell ref="G24:H24"/>
    <mergeCell ref="G25:H25"/>
    <mergeCell ref="B37:J45"/>
    <mergeCell ref="B47:J47"/>
    <mergeCell ref="C49:D49"/>
    <mergeCell ref="B35:J35"/>
    <mergeCell ref="H30:I30"/>
    <mergeCell ref="H31:I31"/>
    <mergeCell ref="G26:H26"/>
    <mergeCell ref="C26:E26"/>
    <mergeCell ref="C24:E24"/>
    <mergeCell ref="C25:E25"/>
    <mergeCell ref="H32:I32"/>
    <mergeCell ref="B28:J28"/>
    <mergeCell ref="C50:D50"/>
    <mergeCell ref="C51:D51"/>
    <mergeCell ref="C52:D52"/>
    <mergeCell ref="C53:D53"/>
    <mergeCell ref="H33:I33"/>
    <mergeCell ref="I49:J49"/>
    <mergeCell ref="I50:J50"/>
    <mergeCell ref="E50:F50"/>
    <mergeCell ref="E51:F51"/>
    <mergeCell ref="I51:J51"/>
    <mergeCell ref="E49:F49"/>
    <mergeCell ref="I52:J52"/>
    <mergeCell ref="I53:J53"/>
    <mergeCell ref="E52:F52"/>
    <mergeCell ref="E53:F53"/>
    <mergeCell ref="I54:J54"/>
    <mergeCell ref="E81:G81"/>
    <mergeCell ref="E82:G82"/>
    <mergeCell ref="H81:I81"/>
    <mergeCell ref="H82:I82"/>
    <mergeCell ref="B67:J67"/>
    <mergeCell ref="B54:H54"/>
  </mergeCells>
  <phoneticPr fontId="29" type="noConversion"/>
  <conditionalFormatting sqref="B49:C53 E49:E53 G49:I53">
    <cfRule type="containsText" dxfId="30" priority="3" operator="containsText" text="INPUT REQ.">
      <formula>NOT(ISERROR(SEARCH("INPUT REQ.",B49)))</formula>
    </cfRule>
  </conditionalFormatting>
  <conditionalFormatting sqref="B47:J48 B54 I54 B55:J55 B66:J80 B81:E82 H81:H82 J81:J82">
    <cfRule type="containsText" dxfId="29" priority="1" operator="containsText" text="INPUT REQ.">
      <formula>NOT(ISERROR(SEARCH("INPUT REQ.",B47)))</formula>
    </cfRule>
  </conditionalFormatting>
  <pageMargins left="0.7" right="0.7" top="0.75" bottom="0.75" header="0.3" footer="0.3"/>
  <pageSetup scale="6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6F2AA-3F39-42AE-93FD-3B0704DF493F}">
  <sheetPr codeName="Sheet2">
    <tabColor theme="0" tint="-0.249977111117893"/>
    <pageSetUpPr fitToPage="1"/>
  </sheetPr>
  <dimension ref="A1:N80"/>
  <sheetViews>
    <sheetView showGridLines="0" showRowColHeaders="0" tabSelected="1" zoomScale="85" zoomScaleNormal="85" zoomScaleSheetLayoutView="70" workbookViewId="0">
      <selection activeCell="C24" sqref="C24"/>
    </sheetView>
  </sheetViews>
  <sheetFormatPr defaultColWidth="0" defaultRowHeight="9.75" customHeight="1" zeroHeight="1" x14ac:dyDescent="0.35"/>
  <cols>
    <col min="1" max="1" width="1.7265625" style="180" customWidth="1"/>
    <col min="2" max="2" width="32" style="181" bestFit="1" customWidth="1"/>
    <col min="3" max="10" width="14.26953125" style="180" customWidth="1"/>
    <col min="11" max="11" width="1.7265625" style="180" customWidth="1"/>
    <col min="12" max="12" width="1.7265625" style="180" hidden="1" customWidth="1"/>
    <col min="13" max="13" width="7.26953125" style="180" hidden="1" customWidth="1"/>
    <col min="14" max="14" width="13.26953125" style="180" hidden="1" customWidth="1"/>
    <col min="15" max="16384" width="9.26953125" style="180" hidden="1"/>
  </cols>
  <sheetData>
    <row r="1" spans="1:11" ht="9.75" customHeight="1" x14ac:dyDescent="0.35"/>
    <row r="2" spans="1:11" ht="25.9" customHeight="1" thickBot="1" x14ac:dyDescent="0.4">
      <c r="B2" s="697" t="s">
        <v>1013</v>
      </c>
      <c r="C2" s="697"/>
      <c r="D2" s="697"/>
      <c r="E2" s="697"/>
      <c r="F2" s="697"/>
      <c r="G2" s="697"/>
      <c r="H2" s="697"/>
      <c r="I2" s="697"/>
      <c r="J2" s="697"/>
    </row>
    <row r="3" spans="1:11" ht="16" thickBot="1" x14ac:dyDescent="0.4">
      <c r="A3" s="182"/>
      <c r="B3" s="183"/>
      <c r="C3" s="183"/>
      <c r="D3" s="183"/>
      <c r="E3" s="183"/>
      <c r="F3" s="183"/>
      <c r="G3" s="183"/>
      <c r="H3" s="183"/>
      <c r="I3" s="183"/>
      <c r="J3" s="183"/>
      <c r="K3" s="184"/>
    </row>
    <row r="4" spans="1:11" ht="16" thickBot="1" x14ac:dyDescent="0.4">
      <c r="A4" s="185"/>
      <c r="B4" s="146" t="str">
        <f>IF(INFO!B2=0,"",INFO!B2)</f>
        <v>Project Name:</v>
      </c>
      <c r="C4" s="690" t="str">
        <f>IF(INFO!C2=0,"",INFO!C2)</f>
        <v/>
      </c>
      <c r="D4" s="691"/>
      <c r="E4" s="692"/>
      <c r="G4" s="716" t="str">
        <f>IF(INFO!H2=0,"",INFO!H2)</f>
        <v>Job #:</v>
      </c>
      <c r="H4" s="717"/>
      <c r="I4" s="714" t="str">
        <f>IF(INFO!I2=0,"",INFO!I2)</f>
        <v/>
      </c>
      <c r="J4" s="715"/>
      <c r="K4" s="187"/>
    </row>
    <row r="5" spans="1:11" s="123" customFormat="1" ht="11.25" customHeight="1" thickBot="1" x14ac:dyDescent="0.4">
      <c r="A5" s="124"/>
      <c r="B5" s="127"/>
      <c r="C5" s="127"/>
      <c r="H5" s="127"/>
      <c r="I5" s="127"/>
      <c r="K5" s="126"/>
    </row>
    <row r="6" spans="1:11" ht="16" thickBot="1" x14ac:dyDescent="0.4">
      <c r="A6" s="185"/>
      <c r="B6" s="147" t="str">
        <f>IF(INFO!B4=0,"",INFO!B4)</f>
        <v>Project Manager:</v>
      </c>
      <c r="C6" s="690" t="str">
        <f>IF(INFO!C4=0,"",INFO!C4)</f>
        <v/>
      </c>
      <c r="D6" s="691"/>
      <c r="E6" s="692"/>
      <c r="G6" s="716" t="str">
        <f>IF(INFO!F4=0,"",INFO!F4)</f>
        <v>Super/Foreman:</v>
      </c>
      <c r="H6" s="717"/>
      <c r="I6" s="714" t="str">
        <f>IF(INFO!H4=0,"",INFO!H4)</f>
        <v/>
      </c>
      <c r="J6" s="715"/>
      <c r="K6" s="187"/>
    </row>
    <row r="7" spans="1:11" s="123" customFormat="1" ht="11.25" customHeight="1" thickBot="1" x14ac:dyDescent="0.4">
      <c r="A7" s="124"/>
      <c r="B7" s="127"/>
      <c r="C7" s="127"/>
      <c r="H7" s="127"/>
      <c r="I7" s="127"/>
      <c r="K7" s="126"/>
    </row>
    <row r="8" spans="1:11" ht="16" thickBot="1" x14ac:dyDescent="0.4">
      <c r="A8" s="185"/>
      <c r="B8" s="718" t="s">
        <v>754</v>
      </c>
      <c r="C8" s="719"/>
      <c r="D8" s="719"/>
      <c r="E8" s="719"/>
      <c r="F8" s="719"/>
      <c r="G8" s="719"/>
      <c r="H8" s="719"/>
      <c r="I8" s="719"/>
      <c r="J8" s="720"/>
      <c r="K8" s="187"/>
    </row>
    <row r="9" spans="1:11" ht="33.75" customHeight="1" thickBot="1" x14ac:dyDescent="0.4">
      <c r="A9" s="185"/>
      <c r="B9" s="132" t="str">
        <f>IF(INFO!B7=0,"",INFO!B7)</f>
        <v>PHASE / SCOPE / COP</v>
      </c>
      <c r="C9" s="188" t="str">
        <f>IF(INFO!C7=0,"",INFO!C7)</f>
        <v>Installed System</v>
      </c>
      <c r="D9" s="188" t="str">
        <f>IF(INFO!D7=0,"",INFO!D7)</f>
        <v>SQ FT</v>
      </c>
      <c r="E9" s="188" t="str">
        <f>IF(INFO!E7=0,"",INFO!E7)</f>
        <v>LF Cove</v>
      </c>
      <c r="F9" s="188" t="str">
        <f>IF(INFO!F7=0,"",INFO!F7)</f>
        <v>LF Joints</v>
      </c>
      <c r="G9" s="188" t="str">
        <f>IF(INFO!G7=0,"",INFO!G7)</f>
        <v>Material Delivery Date</v>
      </c>
      <c r="H9" s="188" t="str">
        <f>IF(INFO!H7=0,"",INFO!H7)</f>
        <v>Start Time</v>
      </c>
      <c r="I9" s="188" t="str">
        <f>IF(INFO!I7=0,"",INFO!I7)</f>
        <v>Install Start Date</v>
      </c>
      <c r="J9" s="133" t="str">
        <f>IF(INFO!J7=0,"",INFO!J7)</f>
        <v>Install End Date</v>
      </c>
      <c r="K9" s="187"/>
    </row>
    <row r="10" spans="1:11" ht="15.5" x14ac:dyDescent="0.35">
      <c r="A10" s="185"/>
      <c r="B10" s="189" t="str">
        <f>IF(INFO!B8=0,"",INFO!B8)</f>
        <v/>
      </c>
      <c r="C10" s="190" t="str">
        <f>IF(INFO!C8=0,"",INFO!C8)</f>
        <v/>
      </c>
      <c r="D10" s="446" t="str">
        <f>IF(INFO!D8=0,"",INFO!D8)</f>
        <v/>
      </c>
      <c r="E10" s="446" t="str">
        <f>IF(INFO!E8=0,"",INFO!E8)</f>
        <v/>
      </c>
      <c r="F10" s="190" t="str">
        <f>IF(INFO!F8=0,"",INFO!F8)</f>
        <v/>
      </c>
      <c r="G10" s="473" t="str">
        <f>IF(INFO!G8=0,"",INFO!G8)</f>
        <v/>
      </c>
      <c r="H10" s="608" t="str">
        <f>IF(INFO!H8=0,"",INFO!H8)</f>
        <v/>
      </c>
      <c r="I10" s="473" t="str">
        <f>IF(INFO!I8=0,"",INFO!I8)</f>
        <v/>
      </c>
      <c r="J10" s="434" t="str">
        <f>IF(INFO!J8=0,"",INFO!J8)</f>
        <v/>
      </c>
      <c r="K10" s="187"/>
    </row>
    <row r="11" spans="1:11" ht="15.5" x14ac:dyDescent="0.35">
      <c r="A11" s="185"/>
      <c r="B11" s="191" t="str">
        <f>IF(INFO!B9=0,"",INFO!B9)</f>
        <v/>
      </c>
      <c r="C11" s="192" t="str">
        <f>IF(INFO!C9=0,"",INFO!C9)</f>
        <v/>
      </c>
      <c r="D11" s="189" t="str">
        <f>IF(INFO!D9=0,"",INFO!D9)</f>
        <v/>
      </c>
      <c r="E11" s="189" t="str">
        <f>IF(INFO!E9=0,"",INFO!E9)</f>
        <v/>
      </c>
      <c r="F11" s="192" t="str">
        <f>IF(INFO!F9=0,"",INFO!F9)</f>
        <v/>
      </c>
      <c r="G11" s="474" t="str">
        <f>IF(INFO!G9=0,"",INFO!G9)</f>
        <v/>
      </c>
      <c r="H11" s="609" t="str">
        <f>IF(INFO!H9=0,"",INFO!H9)</f>
        <v/>
      </c>
      <c r="I11" s="474" t="str">
        <f>IF(INFO!I9=0,"",INFO!I9)</f>
        <v/>
      </c>
      <c r="J11" s="435" t="str">
        <f>IF(INFO!J9=0,"",INFO!J9)</f>
        <v/>
      </c>
      <c r="K11" s="187"/>
    </row>
    <row r="12" spans="1:11" ht="15.5" x14ac:dyDescent="0.35">
      <c r="A12" s="185"/>
      <c r="B12" s="191" t="str">
        <f>IF(INFO!B10=0,"",INFO!B10)</f>
        <v/>
      </c>
      <c r="C12" s="192" t="str">
        <f>IF(INFO!C10=0,"",INFO!C10)</f>
        <v/>
      </c>
      <c r="D12" s="189" t="str">
        <f>IF(INFO!D10=0,"",INFO!D10)</f>
        <v/>
      </c>
      <c r="E12" s="189" t="str">
        <f>IF(INFO!E10=0,"",INFO!E10)</f>
        <v/>
      </c>
      <c r="F12" s="192" t="str">
        <f>IF(INFO!F10=0,"",INFO!F10)</f>
        <v/>
      </c>
      <c r="G12" s="474" t="str">
        <f>IF(INFO!G10=0,"",INFO!G10)</f>
        <v/>
      </c>
      <c r="H12" s="609" t="str">
        <f>IF(INFO!H10=0,"",INFO!H10)</f>
        <v/>
      </c>
      <c r="I12" s="474" t="str">
        <f>IF(INFO!I10=0,"",INFO!I10)</f>
        <v/>
      </c>
      <c r="J12" s="435" t="str">
        <f>IF(INFO!J10=0,"",INFO!J10)</f>
        <v/>
      </c>
      <c r="K12" s="187"/>
    </row>
    <row r="13" spans="1:11" ht="15.5" x14ac:dyDescent="0.35">
      <c r="A13" s="185"/>
      <c r="B13" s="191" t="str">
        <f>IF(INFO!B11=0,"",INFO!B11)</f>
        <v/>
      </c>
      <c r="C13" s="192" t="str">
        <f>IF(INFO!C11=0,"",INFO!C11)</f>
        <v/>
      </c>
      <c r="D13" s="189" t="str">
        <f>IF(INFO!D11=0,"",INFO!D11)</f>
        <v/>
      </c>
      <c r="E13" s="189" t="str">
        <f>IF(INFO!E11=0,"",INFO!E11)</f>
        <v/>
      </c>
      <c r="F13" s="192" t="str">
        <f>IF(INFO!F11=0,"",INFO!F11)</f>
        <v/>
      </c>
      <c r="G13" s="474" t="str">
        <f>IF(INFO!G11=0,"",INFO!G11)</f>
        <v/>
      </c>
      <c r="H13" s="609" t="str">
        <f>IF(INFO!H11=0,"",INFO!H11)</f>
        <v/>
      </c>
      <c r="I13" s="474" t="str">
        <f>IF(INFO!I11=0,"",INFO!I11)</f>
        <v/>
      </c>
      <c r="J13" s="435" t="str">
        <f>IF(INFO!J11=0,"",INFO!J11)</f>
        <v/>
      </c>
      <c r="K13" s="187"/>
    </row>
    <row r="14" spans="1:11" ht="15.5" x14ac:dyDescent="0.35">
      <c r="A14" s="185"/>
      <c r="B14" s="191" t="str">
        <f>IF(INFO!B12=0,"",INFO!B12)</f>
        <v/>
      </c>
      <c r="C14" s="192" t="str">
        <f>IF(INFO!C12=0,"",INFO!C12)</f>
        <v/>
      </c>
      <c r="D14" s="189" t="str">
        <f>IF(INFO!D12=0,"",INFO!D12)</f>
        <v/>
      </c>
      <c r="E14" s="189" t="str">
        <f>IF(INFO!E12=0,"",INFO!E12)</f>
        <v/>
      </c>
      <c r="F14" s="192" t="str">
        <f>IF(INFO!F12=0,"",INFO!F12)</f>
        <v/>
      </c>
      <c r="G14" s="474" t="str">
        <f>IF(INFO!G12=0,"",INFO!G12)</f>
        <v/>
      </c>
      <c r="H14" s="609" t="str">
        <f>IF(INFO!H12=0,"",INFO!H12)</f>
        <v/>
      </c>
      <c r="I14" s="474" t="str">
        <f>IF(INFO!I12=0,"",INFO!I12)</f>
        <v/>
      </c>
      <c r="J14" s="435" t="str">
        <f>IF(INFO!J12=0,"",INFO!J12)</f>
        <v/>
      </c>
      <c r="K14" s="187"/>
    </row>
    <row r="15" spans="1:11" ht="15.5" x14ac:dyDescent="0.35">
      <c r="A15" s="185"/>
      <c r="B15" s="191" t="str">
        <f>IF(INFO!B13=0,"",INFO!B13)</f>
        <v/>
      </c>
      <c r="C15" s="192" t="str">
        <f>IF(INFO!C13=0,"",INFO!C13)</f>
        <v/>
      </c>
      <c r="D15" s="189" t="str">
        <f>IF(INFO!D13=0,"",INFO!D13)</f>
        <v/>
      </c>
      <c r="E15" s="189" t="str">
        <f>IF(INFO!E13=0,"",INFO!E13)</f>
        <v/>
      </c>
      <c r="F15" s="192" t="str">
        <f>IF(INFO!F13=0,"",INFO!F13)</f>
        <v/>
      </c>
      <c r="G15" s="474" t="str">
        <f>IF(INFO!G13=0,"",INFO!G13)</f>
        <v/>
      </c>
      <c r="H15" s="609" t="str">
        <f>IF(INFO!H13=0,"",INFO!H13)</f>
        <v/>
      </c>
      <c r="I15" s="474" t="str">
        <f>IF(INFO!I13=0,"",INFO!I13)</f>
        <v/>
      </c>
      <c r="J15" s="435" t="str">
        <f>IF(INFO!J13=0,"",INFO!J13)</f>
        <v/>
      </c>
      <c r="K15" s="187"/>
    </row>
    <row r="16" spans="1:11" ht="16" thickBot="1" x14ac:dyDescent="0.4">
      <c r="A16" s="185"/>
      <c r="B16" s="193" t="str">
        <f>IF(INFO!B14=0,"",INFO!B14)</f>
        <v/>
      </c>
      <c r="C16" s="194" t="str">
        <f>IF(INFO!C14=0,"",INFO!C14)</f>
        <v/>
      </c>
      <c r="D16" s="459" t="str">
        <f>IF(INFO!D14=0,"",INFO!D14)</f>
        <v/>
      </c>
      <c r="E16" s="459" t="str">
        <f>IF(INFO!E14=0,"",INFO!E14)</f>
        <v/>
      </c>
      <c r="F16" s="194" t="str">
        <f>IF(INFO!F14=0,"",INFO!F14)</f>
        <v/>
      </c>
      <c r="G16" s="475" t="str">
        <f>IF(INFO!G14=0,"",INFO!G14)</f>
        <v/>
      </c>
      <c r="H16" s="610" t="str">
        <f>IF(INFO!H14=0,"",INFO!H14)</f>
        <v/>
      </c>
      <c r="I16" s="475" t="str">
        <f>IF(INFO!I14=0,"",INFO!I14)</f>
        <v/>
      </c>
      <c r="J16" s="436" t="str">
        <f>IF(INFO!J14=0,"",INFO!J14)</f>
        <v/>
      </c>
      <c r="K16" s="187"/>
    </row>
    <row r="17" spans="1:11" s="123" customFormat="1" ht="11.25" customHeight="1" thickBot="1" x14ac:dyDescent="0.4">
      <c r="A17" s="124"/>
      <c r="B17" s="127"/>
      <c r="C17" s="127"/>
      <c r="H17" s="127"/>
      <c r="I17" s="127"/>
      <c r="K17" s="126"/>
    </row>
    <row r="18" spans="1:11" ht="16" thickBot="1" x14ac:dyDescent="0.4">
      <c r="A18" s="185"/>
      <c r="B18" s="687" t="s">
        <v>755</v>
      </c>
      <c r="C18" s="688"/>
      <c r="D18" s="688"/>
      <c r="E18" s="688"/>
      <c r="F18" s="688"/>
      <c r="G18" s="688"/>
      <c r="H18" s="688"/>
      <c r="I18" s="688"/>
      <c r="J18" s="689"/>
      <c r="K18" s="187"/>
    </row>
    <row r="19" spans="1:11" s="123" customFormat="1" ht="11.25" customHeight="1" thickBot="1" x14ac:dyDescent="0.4">
      <c r="A19" s="124"/>
      <c r="B19" s="127"/>
      <c r="C19" s="127"/>
      <c r="H19" s="127"/>
      <c r="I19" s="127"/>
      <c r="K19" s="126"/>
    </row>
    <row r="20" spans="1:11" ht="16" thickBot="1" x14ac:dyDescent="0.4">
      <c r="A20" s="185"/>
      <c r="B20" s="146" t="str">
        <f>IF(INFO!B18=0,"",INFO!B18)</f>
        <v>Ship To Address:</v>
      </c>
      <c r="C20" s="690" t="str">
        <f>IF(INFO!C18=0,"",INFO!C18)</f>
        <v/>
      </c>
      <c r="D20" s="691"/>
      <c r="E20" s="692"/>
      <c r="F20" s="710" t="s">
        <v>297</v>
      </c>
      <c r="G20" s="711"/>
      <c r="H20" s="690" t="str">
        <f>IF(INFO!H18=0,"",INFO!H18)</f>
        <v/>
      </c>
      <c r="I20" s="691"/>
      <c r="J20" s="692"/>
      <c r="K20" s="187"/>
    </row>
    <row r="21" spans="1:11" ht="16" thickBot="1" x14ac:dyDescent="0.4">
      <c r="A21" s="185"/>
      <c r="C21" s="690" t="str">
        <f>IF(INFO!C19=0,"",INFO!C19)</f>
        <v/>
      </c>
      <c r="D21" s="691"/>
      <c r="E21" s="692"/>
      <c r="F21" s="125"/>
      <c r="G21" s="125"/>
      <c r="H21" s="690" t="str">
        <f>IF(INFO!H19=0,"",INFO!H19)</f>
        <v/>
      </c>
      <c r="I21" s="691"/>
      <c r="J21" s="692"/>
      <c r="K21" s="187"/>
    </row>
    <row r="22" spans="1:11" ht="16" thickBot="1" x14ac:dyDescent="0.4">
      <c r="A22" s="185"/>
      <c r="C22" s="690" t="str">
        <f>IF(INFO!C20=0,"",INFO!C20)</f>
        <v/>
      </c>
      <c r="D22" s="691"/>
      <c r="E22" s="692"/>
      <c r="F22" s="125"/>
      <c r="G22" s="125"/>
      <c r="H22" s="690" t="str">
        <f>IF(INFO!H20=0,"",INFO!H20)</f>
        <v/>
      </c>
      <c r="I22" s="691"/>
      <c r="J22" s="692"/>
      <c r="K22" s="187"/>
    </row>
    <row r="23" spans="1:11" ht="16" thickBot="1" x14ac:dyDescent="0.4">
      <c r="A23" s="185"/>
      <c r="C23" s="413" t="str">
        <f>IF(INFO!C21=0,"",INFO!C21)</f>
        <v/>
      </c>
      <c r="D23" s="413" t="str">
        <f>IF(INFO!D21=0,"",INFO!D21)</f>
        <v/>
      </c>
      <c r="E23" s="196" t="str">
        <f>IF(INFO!E21=0,"",INFO!E21)</f>
        <v/>
      </c>
      <c r="H23" s="413" t="str">
        <f>IF(INFO!H21=0,"",INFO!H21)</f>
        <v/>
      </c>
      <c r="I23" s="413" t="str">
        <f>IF(INFO!I21=0,"",INFO!I21)</f>
        <v/>
      </c>
      <c r="J23" s="196" t="str">
        <f>IF(INFO!J21=0,"",INFO!J21)</f>
        <v/>
      </c>
      <c r="K23" s="187"/>
    </row>
    <row r="24" spans="1:11" ht="16" thickBot="1" x14ac:dyDescent="0.4">
      <c r="A24" s="185"/>
      <c r="C24" s="458" t="s">
        <v>993</v>
      </c>
      <c r="D24" s="458" t="s">
        <v>994</v>
      </c>
      <c r="E24" s="458" t="s">
        <v>995</v>
      </c>
      <c r="H24" s="458" t="s">
        <v>993</v>
      </c>
      <c r="I24" s="458" t="s">
        <v>994</v>
      </c>
      <c r="J24" s="458" t="s">
        <v>995</v>
      </c>
      <c r="K24" s="187"/>
    </row>
    <row r="25" spans="1:11" s="123" customFormat="1" ht="11.25" customHeight="1" thickBot="1" x14ac:dyDescent="0.4">
      <c r="A25" s="124"/>
      <c r="B25" s="127"/>
      <c r="C25" s="127"/>
      <c r="H25" s="127"/>
      <c r="I25" s="127"/>
      <c r="K25" s="126"/>
    </row>
    <row r="26" spans="1:11" ht="16" thickBot="1" x14ac:dyDescent="0.4">
      <c r="A26" s="185"/>
      <c r="B26" s="146" t="str">
        <f>IF(INFO!B24=0,"",INFO!B24)</f>
        <v>Site Contact:</v>
      </c>
      <c r="C26" s="690" t="str">
        <f>IF(INFO!C24=0,"",INFO!C24)</f>
        <v/>
      </c>
      <c r="D26" s="691"/>
      <c r="E26" s="692"/>
      <c r="G26" s="710" t="str">
        <f>IF(INFO!G24=0,"",INFO!G24)</f>
        <v>Union:</v>
      </c>
      <c r="H26" s="711"/>
      <c r="I26" s="186" t="str">
        <f>IF(INFO!I24=0,"",INFO!I24)</f>
        <v>x</v>
      </c>
      <c r="K26" s="187"/>
    </row>
    <row r="27" spans="1:11" ht="16" thickBot="1" x14ac:dyDescent="0.4">
      <c r="A27" s="185"/>
      <c r="B27" s="128"/>
      <c r="C27" s="690" t="str">
        <f>IF(INFO!C25=0,"",INFO!C25)</f>
        <v/>
      </c>
      <c r="D27" s="691"/>
      <c r="E27" s="692"/>
      <c r="G27" s="710" t="str">
        <f>IF(INFO!G25=0,"",INFO!G25)</f>
        <v>Non-Union:</v>
      </c>
      <c r="H27" s="711"/>
      <c r="I27" s="186" t="str">
        <f>IF(INFO!I25=0,"",INFO!I25)</f>
        <v/>
      </c>
      <c r="K27" s="187"/>
    </row>
    <row r="28" spans="1:11" ht="16" thickBot="1" x14ac:dyDescent="0.4">
      <c r="A28" s="185"/>
      <c r="B28" s="128"/>
      <c r="C28" s="690" t="str">
        <f>IF(INFO!C26=0,"",INFO!C26)</f>
        <v/>
      </c>
      <c r="D28" s="691"/>
      <c r="E28" s="692"/>
      <c r="G28" s="710" t="str">
        <f>IF(INFO!G26=0,"",INFO!G26)</f>
        <v>Prevailing Wage:</v>
      </c>
      <c r="H28" s="711"/>
      <c r="I28" s="186" t="str">
        <f>IF(INFO!I26=0,"",INFO!I26)</f>
        <v/>
      </c>
      <c r="K28" s="187"/>
    </row>
    <row r="29" spans="1:11" s="123" customFormat="1" ht="11.25" customHeight="1" thickBot="1" x14ac:dyDescent="0.4">
      <c r="A29" s="124"/>
      <c r="B29" s="127"/>
      <c r="C29" s="127"/>
      <c r="H29" s="127"/>
      <c r="I29" s="127"/>
      <c r="K29" s="126"/>
    </row>
    <row r="30" spans="1:11" ht="16" thickBot="1" x14ac:dyDescent="0.4">
      <c r="A30" s="185"/>
      <c r="B30" s="693" t="s">
        <v>756</v>
      </c>
      <c r="C30" s="694"/>
      <c r="D30" s="694"/>
      <c r="E30" s="694"/>
      <c r="F30" s="694"/>
      <c r="G30" s="694"/>
      <c r="H30" s="694"/>
      <c r="I30" s="694"/>
      <c r="J30" s="695"/>
      <c r="K30" s="187"/>
    </row>
    <row r="31" spans="1:11" s="123" customFormat="1" ht="11.25" customHeight="1" thickBot="1" x14ac:dyDescent="0.4">
      <c r="A31" s="124"/>
      <c r="B31" s="127"/>
      <c r="C31" s="127"/>
      <c r="H31" s="127"/>
      <c r="I31" s="127"/>
      <c r="K31" s="126"/>
    </row>
    <row r="32" spans="1:11" ht="16" thickBot="1" x14ac:dyDescent="0.4">
      <c r="A32" s="185"/>
      <c r="B32" s="195" t="str">
        <f>IF(INFO!B30=0,"",INFO!B30)</f>
        <v>Contract Executed:</v>
      </c>
      <c r="C32" s="196" t="str">
        <f>IF(INFO!C30=0,"",INFO!C30)</f>
        <v/>
      </c>
      <c r="E32" s="195" t="str">
        <f>IF(INFO!E30=0,"",INFO!E30)</f>
        <v>Heat:</v>
      </c>
      <c r="F32" s="196" t="str">
        <f>IF(INFO!F30=0,"",INFO!F30)</f>
        <v/>
      </c>
      <c r="H32" s="710" t="str">
        <f>IF(INFO!H30=0,"",INFO!H30)</f>
        <v>Complete:</v>
      </c>
      <c r="I32" s="711"/>
      <c r="J32" s="196" t="str">
        <f>IF(INFO!J30=0,"",INFO!J30)</f>
        <v/>
      </c>
      <c r="K32" s="197"/>
    </row>
    <row r="33" spans="1:11" ht="16" thickBot="1" x14ac:dyDescent="0.4">
      <c r="A33" s="185"/>
      <c r="B33" s="195" t="str">
        <f>IF(INFO!B31=0,"",INFO!B31)</f>
        <v>Installation Scheduled:</v>
      </c>
      <c r="C33" s="196" t="str">
        <f>IF(INFO!C31=0,"",INFO!C31)</f>
        <v/>
      </c>
      <c r="E33" s="195" t="str">
        <f>IF(INFO!E31=0,"",INFO!E31)</f>
        <v>Lights:</v>
      </c>
      <c r="F33" s="196" t="str">
        <f>IF(INFO!F31=0,"",INFO!F31)</f>
        <v/>
      </c>
      <c r="H33" s="710" t="str">
        <f>IF(INFO!H31=0,"",INFO!H31)</f>
        <v>Final Walk:</v>
      </c>
      <c r="I33" s="711"/>
      <c r="J33" s="196" t="str">
        <f>IF(INFO!J31=0,"",INFO!J31)</f>
        <v/>
      </c>
      <c r="K33" s="197"/>
    </row>
    <row r="34" spans="1:11" ht="16" thickBot="1" x14ac:dyDescent="0.4">
      <c r="A34" s="185"/>
      <c r="B34" s="195" t="str">
        <f>IF(INFO!B32=0,"",INFO!B32)</f>
        <v>Materials Ordered:</v>
      </c>
      <c r="C34" s="196" t="str">
        <f>IF(INFO!C32=0,"",INFO!C32)</f>
        <v/>
      </c>
      <c r="E34" s="195" t="str">
        <f>IF(INFO!E32=0,"",INFO!E32)</f>
        <v>Power:</v>
      </c>
      <c r="F34" s="196" t="str">
        <f>IF(INFO!F32=0,"",INFO!F32)</f>
        <v/>
      </c>
      <c r="H34" s="710" t="str">
        <f>IF(INFO!H32=0,"",INFO!H32)</f>
        <v>Return Mat:</v>
      </c>
      <c r="I34" s="711"/>
      <c r="J34" s="196" t="str">
        <f>IF(INFO!J32=0,"",INFO!J32)</f>
        <v/>
      </c>
      <c r="K34" s="197"/>
    </row>
    <row r="35" spans="1:11" ht="16" thickBot="1" x14ac:dyDescent="0.4">
      <c r="A35" s="185"/>
      <c r="B35" s="195" t="str">
        <f>IF(INFO!B33=0,"",INFO!B33)</f>
        <v>Rental Booked:</v>
      </c>
      <c r="C35" s="196" t="str">
        <f>IF(INFO!C33=0,"",INFO!C33)</f>
        <v/>
      </c>
      <c r="E35" s="195" t="str">
        <f>IF(INFO!E33=0,"",INFO!E33)</f>
        <v>Trash:</v>
      </c>
      <c r="F35" s="196" t="str">
        <f>IF(INFO!F33=0,"",INFO!F33)</f>
        <v/>
      </c>
      <c r="H35" s="710" t="str">
        <f>IF(INFO!H33=0,"",INFO!H33)</f>
        <v>New Building:</v>
      </c>
      <c r="I35" s="711"/>
      <c r="J35" s="196" t="str">
        <f>IF(INFO!J33=0,"",INFO!J33)</f>
        <v/>
      </c>
      <c r="K35" s="187"/>
    </row>
    <row r="36" spans="1:11" s="123" customFormat="1" ht="11.25" customHeight="1" thickBot="1" x14ac:dyDescent="0.4">
      <c r="A36" s="124"/>
      <c r="B36" s="127"/>
      <c r="C36" s="127"/>
      <c r="H36" s="127"/>
      <c r="I36" s="127"/>
      <c r="K36" s="126"/>
    </row>
    <row r="37" spans="1:11" ht="16" thickBot="1" x14ac:dyDescent="0.4">
      <c r="A37" s="185"/>
      <c r="B37" s="693" t="s">
        <v>1003</v>
      </c>
      <c r="C37" s="694"/>
      <c r="D37" s="694"/>
      <c r="E37" s="694"/>
      <c r="F37" s="694"/>
      <c r="G37" s="694"/>
      <c r="H37" s="694"/>
      <c r="I37" s="694"/>
      <c r="J37" s="695"/>
      <c r="K37" s="187"/>
    </row>
    <row r="38" spans="1:11" s="123" customFormat="1" ht="11.25" customHeight="1" thickBot="1" x14ac:dyDescent="0.4">
      <c r="A38" s="124"/>
      <c r="B38" s="127"/>
      <c r="C38" s="127"/>
      <c r="H38" s="127"/>
      <c r="I38" s="127"/>
      <c r="K38" s="126"/>
    </row>
    <row r="39" spans="1:11" ht="15.5" x14ac:dyDescent="0.35">
      <c r="A39" s="185"/>
      <c r="B39" s="701" t="str">
        <f>IF(INFO!B37="","",INFO!B37)</f>
        <v/>
      </c>
      <c r="C39" s="702"/>
      <c r="D39" s="702"/>
      <c r="E39" s="702"/>
      <c r="F39" s="702"/>
      <c r="G39" s="702"/>
      <c r="H39" s="702"/>
      <c r="I39" s="702"/>
      <c r="J39" s="703"/>
      <c r="K39" s="187"/>
    </row>
    <row r="40" spans="1:11" ht="15.5" x14ac:dyDescent="0.35">
      <c r="A40" s="185"/>
      <c r="B40" s="704"/>
      <c r="C40" s="705"/>
      <c r="D40" s="705"/>
      <c r="E40" s="705"/>
      <c r="F40" s="705"/>
      <c r="G40" s="705"/>
      <c r="H40" s="705"/>
      <c r="I40" s="705"/>
      <c r="J40" s="706"/>
      <c r="K40" s="187"/>
    </row>
    <row r="41" spans="1:11" ht="15.5" x14ac:dyDescent="0.35">
      <c r="A41" s="185"/>
      <c r="B41" s="704"/>
      <c r="C41" s="705"/>
      <c r="D41" s="705"/>
      <c r="E41" s="705"/>
      <c r="F41" s="705"/>
      <c r="G41" s="705"/>
      <c r="H41" s="705"/>
      <c r="I41" s="705"/>
      <c r="J41" s="706"/>
      <c r="K41" s="187"/>
    </row>
    <row r="42" spans="1:11" ht="15.5" x14ac:dyDescent="0.35">
      <c r="A42" s="185"/>
      <c r="B42" s="704"/>
      <c r="C42" s="705"/>
      <c r="D42" s="705"/>
      <c r="E42" s="705"/>
      <c r="F42" s="705"/>
      <c r="G42" s="705"/>
      <c r="H42" s="705"/>
      <c r="I42" s="705"/>
      <c r="J42" s="706"/>
      <c r="K42" s="187"/>
    </row>
    <row r="43" spans="1:11" ht="15.5" x14ac:dyDescent="0.35">
      <c r="A43" s="185"/>
      <c r="B43" s="704"/>
      <c r="C43" s="705"/>
      <c r="D43" s="705"/>
      <c r="E43" s="705"/>
      <c r="F43" s="705"/>
      <c r="G43" s="705"/>
      <c r="H43" s="705"/>
      <c r="I43" s="705"/>
      <c r="J43" s="706"/>
      <c r="K43" s="187"/>
    </row>
    <row r="44" spans="1:11" ht="15.5" x14ac:dyDescent="0.35">
      <c r="A44" s="185"/>
      <c r="B44" s="704"/>
      <c r="C44" s="705"/>
      <c r="D44" s="705"/>
      <c r="E44" s="705"/>
      <c r="F44" s="705"/>
      <c r="G44" s="705"/>
      <c r="H44" s="705"/>
      <c r="I44" s="705"/>
      <c r="J44" s="706"/>
      <c r="K44" s="187"/>
    </row>
    <row r="45" spans="1:11" ht="15.5" x14ac:dyDescent="0.35">
      <c r="A45" s="185"/>
      <c r="B45" s="704"/>
      <c r="C45" s="705"/>
      <c r="D45" s="705"/>
      <c r="E45" s="705"/>
      <c r="F45" s="705"/>
      <c r="G45" s="705"/>
      <c r="H45" s="705"/>
      <c r="I45" s="705"/>
      <c r="J45" s="706"/>
      <c r="K45" s="187"/>
    </row>
    <row r="46" spans="1:11" ht="15.5" x14ac:dyDescent="0.35">
      <c r="A46" s="185"/>
      <c r="B46" s="704"/>
      <c r="C46" s="705"/>
      <c r="D46" s="705"/>
      <c r="E46" s="705"/>
      <c r="F46" s="705"/>
      <c r="G46" s="705"/>
      <c r="H46" s="705"/>
      <c r="I46" s="705"/>
      <c r="J46" s="706"/>
      <c r="K46" s="187"/>
    </row>
    <row r="47" spans="1:11" ht="16" thickBot="1" x14ac:dyDescent="0.4">
      <c r="A47" s="185"/>
      <c r="B47" s="707"/>
      <c r="C47" s="708"/>
      <c r="D47" s="708"/>
      <c r="E47" s="708"/>
      <c r="F47" s="708"/>
      <c r="G47" s="708"/>
      <c r="H47" s="708"/>
      <c r="I47" s="708"/>
      <c r="J47" s="709"/>
      <c r="K47" s="187"/>
    </row>
    <row r="48" spans="1:11" s="123" customFormat="1" ht="11.25" customHeight="1" thickBot="1" x14ac:dyDescent="0.4">
      <c r="A48" s="124"/>
      <c r="B48" s="127"/>
      <c r="C48" s="127"/>
      <c r="H48" s="127"/>
      <c r="I48" s="127"/>
      <c r="K48" s="126"/>
    </row>
    <row r="49" spans="1:11" ht="16" thickBot="1" x14ac:dyDescent="0.4">
      <c r="A49" s="185"/>
      <c r="B49" s="693" t="s">
        <v>757</v>
      </c>
      <c r="C49" s="694"/>
      <c r="D49" s="694"/>
      <c r="E49" s="694"/>
      <c r="F49" s="694"/>
      <c r="G49" s="694"/>
      <c r="H49" s="694"/>
      <c r="I49" s="694"/>
      <c r="J49" s="695"/>
      <c r="K49" s="187"/>
    </row>
    <row r="50" spans="1:11" s="123" customFormat="1" ht="11.25" customHeight="1" x14ac:dyDescent="0.35">
      <c r="A50" s="124"/>
      <c r="B50" s="127"/>
      <c r="C50" s="127"/>
      <c r="H50" s="127"/>
      <c r="I50" s="127"/>
      <c r="K50" s="126"/>
    </row>
    <row r="51" spans="1:11" ht="16.5" customHeight="1" thickBot="1" x14ac:dyDescent="0.4">
      <c r="A51" s="185"/>
      <c r="B51" s="129" t="s">
        <v>758</v>
      </c>
      <c r="C51" s="129" t="s">
        <v>1001</v>
      </c>
      <c r="D51" s="129"/>
      <c r="E51" s="129"/>
      <c r="F51" s="129" t="s">
        <v>992</v>
      </c>
      <c r="G51" s="129" t="s">
        <v>1008</v>
      </c>
      <c r="H51" s="129" t="s">
        <v>996</v>
      </c>
      <c r="I51" s="696" t="s">
        <v>1004</v>
      </c>
      <c r="J51" s="696"/>
      <c r="K51" s="187"/>
    </row>
    <row r="52" spans="1:11" ht="16.5" customHeight="1" x14ac:dyDescent="0.35">
      <c r="A52" s="185"/>
      <c r="B52" s="478" t="str" cm="1">
        <f t="array" ref="B52">_xlfn.LET(
  _xlpm.gAll, _xlfn.VSTACK(SW!G69:G77, SGC!G55:G63, SIKA!G45:G54, BLANK!G31:G40),
  _xlpm.fAll, _xlfn.VSTACK(SW!F69:F77, SGC!F55:F63, SIKA!F45:F54, BLANK!F31:F40),
  _xlpm.cAll, _xlfn.VSTACK(SW!C69:C77, SGC!C55:C63, SIKA!C45:C54, BLANK!C31:C40),
  _xlpm.mask, (_xlpm.gAll&lt;&gt;"")+(_xlpm.fAll&lt;&gt;""),
  _xlpm.n, SUM(--_xlpm.mask),
  IF(_xlpm.n=0, "",
     _xlfn.LET(
       _xlpm.cKeep, _xlfn._xlws.FILTER(_xlpm.cAll, _xlpm.mask),
       _xlpm.k, MIN(ROWS(B50:B59), ROWS(_xlpm.cKeep)),
       _xlfn.TAKE(IF(_xlpm.cKeep&lt;&gt;"", _xlpm.cKeep, "INPUT NEEDED"), _xlpm.k)
     )
  )
)</f>
        <v/>
      </c>
      <c r="C52" s="478" t="str" cm="1">
        <f t="array" ref="C52">_xlfn.LET(
  _xlpm.gAll, _xlfn.VSTACK(SW!G69:G77, SGC!G55:G63, SIKA!G45:G54, BLANK!G31:G40),
  _xlpm.fAll, _xlfn.VSTACK(SW!F69:F77, SGC!F55:F63, SIKA!F45:F54, BLANK!F31:F40),
  _xlpm.srcAll, _xlfn.VSTACK(
    _xlfn.MAKEARRAY(ROWS(SW!G69:G77),1,_xlfn.LAMBDA(_xlpm.r,_xlpm.c,"SW")),
    _xlfn.MAKEARRAY(ROWS(SGC!G55:G63),1,_xlfn.LAMBDA(_xlpm.r,_xlpm.c,"RIO")),
    _xlfn.MAKEARRAY(ROWS(SIKA!G45:G54),1,_xlfn.LAMBDA(_xlpm.r,_xlpm.c,"SIKA")),
    _xlfn.MAKEARRAY(ROWS(BLANK!G31:G40),1,_xlfn.LAMBDA(_xlpm.r,_xlpm.c,"BLANK"))
  ),
  _xlpm.mask, (_xlpm.gAll&lt;&gt;"")+(_xlpm.fAll&lt;&gt;""),
  _xlpm.sKeep, _xlfn._xlws.FILTER(_xlpm.srcAll, _xlpm.mask),
  IF(SUM(_xlpm.mask)=0, "",
     _xlfn.TAKE(_xlpm.sKeep, MIN(ROWS(_xlfn.ANCHORARRAY(B52)), ROWS(_xlpm.sKeep)))
  )
)</f>
        <v/>
      </c>
      <c r="D52" s="486"/>
      <c r="E52" s="487"/>
      <c r="F52" s="482" t="str" cm="1">
        <f t="array" ref="F52">_xlfn.LET(
  _xlpm.gAll, _xlfn.VSTACK(SW!G69:G77, SGC!G55:G63, SIKA!G45:G54, BLANK!G31:G40),
  _xlpm.fAll, _xlfn.VSTACK(SW!F69:F77, SGC!F55:F63, SIKA!F45:F54, BLANK!F31:F40),
  _xlpm.mask, (_xlpm.gAll&lt;&gt;"")+(_xlpm.fAll&lt;&gt;""),
  _xlpm.n, SUM(--_xlpm.mask),
  IF(_xlpm.n=0, "",
     _xlfn.LET(
       _xlpm.fKeep, _xlfn._xlws.FILTER(_xlpm.fAll, _xlpm.mask),
       _xlpm.k, MIN(ROWS(F50:F59), ROWS(_xlpm.fKeep)),
       _xlfn.TAKE(IF(_xlpm.fKeep&lt;&gt;"", _xlpm.fKeep, "INPUT REQ."), _xlpm.k)
     )
  )
)</f>
        <v/>
      </c>
      <c r="G52" s="446" t="str" cm="1">
        <f t="array" ref="G52">_xlfn.LET(
  _xlpm.gAll, _xlfn.VSTACK(SW!G69:G77, SGC!G55:G63, SIKA!G45:G54, BLANK!G31:G40),
  _xlpm.fAll, _xlfn.VSTACK(SW!F69:F77, SGC!F55:F63, SIKA!F45:F54, BLANK!F31:F40),
  _xlpm.mask, (_xlpm.gAll&lt;&gt;"")+(_xlpm.fAll&lt;&gt;""),
  _xlpm.n, SUM(--_xlpm.mask),
  IF(_xlpm.n=0, "",
     _xlfn.LET(
       _xlpm.gKeep, _xlfn._xlws.FILTER(_xlpm.gAll, _xlpm.mask),
       _xlpm.k, MIN(ROWS(H50:H59), ROWS(_xlpm.gKeep)),
       _xlfn.TAKE(IF(_xlpm.gKeep&lt;&gt;"", _xlpm.gKeep, "INPUT REQ."), _xlpm.k)
     )
  )
)</f>
        <v/>
      </c>
      <c r="H52" s="511" t="str" cm="1">
        <f t="array" ref="H52">_xlfn.LET(
  _xlpm.gAll, _xlfn.VSTACK(SW!G69:G77, SGC!G55:G63, SIKA!G45:G54, BLANK!G31:G40),
  _xlpm.fAll, _xlfn.VSTACK(SW!F69:F77, SGC!F55:F63, SIKA!F45:F54, BLANK!F31:F40),
  _xlpm.hAll, _xlfn.VSTACK(SW!H69:H77, SGC!H55:H63, SIKA!H45:H54, BLANK!H31:H40),
  _xlpm.mask, (_xlpm.gAll&lt;&gt;"")+(_xlpm.fAll&lt;&gt;""),
  _xlpm.n, SUM(_xlpm.mask),
  IF(_xlpm.n=0, "",
     _xlfn.LET(
       _xlpm.hKeep, _xlfn._xlws.FILTER(_xlpm.hAll, _xlpm.mask),
       _xlfn.TAKE(_xlpm.hKeep, MIN(ROWS(I50:I56), ROWS(_xlpm.hKeep)))
     )
  )
)</f>
        <v/>
      </c>
      <c r="I52" s="507" t="str">
        <f>_xlfn.LET(_xlpm.a, N(G52:G61), _xlpm.b, N(F52:F61), _xlpm.p, _xlpm.a*_xlpm.b, IF(_xlpm.p=0, "", _xlpm.p))</f>
        <v/>
      </c>
      <c r="J52" s="508"/>
      <c r="K52" s="187"/>
    </row>
    <row r="53" spans="1:11" ht="16.5" customHeight="1" x14ac:dyDescent="0.35">
      <c r="A53" s="185"/>
      <c r="B53" s="479"/>
      <c r="C53" s="432"/>
      <c r="D53" s="488"/>
      <c r="E53" s="489"/>
      <c r="F53" s="483"/>
      <c r="G53" s="447"/>
      <c r="H53" s="512"/>
      <c r="I53" s="516" t="str">
        <f t="shared" ref="I53:I61" si="0">_xlfn.LET(_xlpm.a, N(G53:G62), _xlpm.b, N(F53:F62), _xlpm.p, _xlpm.a*_xlpm.b, IF(_xlpm.p=0, "", _xlpm.p))</f>
        <v/>
      </c>
      <c r="J53" s="517"/>
      <c r="K53" s="187"/>
    </row>
    <row r="54" spans="1:11" ht="16.5" customHeight="1" x14ac:dyDescent="0.35">
      <c r="A54" s="185"/>
      <c r="B54" s="479"/>
      <c r="C54" s="432"/>
      <c r="D54" s="488"/>
      <c r="E54" s="489"/>
      <c r="F54" s="483"/>
      <c r="G54" s="447"/>
      <c r="H54" s="512"/>
      <c r="I54" s="516" t="str">
        <f t="shared" si="0"/>
        <v/>
      </c>
      <c r="J54" s="517"/>
      <c r="K54" s="187"/>
    </row>
    <row r="55" spans="1:11" ht="16.5" customHeight="1" x14ac:dyDescent="0.35">
      <c r="A55" s="185"/>
      <c r="B55" s="479"/>
      <c r="C55" s="432"/>
      <c r="D55" s="488"/>
      <c r="E55" s="489"/>
      <c r="F55" s="483"/>
      <c r="G55" s="447"/>
      <c r="H55" s="512"/>
      <c r="I55" s="516" t="str">
        <f t="shared" si="0"/>
        <v/>
      </c>
      <c r="J55" s="515"/>
      <c r="K55" s="187"/>
    </row>
    <row r="56" spans="1:11" ht="16.5" customHeight="1" x14ac:dyDescent="0.35">
      <c r="A56" s="185"/>
      <c r="B56" s="479"/>
      <c r="C56" s="432"/>
      <c r="D56" s="488"/>
      <c r="E56" s="489"/>
      <c r="F56" s="483"/>
      <c r="G56" s="447"/>
      <c r="H56" s="512"/>
      <c r="I56" s="516" t="str">
        <f t="shared" si="0"/>
        <v/>
      </c>
      <c r="J56" s="517"/>
      <c r="K56" s="187"/>
    </row>
    <row r="57" spans="1:11" ht="16.5" customHeight="1" x14ac:dyDescent="0.35">
      <c r="A57" s="185"/>
      <c r="B57" s="479"/>
      <c r="C57" s="432"/>
      <c r="D57" s="488"/>
      <c r="E57" s="489"/>
      <c r="F57" s="483"/>
      <c r="G57" s="447"/>
      <c r="H57" s="512"/>
      <c r="I57" s="516" t="str">
        <f t="shared" si="0"/>
        <v/>
      </c>
      <c r="J57" s="517"/>
      <c r="K57" s="187"/>
    </row>
    <row r="58" spans="1:11" ht="16.5" customHeight="1" x14ac:dyDescent="0.35">
      <c r="A58" s="185"/>
      <c r="B58" s="476"/>
      <c r="C58" s="479"/>
      <c r="D58" s="488"/>
      <c r="E58" s="489"/>
      <c r="F58" s="484"/>
      <c r="G58" s="480"/>
      <c r="H58" s="512"/>
      <c r="I58" s="516" t="str">
        <f t="shared" si="0"/>
        <v/>
      </c>
      <c r="J58" s="517"/>
      <c r="K58" s="187"/>
    </row>
    <row r="59" spans="1:11" ht="16.5" customHeight="1" x14ac:dyDescent="0.35">
      <c r="A59" s="185"/>
      <c r="B59" s="476"/>
      <c r="C59" s="479"/>
      <c r="D59" s="488"/>
      <c r="E59" s="489"/>
      <c r="F59" s="484"/>
      <c r="G59" s="480"/>
      <c r="H59" s="512"/>
      <c r="I59" s="516" t="str">
        <f t="shared" si="0"/>
        <v/>
      </c>
      <c r="J59" s="517"/>
      <c r="K59" s="187"/>
    </row>
    <row r="60" spans="1:11" ht="16.5" customHeight="1" x14ac:dyDescent="0.35">
      <c r="A60" s="185"/>
      <c r="B60" s="476"/>
      <c r="C60" s="479"/>
      <c r="D60" s="488"/>
      <c r="E60" s="489"/>
      <c r="F60" s="484"/>
      <c r="G60" s="480"/>
      <c r="H60" s="512"/>
      <c r="I60" s="516" t="str">
        <f t="shared" si="0"/>
        <v/>
      </c>
      <c r="J60" s="517"/>
      <c r="K60" s="187"/>
    </row>
    <row r="61" spans="1:11" ht="16.5" customHeight="1" thickBot="1" x14ac:dyDescent="0.4">
      <c r="A61" s="185"/>
      <c r="B61" s="477"/>
      <c r="C61" s="477"/>
      <c r="D61" s="490"/>
      <c r="E61" s="491"/>
      <c r="F61" s="485"/>
      <c r="G61" s="481"/>
      <c r="H61" s="513"/>
      <c r="I61" s="540" t="str">
        <f t="shared" si="0"/>
        <v/>
      </c>
      <c r="J61" s="514"/>
      <c r="K61" s="187"/>
    </row>
    <row r="62" spans="1:11" ht="16" thickBot="1" x14ac:dyDescent="0.4">
      <c r="A62" s="185"/>
      <c r="B62" s="679"/>
      <c r="C62" s="679"/>
      <c r="D62" s="679"/>
      <c r="E62" s="679"/>
      <c r="F62" s="679"/>
      <c r="G62" s="679"/>
      <c r="H62" s="679"/>
      <c r="I62" s="679"/>
      <c r="J62" s="679"/>
      <c r="K62" s="187"/>
    </row>
    <row r="63" spans="1:11" ht="16.5" customHeight="1" thickBot="1" x14ac:dyDescent="0.4">
      <c r="A63" s="185"/>
      <c r="B63" s="693" t="s">
        <v>1002</v>
      </c>
      <c r="C63" s="694"/>
      <c r="D63" s="694"/>
      <c r="E63" s="694"/>
      <c r="F63" s="694"/>
      <c r="G63" s="694"/>
      <c r="H63" s="694"/>
      <c r="I63" s="694"/>
      <c r="J63" s="695"/>
      <c r="K63" s="187"/>
    </row>
    <row r="64" spans="1:11" ht="11.25" customHeight="1" x14ac:dyDescent="0.35">
      <c r="A64" s="185"/>
      <c r="B64" s="127"/>
      <c r="C64" s="127"/>
      <c r="D64" s="123"/>
      <c r="E64" s="123"/>
      <c r="F64" s="123"/>
      <c r="G64" s="123"/>
      <c r="H64" s="127"/>
      <c r="I64" s="127"/>
      <c r="J64" s="123"/>
      <c r="K64" s="187"/>
    </row>
    <row r="65" spans="1:11" ht="16.5" customHeight="1" thickBot="1" x14ac:dyDescent="0.4">
      <c r="A65" s="185"/>
      <c r="B65" s="129" t="s">
        <v>1009</v>
      </c>
      <c r="C65" s="129" t="s">
        <v>1001</v>
      </c>
      <c r="D65" s="129"/>
      <c r="E65" s="129"/>
      <c r="F65" s="129" t="s">
        <v>992</v>
      </c>
      <c r="G65" s="129" t="s">
        <v>1008</v>
      </c>
      <c r="H65" s="129" t="s">
        <v>999</v>
      </c>
      <c r="I65" s="698" t="s">
        <v>16</v>
      </c>
      <c r="J65" s="698"/>
      <c r="K65" s="187"/>
    </row>
    <row r="66" spans="1:11" ht="16.899999999999999" customHeight="1" x14ac:dyDescent="0.35">
      <c r="A66" s="185"/>
      <c r="B66" s="198" t="str" cm="1">
        <f t="array" ref="B66">_xlfn.LET(
  _xlpm.gAll, _xlfn.VSTACK(SW!G79:G86, SGC!G65:G72, SIKA!G56:G63, BLANK!G42:G49),
  _xlpm.fAll, _xlfn.VSTACK(SW!F79:F86, SGC!F65:F72, SIKA!F56:F63, BLANK!F42:F49),
  _xlpm.cAll, _xlfn.VSTACK(SW!C79:C86, SGC!C65:C72, SIKA!C56:C63, BLANK!C42:C49),
  _xlpm.mask, (_xlpm.gAll&lt;&gt;"")+(_xlpm.fAll&lt;&gt;""),
  _xlpm.n, SUM(--_xlpm.mask),
  IF(_xlpm.n=0, "",
     _xlfn.LET(
       _xlpm.cKeep, _xlfn._xlws.FILTER(_xlpm.cAll, _xlpm.mask),
       _xlpm.k, MIN(ROWS(B50:B60), ROWS(_xlpm.cKeep)),
       _xlfn.TAKE(IF(_xlpm.cKeep&lt;&gt;"", _xlpm.cKeep, "INPUT NEEDED"), _xlpm.k)
     )
  )
)</f>
        <v/>
      </c>
      <c r="C66" s="198" t="str" cm="1">
        <f t="array" ref="C66">_xlfn.LET(
  _xlpm.gAll, _xlfn.VSTACK(SW!G79:G86, SGC!G65:G72, SIKA!G56:G63, BLANK!G42:G49),
  _xlpm.fAll, _xlfn.VSTACK(SW!F79:F86, SGC!F65:F72, SIKA!F56:F63, BLANK!F42:F49),
  _xlpm.srcAll, _xlfn.VSTACK(
    _xlfn.MAKEARRAY(ROWS(SW!G79:G86),1,_xlfn.LAMBDA(_xlpm.r,_xlpm.c,"SW")),
    _xlfn.MAKEARRAY(ROWS(SGC!G65:G72),1,_xlfn.LAMBDA(_xlpm.r,_xlpm.c,"RIO")),
    _xlfn.MAKEARRAY(ROWS(SIKA!G56:G63),1,_xlfn.LAMBDA(_xlpm.r,_xlpm.c,"SIKA")),
    _xlfn.MAKEARRAY(ROWS(BLANK!G42:G49),1,_xlfn.LAMBDA(_xlpm.r,_xlpm.c,"BLANK"))
  ),
  _xlpm.mask, (_xlpm.gAll&lt;&gt;"")+(_xlpm.fAll&lt;&gt;""),
  _xlpm.sKeep, _xlfn._xlws.FILTER(_xlpm.srcAll, _xlpm.mask),
  IF(SUM(_xlpm.mask)=0,"",
     _xlfn.TAKE(_xlpm.sKeep, MIN(ROWS(_xlfn.ANCHORARRAY(B66)), ROWS(_xlpm.sKeep)))
  )
)</f>
        <v/>
      </c>
      <c r="D66" s="478"/>
      <c r="E66" s="482"/>
      <c r="F66" s="198" t="str" cm="1">
        <f t="array" ref="F66">_xlfn.LET(
_xlpm.gAll,_xlfn.VSTACK(SW!G79:G86,SGC!G65:G72,SIKA!G56:G63,BLANK!G42:G49),
_xlpm.fAll,_xlfn.VSTACK(SW!F79:F86,SGC!F65:F72,SIKA!F56:F63,BLANK!F42:F49),
_xlpm.mask,(_xlpm.gAll&lt;&gt;"")+(_xlpm.fAll&lt;&gt;""),IF(SUM(_xlpm.mask)=0,"",
_xlfn.LET(
_xlpm.fKeep,_xlfn._xlws.FILTER(_xlpm.fAll,_xlpm.mask),
_xlfn.TAKE(IF(_xlpm.fKeep&lt;&gt;"",_xlpm.fKeep,"INPUT REQ."),MIN(ROWS(F72:F81),ROWS(_xlpm.fKeep)))
)
)
)</f>
        <v/>
      </c>
      <c r="G66" s="446" t="str" cm="1">
        <f t="array" ref="G66">_xlfn.LET(
  _xlpm.gAll, _xlfn.VSTACK(SW!G79:G86, SGC!G65:G72, SIKA!G56:G63, BLANK!G42:G49),
  _xlpm.fAll, _xlfn.VSTACK(SW!F79:F86, SGC!F65:F72, SIKA!F56:F63, BLANK!F42:F49),
  _xlpm.mask, (_xlpm.gAll&lt;&gt;"")+(_xlpm.fAll&lt;&gt;""),
  IF(SUM(_xlpm.mask)=0,"",
     _xlfn.LET(
       _xlpm.gKeep, _xlfn._xlws.FILTER(_xlpm.gAll, _xlpm.mask),
       _xlfn.TAKE(IF(_xlpm.gKeep&lt;&gt;"", _xlpm.gKeep, "INPUT REQ."), MIN(ROWS(G72:G81), ROWS(_xlpm.gKeep)))
     )
  )
)</f>
        <v/>
      </c>
      <c r="H66" s="511" t="str" cm="1">
        <f t="array" ref="H66">_xlfn.LET(
  _xlpm.gAll, _xlfn.VSTACK(SW!G79:G86, SGC!G65:G72, SIKA!G56:G63, BLANK!G42:G49),
  _xlpm.fAll, _xlfn.VSTACK(SW!F79:F86, SGC!F65:F72, SIKA!F56:F63, BLANK!F42:F49),
  _xlpm.hAll, _xlfn.VSTACK(SW!H79:H86, SGC!H65:H72, SIKA!H56:H63, BLANK!H42:H49),
  _xlpm.mask, (_xlpm.gAll&lt;&gt;"")+(_xlpm.fAll&lt;&gt;""),
  IF(SUM(_xlpm.mask)=0, "",
     _xlfn.LET(
       _xlpm.hKeep, _xlfn._xlws.FILTER(_xlpm.hAll, _xlpm.mask),
       _xlpm.k, MIN(ROWS(I50:I59), ROWS(_xlpm.hKeep)),
       _xlfn.TAKE(_xlpm.hKeep, _xlpm.k)
     )
  )
)</f>
        <v/>
      </c>
      <c r="I66" s="518" t="str" cm="1">
        <f t="array" ref="I66">_xlfn.LET(
  _xlpm.gAll, _xlfn.VSTACK(SW!G79:G86, SGC!G65:G72, SIKA!G56:G63, BLANK!G42:G49),
  _xlpm.fAll, _xlfn.VSTACK(SW!F79:F86, SGC!F65:F72, SIKA!F56:F63, BLANK!F42:F49),
  _xlpm.iAll, _xlfn.VSTACK(SW!I79:I86, SGC!I65:I72, SIKA!I56:I63, BLANK!I42:I49),
  _xlpm.mask, (_xlpm.gAll&lt;&gt;"")+(_xlpm.fAll&lt;&gt;""),
  IF(SUM(_xlpm.mask)=0,"",
     _xlfn.LET(
       _xlpm.iKeep, _xlfn._xlws.FILTER(_xlpm.iAll, _xlpm.mask),
       _xlfn.TAKE(_xlpm.iKeep, MIN(ROWS(J50:J59), ROWS(_xlpm.iKeep)))
     )
  )
)</f>
        <v/>
      </c>
      <c r="J66" s="519"/>
      <c r="K66" s="187"/>
    </row>
    <row r="67" spans="1:11" ht="16.899999999999999" customHeight="1" x14ac:dyDescent="0.35">
      <c r="A67" s="185"/>
      <c r="B67" s="191"/>
      <c r="C67" s="189"/>
      <c r="D67" s="432"/>
      <c r="E67" s="483"/>
      <c r="F67" s="189"/>
      <c r="G67" s="447"/>
      <c r="H67" s="512"/>
      <c r="I67" s="509"/>
      <c r="J67" s="510"/>
      <c r="K67" s="187"/>
    </row>
    <row r="68" spans="1:11" ht="16.899999999999999" customHeight="1" x14ac:dyDescent="0.35">
      <c r="A68" s="185"/>
      <c r="B68" s="191"/>
      <c r="C68" s="189"/>
      <c r="D68" s="432"/>
      <c r="E68" s="483"/>
      <c r="F68" s="189"/>
      <c r="G68" s="447"/>
      <c r="H68" s="512"/>
      <c r="I68" s="509"/>
      <c r="J68" s="527"/>
      <c r="K68" s="187"/>
    </row>
    <row r="69" spans="1:11" ht="16.899999999999999" customHeight="1" x14ac:dyDescent="0.35">
      <c r="A69" s="185"/>
      <c r="B69" s="191"/>
      <c r="C69" s="189"/>
      <c r="D69" s="432"/>
      <c r="E69" s="483"/>
      <c r="F69" s="189"/>
      <c r="G69" s="447"/>
      <c r="H69" s="512"/>
      <c r="I69" s="509"/>
      <c r="J69" s="527"/>
      <c r="K69" s="187"/>
    </row>
    <row r="70" spans="1:11" ht="16.899999999999999" customHeight="1" x14ac:dyDescent="0.35">
      <c r="A70" s="185"/>
      <c r="B70" s="191"/>
      <c r="C70" s="189"/>
      <c r="D70" s="432"/>
      <c r="E70" s="483"/>
      <c r="F70" s="189"/>
      <c r="G70" s="447"/>
      <c r="H70" s="512"/>
      <c r="I70" s="509"/>
      <c r="J70" s="527"/>
      <c r="K70" s="187"/>
    </row>
    <row r="71" spans="1:11" ht="16.899999999999999" customHeight="1" x14ac:dyDescent="0.35">
      <c r="A71" s="185"/>
      <c r="B71" s="191"/>
      <c r="C71" s="189"/>
      <c r="D71" s="432"/>
      <c r="E71" s="483"/>
      <c r="F71" s="189"/>
      <c r="G71" s="447"/>
      <c r="H71" s="512"/>
      <c r="I71" s="509"/>
      <c r="J71" s="527"/>
      <c r="K71" s="187"/>
    </row>
    <row r="72" spans="1:11" ht="16.899999999999999" customHeight="1" x14ac:dyDescent="0.35">
      <c r="A72" s="185"/>
      <c r="B72" s="191"/>
      <c r="C72" s="189"/>
      <c r="D72" s="432"/>
      <c r="E72" s="483"/>
      <c r="F72" s="189"/>
      <c r="G72" s="447"/>
      <c r="H72" s="512"/>
      <c r="I72" s="509"/>
      <c r="J72" s="527"/>
      <c r="K72" s="187"/>
    </row>
    <row r="73" spans="1:11" ht="16.899999999999999" customHeight="1" x14ac:dyDescent="0.35">
      <c r="A73" s="185"/>
      <c r="B73" s="191"/>
      <c r="C73" s="189"/>
      <c r="D73" s="432"/>
      <c r="E73" s="483"/>
      <c r="F73" s="189"/>
      <c r="G73" s="447"/>
      <c r="H73" s="512"/>
      <c r="I73" s="509"/>
      <c r="J73" s="527"/>
      <c r="K73" s="187"/>
    </row>
    <row r="74" spans="1:11" ht="16.899999999999999" customHeight="1" x14ac:dyDescent="0.35">
      <c r="A74" s="185"/>
      <c r="B74" s="191"/>
      <c r="C74" s="189"/>
      <c r="D74" s="432"/>
      <c r="E74" s="483"/>
      <c r="F74" s="189"/>
      <c r="G74" s="447"/>
      <c r="H74" s="512"/>
      <c r="I74" s="509"/>
      <c r="J74" s="527"/>
      <c r="K74" s="187"/>
    </row>
    <row r="75" spans="1:11" ht="16.899999999999999" customHeight="1" thickBot="1" x14ac:dyDescent="0.4">
      <c r="A75" s="185"/>
      <c r="B75" s="460"/>
      <c r="C75" s="461"/>
      <c r="D75" s="433"/>
      <c r="E75" s="497"/>
      <c r="F75" s="459"/>
      <c r="G75" s="448"/>
      <c r="H75" s="513"/>
      <c r="I75" s="525"/>
      <c r="J75" s="526"/>
      <c r="K75" s="187"/>
    </row>
    <row r="76" spans="1:11" ht="11.5" customHeight="1" thickBot="1" x14ac:dyDescent="0.4">
      <c r="A76" s="185"/>
      <c r="B76" s="471"/>
      <c r="C76" s="472"/>
      <c r="D76" s="680" t="str">
        <f>IF(INFO!D69=0,"",INFO!D69)</f>
        <v/>
      </c>
      <c r="E76" s="680" t="str">
        <f>IF(INFO!E69=0,"",INFO!E69)</f>
        <v/>
      </c>
      <c r="F76" s="680"/>
      <c r="G76" s="681"/>
      <c r="H76" s="462"/>
      <c r="I76" s="463"/>
      <c r="J76" s="535"/>
      <c r="K76" s="187"/>
    </row>
    <row r="77" spans="1:11" ht="16.5" customHeight="1" x14ac:dyDescent="0.35">
      <c r="A77" s="185"/>
      <c r="B77" s="492"/>
      <c r="C77" s="682"/>
      <c r="D77" s="493"/>
      <c r="E77" s="699" t="s">
        <v>997</v>
      </c>
      <c r="F77" s="700"/>
      <c r="G77" s="700"/>
      <c r="H77" s="712" t="str">
        <f>IF(COUNTA(SW!D99, SGC!D85, SIKA!D76, BLANK!N35)&gt;1, "Multiple MFR(!)", "")</f>
        <v/>
      </c>
      <c r="I77" s="713"/>
      <c r="J77" s="533">
        <f>SUM(SW!D99, SGC!D85, SIKA!D76, BLANK!N35)</f>
        <v>0</v>
      </c>
      <c r="K77" s="187"/>
    </row>
    <row r="78" spans="1:11" ht="16.5" customHeight="1" thickBot="1" x14ac:dyDescent="0.4">
      <c r="A78" s="185"/>
      <c r="B78" s="494"/>
      <c r="C78" s="495"/>
      <c r="D78" s="496"/>
      <c r="E78" s="684" t="s">
        <v>998</v>
      </c>
      <c r="F78" s="685"/>
      <c r="G78" s="686"/>
      <c r="H78" s="536" t="str">
        <f>IF(COUNTA(SW!D100, SGC!D86, SIKA!D77, BLANK!N36)&gt;1, "Multiple MFR(!)", "")</f>
        <v/>
      </c>
      <c r="I78" s="537"/>
      <c r="J78" s="534">
        <f>SUM(SW!D100, SGC!D86, SIKA!D77, BLANK!N36)</f>
        <v>0</v>
      </c>
      <c r="K78" s="187"/>
    </row>
    <row r="79" spans="1:11" ht="9.75" customHeight="1" x14ac:dyDescent="0.35">
      <c r="A79" s="185"/>
      <c r="K79" s="187"/>
    </row>
    <row r="80" spans="1:11" ht="9.75" customHeight="1" thickBot="1" x14ac:dyDescent="0.4">
      <c r="A80" s="683"/>
      <c r="B80" s="523"/>
      <c r="C80" s="522"/>
      <c r="D80" s="522"/>
      <c r="E80" s="522"/>
      <c r="F80" s="522"/>
      <c r="G80" s="522"/>
      <c r="H80" s="522"/>
      <c r="I80" s="522"/>
      <c r="J80" s="522"/>
      <c r="K80" s="524"/>
    </row>
  </sheetData>
  <sheetProtection sheet="1" selectLockedCells="1"/>
  <mergeCells count="36">
    <mergeCell ref="C4:E4"/>
    <mergeCell ref="C27:E27"/>
    <mergeCell ref="G27:H27"/>
    <mergeCell ref="I4:J4"/>
    <mergeCell ref="G6:H6"/>
    <mergeCell ref="I6:J6"/>
    <mergeCell ref="G4:H4"/>
    <mergeCell ref="C6:E6"/>
    <mergeCell ref="C22:E22"/>
    <mergeCell ref="H22:J22"/>
    <mergeCell ref="C21:E21"/>
    <mergeCell ref="H21:J21"/>
    <mergeCell ref="F20:G20"/>
    <mergeCell ref="B8:J8"/>
    <mergeCell ref="B2:J2"/>
    <mergeCell ref="B63:J63"/>
    <mergeCell ref="I65:J65"/>
    <mergeCell ref="E77:G77"/>
    <mergeCell ref="B39:J47"/>
    <mergeCell ref="G28:H28"/>
    <mergeCell ref="B30:J30"/>
    <mergeCell ref="H32:I32"/>
    <mergeCell ref="H33:I33"/>
    <mergeCell ref="H34:I34"/>
    <mergeCell ref="B37:J37"/>
    <mergeCell ref="C28:E28"/>
    <mergeCell ref="C26:E26"/>
    <mergeCell ref="G26:H26"/>
    <mergeCell ref="H35:I35"/>
    <mergeCell ref="H77:I77"/>
    <mergeCell ref="E78:G78"/>
    <mergeCell ref="B18:J18"/>
    <mergeCell ref="C20:E20"/>
    <mergeCell ref="H20:J20"/>
    <mergeCell ref="B49:J49"/>
    <mergeCell ref="I51:J51"/>
  </mergeCells>
  <pageMargins left="0" right="0" top="0" bottom="0" header="0" footer="0"/>
  <pageSetup paperSize="3" scale="9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43C5-CACC-485D-8A35-A20405C94F82}">
  <sheetPr codeName="Sheet4">
    <tabColor theme="0" tint="-0.249977111117893"/>
    <pageSetUpPr fitToPage="1"/>
  </sheetPr>
  <dimension ref="A1:G43"/>
  <sheetViews>
    <sheetView showGridLines="0" topLeftCell="A12" zoomScale="150" zoomScaleNormal="150" workbookViewId="0">
      <selection activeCell="D12" sqref="D12"/>
    </sheetView>
  </sheetViews>
  <sheetFormatPr defaultColWidth="9.26953125" defaultRowHeight="14.5" x14ac:dyDescent="0.35"/>
  <cols>
    <col min="1" max="1" width="1.26953125" style="99" customWidth="1"/>
    <col min="2" max="2" width="10" style="99" customWidth="1"/>
    <col min="3" max="3" width="34.26953125" style="162" customWidth="1"/>
    <col min="4" max="4" width="12" style="99" customWidth="1"/>
    <col min="5" max="5" width="35.7265625" style="99" customWidth="1"/>
    <col min="6" max="6" width="15.26953125" style="99" customWidth="1"/>
    <col min="7" max="7" width="1.26953125" style="99" customWidth="1"/>
    <col min="8" max="16384" width="9.26953125" style="99"/>
  </cols>
  <sheetData>
    <row r="1" spans="1:7" ht="7.5" customHeight="1" thickBot="1" x14ac:dyDescent="0.4">
      <c r="A1" s="122"/>
      <c r="B1" s="121"/>
      <c r="C1" s="153"/>
      <c r="D1" s="121"/>
      <c r="E1" s="121"/>
      <c r="F1" s="121"/>
      <c r="G1" s="120"/>
    </row>
    <row r="2" spans="1:7" ht="15.5" x14ac:dyDescent="0.35">
      <c r="A2" s="105"/>
      <c r="B2" s="119"/>
      <c r="C2" s="163" t="s">
        <v>752</v>
      </c>
      <c r="D2" s="117"/>
      <c r="E2" s="130" t="str">
        <f>IF(INFO!C2=0,"",INFO!C2)</f>
        <v/>
      </c>
      <c r="F2" s="117"/>
      <c r="G2" s="103"/>
    </row>
    <row r="3" spans="1:7" ht="15.5" x14ac:dyDescent="0.35">
      <c r="A3" s="105"/>
      <c r="B3" s="119"/>
      <c r="C3" s="164" t="s">
        <v>751</v>
      </c>
      <c r="D3" s="117"/>
      <c r="E3" s="131" t="str">
        <f>IF(INFO!I2=0,"",INFO!I2)</f>
        <v/>
      </c>
      <c r="F3" s="117"/>
      <c r="G3" s="103"/>
    </row>
    <row r="4" spans="1:7" ht="16" thickBot="1" x14ac:dyDescent="0.4">
      <c r="A4" s="105"/>
      <c r="B4" s="119"/>
      <c r="C4" s="165" t="s">
        <v>750</v>
      </c>
      <c r="D4" s="118"/>
      <c r="E4" s="532" t="str">
        <f>IF(INFO!I54=0,"",INFO!I54)</f>
        <v/>
      </c>
      <c r="F4" s="117"/>
      <c r="G4" s="103"/>
    </row>
    <row r="5" spans="1:7" ht="7.5" customHeight="1" thickBot="1" x14ac:dyDescent="0.4">
      <c r="A5" s="105"/>
      <c r="B5" s="117"/>
      <c r="C5" s="154"/>
      <c r="D5" s="117"/>
      <c r="E5" s="117"/>
      <c r="F5" s="117"/>
      <c r="G5" s="103"/>
    </row>
    <row r="6" spans="1:7" ht="16" thickBot="1" x14ac:dyDescent="0.4">
      <c r="A6" s="105"/>
      <c r="B6" s="166" t="s">
        <v>197</v>
      </c>
      <c r="C6" s="167" t="s">
        <v>23</v>
      </c>
      <c r="D6" s="168" t="s">
        <v>749</v>
      </c>
      <c r="E6" s="768" t="s">
        <v>748</v>
      </c>
      <c r="F6" s="769"/>
      <c r="G6" s="103"/>
    </row>
    <row r="7" spans="1:7" ht="16" thickBot="1" x14ac:dyDescent="0.4">
      <c r="A7" s="105"/>
      <c r="B7" s="169" t="s">
        <v>198</v>
      </c>
      <c r="C7" s="155" t="s">
        <v>199</v>
      </c>
      <c r="D7" s="148">
        <f ca="1">P!B9</f>
        <v>0</v>
      </c>
      <c r="E7" s="108"/>
      <c r="F7" s="107"/>
      <c r="G7" s="106"/>
    </row>
    <row r="8" spans="1:7" ht="15.5" x14ac:dyDescent="0.35">
      <c r="A8" s="105"/>
      <c r="B8" s="170" t="s">
        <v>200</v>
      </c>
      <c r="C8" s="156" t="s">
        <v>201</v>
      </c>
      <c r="D8" s="149">
        <f ca="1">P!C9</f>
        <v>0</v>
      </c>
      <c r="E8" s="112" t="s">
        <v>747</v>
      </c>
      <c r="F8" s="111"/>
      <c r="G8" s="106"/>
    </row>
    <row r="9" spans="1:7" ht="15.5" x14ac:dyDescent="0.35">
      <c r="A9" s="105"/>
      <c r="B9" s="171" t="s">
        <v>202</v>
      </c>
      <c r="C9" s="157" t="s">
        <v>203</v>
      </c>
      <c r="D9" s="176"/>
      <c r="E9" s="110" t="s">
        <v>204</v>
      </c>
      <c r="F9" s="109"/>
      <c r="G9" s="106"/>
    </row>
    <row r="10" spans="1:7" ht="15.5" x14ac:dyDescent="0.35">
      <c r="A10" s="105"/>
      <c r="B10" s="171" t="s">
        <v>205</v>
      </c>
      <c r="C10" s="157" t="s">
        <v>206</v>
      </c>
      <c r="D10" s="176"/>
      <c r="E10" s="110"/>
      <c r="F10" s="109"/>
      <c r="G10" s="106"/>
    </row>
    <row r="11" spans="1:7" ht="15.5" x14ac:dyDescent="0.35">
      <c r="A11" s="105"/>
      <c r="B11" s="171" t="s">
        <v>207</v>
      </c>
      <c r="C11" s="157" t="s">
        <v>208</v>
      </c>
      <c r="D11" s="176"/>
      <c r="E11" s="110"/>
      <c r="F11" s="109"/>
      <c r="G11" s="106"/>
    </row>
    <row r="12" spans="1:7" ht="15.5" x14ac:dyDescent="0.35">
      <c r="A12" s="105"/>
      <c r="B12" s="171" t="s">
        <v>209</v>
      </c>
      <c r="C12" s="157" t="s">
        <v>210</v>
      </c>
      <c r="D12" s="176"/>
      <c r="E12" s="110"/>
      <c r="F12" s="109"/>
      <c r="G12" s="106"/>
    </row>
    <row r="13" spans="1:7" ht="15.5" x14ac:dyDescent="0.35">
      <c r="A13" s="105"/>
      <c r="B13" s="171" t="s">
        <v>211</v>
      </c>
      <c r="C13" s="157" t="s">
        <v>212</v>
      </c>
      <c r="D13" s="176"/>
      <c r="E13" s="110"/>
      <c r="F13" s="109"/>
      <c r="G13" s="106"/>
    </row>
    <row r="14" spans="1:7" ht="16" thickBot="1" x14ac:dyDescent="0.4">
      <c r="A14" s="105"/>
      <c r="B14" s="169" t="s">
        <v>213</v>
      </c>
      <c r="C14" s="155" t="s">
        <v>214</v>
      </c>
      <c r="D14" s="177"/>
      <c r="E14" s="108"/>
      <c r="F14" s="107"/>
      <c r="G14" s="106"/>
    </row>
    <row r="15" spans="1:7" ht="16" thickBot="1" x14ac:dyDescent="0.4">
      <c r="A15" s="105"/>
      <c r="B15" s="172" t="s">
        <v>215</v>
      </c>
      <c r="C15" s="158" t="s">
        <v>158</v>
      </c>
      <c r="D15" s="148">
        <f ca="1">P!D9</f>
        <v>0</v>
      </c>
      <c r="E15" s="116" t="s">
        <v>216</v>
      </c>
      <c r="F15" s="115"/>
      <c r="G15" s="106"/>
    </row>
    <row r="16" spans="1:7" ht="15.5" x14ac:dyDescent="0.35">
      <c r="A16" s="105"/>
      <c r="B16" s="173" t="s">
        <v>217</v>
      </c>
      <c r="C16" s="156" t="s">
        <v>218</v>
      </c>
      <c r="D16" s="149">
        <f>P!M9</f>
        <v>0</v>
      </c>
      <c r="E16" s="112" t="s">
        <v>219</v>
      </c>
      <c r="F16" s="111"/>
      <c r="G16" s="106"/>
    </row>
    <row r="17" spans="1:7" ht="15.5" x14ac:dyDescent="0.35">
      <c r="A17" s="105"/>
      <c r="B17" s="174" t="s">
        <v>220</v>
      </c>
      <c r="C17" s="157" t="s">
        <v>221</v>
      </c>
      <c r="D17" s="150">
        <f>P!N9+P!O9</f>
        <v>0</v>
      </c>
      <c r="E17" s="110"/>
      <c r="F17" s="109"/>
      <c r="G17" s="106"/>
    </row>
    <row r="18" spans="1:7" ht="15.5" x14ac:dyDescent="0.35">
      <c r="A18" s="105"/>
      <c r="B18" s="174" t="s">
        <v>222</v>
      </c>
      <c r="C18" s="157" t="s">
        <v>223</v>
      </c>
      <c r="D18" s="150"/>
      <c r="E18" s="114" t="s">
        <v>224</v>
      </c>
      <c r="F18" s="109"/>
      <c r="G18" s="106"/>
    </row>
    <row r="19" spans="1:7" ht="15.5" x14ac:dyDescent="0.35">
      <c r="A19" s="105"/>
      <c r="B19" s="174" t="s">
        <v>225</v>
      </c>
      <c r="C19" s="157" t="s">
        <v>226</v>
      </c>
      <c r="D19" s="150">
        <f>P!P9</f>
        <v>0</v>
      </c>
      <c r="E19" s="110" t="s">
        <v>227</v>
      </c>
      <c r="F19" s="109"/>
      <c r="G19" s="106"/>
    </row>
    <row r="20" spans="1:7" ht="15.5" x14ac:dyDescent="0.35">
      <c r="A20" s="105"/>
      <c r="B20" s="174" t="s">
        <v>228</v>
      </c>
      <c r="C20" s="157" t="s">
        <v>229</v>
      </c>
      <c r="D20" s="150">
        <f>P!G48</f>
        <v>0</v>
      </c>
      <c r="E20" s="110" t="s">
        <v>230</v>
      </c>
      <c r="F20" s="109"/>
      <c r="G20" s="106"/>
    </row>
    <row r="21" spans="1:7" ht="15.5" x14ac:dyDescent="0.35">
      <c r="A21" s="105"/>
      <c r="B21" s="174" t="s">
        <v>231</v>
      </c>
      <c r="C21" s="159" t="s">
        <v>232</v>
      </c>
      <c r="D21" s="150">
        <f>P!G49</f>
        <v>0</v>
      </c>
      <c r="E21" s="110" t="s">
        <v>233</v>
      </c>
      <c r="F21" s="109"/>
      <c r="G21" s="106"/>
    </row>
    <row r="22" spans="1:7" ht="15.5" x14ac:dyDescent="0.35">
      <c r="A22" s="105"/>
      <c r="B22" s="174" t="s">
        <v>234</v>
      </c>
      <c r="C22" s="157" t="s">
        <v>235</v>
      </c>
      <c r="D22" s="150">
        <f>P!G50</f>
        <v>0</v>
      </c>
      <c r="E22" s="110" t="s">
        <v>746</v>
      </c>
      <c r="F22" s="109"/>
      <c r="G22" s="106"/>
    </row>
    <row r="23" spans="1:7" ht="15.5" x14ac:dyDescent="0.35">
      <c r="A23" s="105"/>
      <c r="B23" s="174" t="s">
        <v>236</v>
      </c>
      <c r="C23" s="157" t="s">
        <v>237</v>
      </c>
      <c r="D23" s="150">
        <f>P!G51</f>
        <v>0</v>
      </c>
      <c r="E23" s="110" t="s">
        <v>745</v>
      </c>
      <c r="F23" s="109"/>
      <c r="G23" s="106"/>
    </row>
    <row r="24" spans="1:7" ht="15.5" x14ac:dyDescent="0.35">
      <c r="A24" s="105"/>
      <c r="B24" s="174" t="s">
        <v>238</v>
      </c>
      <c r="C24" s="157" t="s">
        <v>239</v>
      </c>
      <c r="D24" s="150">
        <f>P!R9</f>
        <v>0</v>
      </c>
      <c r="E24" s="110" t="s">
        <v>240</v>
      </c>
      <c r="F24" s="109"/>
      <c r="G24" s="106"/>
    </row>
    <row r="25" spans="1:7" ht="16" thickBot="1" x14ac:dyDescent="0.4">
      <c r="A25" s="105"/>
      <c r="B25" s="175" t="s">
        <v>241</v>
      </c>
      <c r="C25" s="155" t="s">
        <v>242</v>
      </c>
      <c r="D25" s="151">
        <f>P!S9</f>
        <v>0</v>
      </c>
      <c r="E25" s="108" t="s">
        <v>243</v>
      </c>
      <c r="F25" s="107"/>
      <c r="G25" s="106"/>
    </row>
    <row r="26" spans="1:7" ht="15.5" x14ac:dyDescent="0.35">
      <c r="A26" s="105"/>
      <c r="B26" s="170" t="s">
        <v>244</v>
      </c>
      <c r="C26" s="156" t="s">
        <v>159</v>
      </c>
      <c r="D26" s="149">
        <f ca="1">P!E9</f>
        <v>0</v>
      </c>
      <c r="E26" s="113" t="s">
        <v>744</v>
      </c>
      <c r="F26" s="111"/>
      <c r="G26" s="106"/>
    </row>
    <row r="27" spans="1:7" ht="15.5" x14ac:dyDescent="0.35">
      <c r="A27" s="105"/>
      <c r="B27" s="171" t="s">
        <v>245</v>
      </c>
      <c r="C27" s="157" t="s">
        <v>160</v>
      </c>
      <c r="D27" s="150">
        <f ca="1">P!F9</f>
        <v>0</v>
      </c>
      <c r="E27" s="110" t="s">
        <v>743</v>
      </c>
      <c r="F27" s="109"/>
      <c r="G27" s="106"/>
    </row>
    <row r="28" spans="1:7" ht="15.5" x14ac:dyDescent="0.35">
      <c r="A28" s="105"/>
      <c r="B28" s="171" t="s">
        <v>246</v>
      </c>
      <c r="C28" s="157" t="s">
        <v>161</v>
      </c>
      <c r="D28" s="150">
        <f ca="1">P!G9</f>
        <v>0</v>
      </c>
      <c r="E28" s="110" t="s">
        <v>247</v>
      </c>
      <c r="F28" s="109"/>
      <c r="G28" s="106"/>
    </row>
    <row r="29" spans="1:7" ht="15.5" x14ac:dyDescent="0.35">
      <c r="A29" s="105"/>
      <c r="B29" s="171" t="s">
        <v>248</v>
      </c>
      <c r="C29" s="157" t="s">
        <v>162</v>
      </c>
      <c r="D29" s="150">
        <f ca="1">P!H9</f>
        <v>0</v>
      </c>
      <c r="E29" s="110" t="s">
        <v>249</v>
      </c>
      <c r="F29" s="109"/>
      <c r="G29" s="106"/>
    </row>
    <row r="30" spans="1:7" ht="15.5" x14ac:dyDescent="0.35">
      <c r="A30" s="105"/>
      <c r="B30" s="171" t="s">
        <v>250</v>
      </c>
      <c r="C30" s="157" t="s">
        <v>163</v>
      </c>
      <c r="D30" s="150">
        <f ca="1">P!I9</f>
        <v>0</v>
      </c>
      <c r="E30" s="110"/>
      <c r="F30" s="109"/>
      <c r="G30" s="106"/>
    </row>
    <row r="31" spans="1:7" ht="15.5" x14ac:dyDescent="0.35">
      <c r="A31" s="105"/>
      <c r="B31" s="171" t="s">
        <v>251</v>
      </c>
      <c r="C31" s="157" t="s">
        <v>164</v>
      </c>
      <c r="D31" s="150">
        <f ca="1">P!J9</f>
        <v>0</v>
      </c>
      <c r="E31" s="110" t="s">
        <v>252</v>
      </c>
      <c r="F31" s="109"/>
      <c r="G31" s="106"/>
    </row>
    <row r="32" spans="1:7" ht="15.5" x14ac:dyDescent="0.35">
      <c r="A32" s="105"/>
      <c r="B32" s="171" t="s">
        <v>253</v>
      </c>
      <c r="C32" s="157" t="s">
        <v>165</v>
      </c>
      <c r="D32" s="150">
        <f ca="1">P!K9</f>
        <v>0</v>
      </c>
      <c r="E32" s="110" t="s">
        <v>254</v>
      </c>
      <c r="F32" s="109"/>
      <c r="G32" s="106"/>
    </row>
    <row r="33" spans="1:7" ht="16" thickBot="1" x14ac:dyDescent="0.4">
      <c r="A33" s="105"/>
      <c r="B33" s="169" t="s">
        <v>255</v>
      </c>
      <c r="C33" s="155" t="s">
        <v>256</v>
      </c>
      <c r="D33" s="151">
        <f ca="1">P!L9</f>
        <v>0</v>
      </c>
      <c r="E33" s="108" t="s">
        <v>257</v>
      </c>
      <c r="F33" s="107"/>
      <c r="G33" s="106"/>
    </row>
    <row r="34" spans="1:7" ht="15.5" x14ac:dyDescent="0.35">
      <c r="A34" s="105"/>
      <c r="B34" s="170" t="s">
        <v>258</v>
      </c>
      <c r="C34" s="156" t="s">
        <v>259</v>
      </c>
      <c r="D34" s="149">
        <f>P!G42</f>
        <v>0</v>
      </c>
      <c r="E34" s="112"/>
      <c r="F34" s="111"/>
      <c r="G34" s="106"/>
    </row>
    <row r="35" spans="1:7" ht="15.5" x14ac:dyDescent="0.35">
      <c r="A35" s="105"/>
      <c r="B35" s="171" t="s">
        <v>260</v>
      </c>
      <c r="C35" s="157" t="s">
        <v>261</v>
      </c>
      <c r="D35" s="150">
        <f>P!G43</f>
        <v>0</v>
      </c>
      <c r="E35" s="110"/>
      <c r="F35" s="109"/>
      <c r="G35" s="106"/>
    </row>
    <row r="36" spans="1:7" ht="15.5" x14ac:dyDescent="0.35">
      <c r="A36" s="105"/>
      <c r="B36" s="171" t="s">
        <v>262</v>
      </c>
      <c r="C36" s="157" t="s">
        <v>263</v>
      </c>
      <c r="D36" s="150">
        <f>P!G44</f>
        <v>0</v>
      </c>
      <c r="E36" s="110"/>
      <c r="F36" s="109"/>
      <c r="G36" s="106"/>
    </row>
    <row r="37" spans="1:7" ht="15.5" x14ac:dyDescent="0.35">
      <c r="A37" s="105"/>
      <c r="B37" s="171" t="s">
        <v>264</v>
      </c>
      <c r="C37" s="157" t="s">
        <v>265</v>
      </c>
      <c r="D37" s="150">
        <f>P!G45</f>
        <v>0</v>
      </c>
      <c r="E37" s="110"/>
      <c r="F37" s="109"/>
      <c r="G37" s="106"/>
    </row>
    <row r="38" spans="1:7" ht="15.5" x14ac:dyDescent="0.35">
      <c r="A38" s="105"/>
      <c r="B38" s="171" t="s">
        <v>266</v>
      </c>
      <c r="C38" s="157" t="s">
        <v>267</v>
      </c>
      <c r="D38" s="150">
        <f>P!G46</f>
        <v>0</v>
      </c>
      <c r="E38" s="110"/>
      <c r="F38" s="109"/>
      <c r="G38" s="106"/>
    </row>
    <row r="39" spans="1:7" ht="16" thickBot="1" x14ac:dyDescent="0.4">
      <c r="A39" s="105"/>
      <c r="B39" s="169" t="s">
        <v>268</v>
      </c>
      <c r="C39" s="155" t="s">
        <v>269</v>
      </c>
      <c r="D39" s="151">
        <f>P!G47</f>
        <v>0</v>
      </c>
      <c r="E39" s="108"/>
      <c r="F39" s="107"/>
      <c r="G39" s="106"/>
    </row>
    <row r="40" spans="1:7" ht="16" thickBot="1" x14ac:dyDescent="0.4">
      <c r="A40" s="105"/>
      <c r="B40" s="172" t="s">
        <v>270</v>
      </c>
      <c r="C40" s="158" t="s">
        <v>271</v>
      </c>
      <c r="D40" s="152">
        <f ca="1">P!T9</f>
        <v>0</v>
      </c>
      <c r="E40" s="178" t="s">
        <v>272</v>
      </c>
      <c r="F40" s="179"/>
      <c r="G40" s="106"/>
    </row>
    <row r="41" spans="1:7" ht="16" thickBot="1" x14ac:dyDescent="0.4">
      <c r="A41" s="105"/>
      <c r="B41" s="172"/>
      <c r="C41" s="437" t="s">
        <v>983</v>
      </c>
      <c r="D41" s="152">
        <f ca="1">P!Q9</f>
        <v>0</v>
      </c>
      <c r="E41" s="178" t="s">
        <v>984</v>
      </c>
      <c r="F41" s="179"/>
      <c r="G41" s="106"/>
    </row>
    <row r="42" spans="1:7" ht="11.25" customHeight="1" x14ac:dyDescent="0.35">
      <c r="A42" s="105"/>
      <c r="B42" s="104"/>
      <c r="C42" s="160"/>
      <c r="D42" s="104"/>
      <c r="E42" s="104"/>
      <c r="F42" s="104"/>
      <c r="G42" s="103"/>
    </row>
    <row r="43" spans="1:7" ht="15" thickBot="1" x14ac:dyDescent="0.4">
      <c r="A43" s="102"/>
      <c r="B43" s="101"/>
      <c r="C43" s="161"/>
      <c r="D43" s="101"/>
      <c r="E43" s="101"/>
      <c r="F43" s="101"/>
      <c r="G43" s="100"/>
    </row>
  </sheetData>
  <sheetProtection sheet="1" selectLockedCells="1"/>
  <mergeCells count="1">
    <mergeCell ref="E6:F6"/>
  </mergeCells>
  <pageMargins left="0.25" right="0.25" top="0.75" bottom="0.75" header="0.3" footer="0.3"/>
  <pageSetup scale="92" orientation="portrait" r:id="rId1"/>
  <headerFooter>
    <oddHeader>&amp;C&amp;"-,Bold"&amp;16Cost Codes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A540-AA05-4914-AC1D-4F5F10E7D50A}">
  <sheetPr>
    <tabColor rgb="FFFFFF00"/>
    <pageSetUpPr fitToPage="1"/>
  </sheetPr>
  <dimension ref="A1:Q1048576"/>
  <sheetViews>
    <sheetView showGridLines="0" zoomScale="70" zoomScaleNormal="70" zoomScaleSheetLayoutView="70" workbookViewId="0">
      <selection activeCell="L10" sqref="L10"/>
    </sheetView>
  </sheetViews>
  <sheetFormatPr defaultColWidth="0" defaultRowHeight="0" customHeight="1" zeroHeight="1" x14ac:dyDescent="0.35"/>
  <cols>
    <col min="1" max="1" width="6.36328125" style="185" customWidth="1"/>
    <col min="2" max="2" width="22.08984375" style="666" bestFit="1" customWidth="1"/>
    <col min="3" max="3" width="15.26953125" style="180" bestFit="1" customWidth="1"/>
    <col min="4" max="4" width="11.81640625" style="180" bestFit="1" customWidth="1"/>
    <col min="5" max="5" width="19.1796875" style="180" bestFit="1" customWidth="1"/>
    <col min="6" max="6" width="14.54296875" style="180" bestFit="1" customWidth="1"/>
    <col min="7" max="7" width="23.26953125" style="180" bestFit="1" customWidth="1"/>
    <col min="8" max="8" width="24.08984375" style="180" bestFit="1" customWidth="1"/>
    <col min="9" max="9" width="20.7265625" style="180" bestFit="1" customWidth="1"/>
    <col min="10" max="10" width="25.453125" style="187" bestFit="1" customWidth="1"/>
    <col min="11" max="11" width="1.7265625" style="180" customWidth="1"/>
    <col min="12" max="12" width="20.08984375" style="180" customWidth="1"/>
    <col min="13" max="13" width="25.1796875" style="180" customWidth="1"/>
    <col min="14" max="14" width="19.26953125" style="180" customWidth="1"/>
    <col min="15" max="15" width="8.90625" style="180" customWidth="1"/>
    <col min="16" max="16" width="23.26953125" style="180" customWidth="1"/>
    <col min="17" max="17" width="15.81640625" style="180" customWidth="1"/>
    <col min="18" max="16384" width="8.90625" style="180" hidden="1"/>
  </cols>
  <sheetData>
    <row r="1" spans="1:17" ht="9.75" customHeight="1" thickBot="1" x14ac:dyDescent="0.4">
      <c r="A1" s="180"/>
      <c r="B1" s="181"/>
      <c r="J1" s="180"/>
    </row>
    <row r="2" spans="1:17" ht="25.9" customHeight="1" thickBot="1" x14ac:dyDescent="0.4">
      <c r="A2" s="180"/>
      <c r="B2" s="697" t="s">
        <v>1013</v>
      </c>
      <c r="C2" s="697"/>
      <c r="D2" s="697"/>
      <c r="E2" s="697"/>
      <c r="F2" s="697"/>
      <c r="G2" s="697"/>
      <c r="H2" s="697"/>
      <c r="I2" s="697"/>
      <c r="J2" s="697"/>
      <c r="L2" s="543" t="s">
        <v>1014</v>
      </c>
      <c r="M2" s="11" t="s">
        <v>735</v>
      </c>
      <c r="N2" s="96">
        <v>46086</v>
      </c>
      <c r="O2" s="7"/>
      <c r="P2" s="11" t="s">
        <v>716</v>
      </c>
      <c r="Q2" s="470">
        <v>0.1</v>
      </c>
    </row>
    <row r="3" spans="1:17" ht="30" customHeight="1" thickBot="1" x14ac:dyDescent="0.4">
      <c r="A3" s="182"/>
      <c r="B3" s="776" t="s">
        <v>1086</v>
      </c>
      <c r="C3" s="777"/>
      <c r="D3" s="777"/>
      <c r="E3" s="777"/>
      <c r="F3" s="777"/>
      <c r="G3" s="777"/>
      <c r="H3" s="777"/>
      <c r="I3" s="777"/>
      <c r="J3" s="778"/>
      <c r="K3" s="184"/>
      <c r="L3" s="544">
        <v>3.8</v>
      </c>
      <c r="M3" s="97" t="s">
        <v>736</v>
      </c>
      <c r="N3" s="98">
        <v>45875</v>
      </c>
      <c r="O3" s="7"/>
      <c r="P3" s="7"/>
      <c r="Q3" s="12"/>
    </row>
    <row r="4" spans="1:17" ht="16" thickBot="1" x14ac:dyDescent="0.4">
      <c r="B4" s="146" t="str">
        <f>IF(INFO!B2=0,"",INFO!B2)</f>
        <v>Project Name:</v>
      </c>
      <c r="C4" s="690" t="str">
        <f>IF(INFO!C2=0,"",INFO!C2)</f>
        <v/>
      </c>
      <c r="D4" s="691"/>
      <c r="E4" s="692"/>
      <c r="G4" s="716" t="str">
        <f>IF(INFO!H2=0,"",INFO!H2)</f>
        <v>Job #:</v>
      </c>
      <c r="H4" s="717"/>
      <c r="I4" s="714" t="str">
        <f>IF(INFO!I2=0,"",INFO!I2)</f>
        <v/>
      </c>
      <c r="J4" s="715"/>
      <c r="L4" s="675"/>
      <c r="M4" s="11" t="s">
        <v>737</v>
      </c>
      <c r="N4" s="96">
        <f ca="1">TODAY()</f>
        <v>46100</v>
      </c>
      <c r="O4" s="7"/>
      <c r="P4" s="11" t="s">
        <v>717</v>
      </c>
      <c r="Q4" s="470">
        <v>0.1</v>
      </c>
    </row>
    <row r="5" spans="1:17" s="123" customFormat="1" ht="11.25" customHeight="1" thickBot="1" x14ac:dyDescent="0.4">
      <c r="A5" s="124"/>
      <c r="B5" s="665"/>
      <c r="C5" s="127"/>
      <c r="H5" s="127"/>
      <c r="I5" s="127"/>
      <c r="J5" s="126"/>
      <c r="L5" s="676"/>
      <c r="M5" s="7"/>
      <c r="N5" s="8"/>
      <c r="O5" s="7"/>
      <c r="P5" s="7"/>
      <c r="Q5" s="7"/>
    </row>
    <row r="6" spans="1:17" ht="16" thickBot="1" x14ac:dyDescent="0.4">
      <c r="B6" s="147" t="str">
        <f>IF(INFO!B4=0,"",INFO!B4)</f>
        <v>Project Manager:</v>
      </c>
      <c r="C6" s="690" t="str">
        <f>IF(INFO!C4=0,"",INFO!C4)</f>
        <v/>
      </c>
      <c r="D6" s="691"/>
      <c r="E6" s="692"/>
      <c r="G6" s="716" t="str">
        <f>IF(INFO!F4=0,"",INFO!F4)</f>
        <v>Super/Foreman:</v>
      </c>
      <c r="H6" s="717"/>
      <c r="I6" s="714" t="str">
        <f>IF(INFO!H4=0,"",INFO!H4)</f>
        <v/>
      </c>
      <c r="J6" s="715"/>
      <c r="L6" s="7"/>
      <c r="M6" s="11" t="s">
        <v>151</v>
      </c>
      <c r="N6" s="10" t="s">
        <v>152</v>
      </c>
      <c r="O6" s="7"/>
      <c r="P6" s="11" t="s">
        <v>978</v>
      </c>
      <c r="Q6" s="470">
        <v>0.1</v>
      </c>
    </row>
    <row r="7" spans="1:17" s="123" customFormat="1" ht="11.25" customHeight="1" thickBot="1" x14ac:dyDescent="0.4">
      <c r="A7" s="124"/>
      <c r="B7" s="665"/>
      <c r="C7" s="127"/>
      <c r="H7" s="127"/>
      <c r="I7" s="127"/>
      <c r="J7" s="126"/>
      <c r="L7" s="7"/>
      <c r="M7" s="7"/>
      <c r="N7" s="8"/>
      <c r="O7" s="7"/>
      <c r="P7" s="7"/>
      <c r="Q7" s="7"/>
    </row>
    <row r="8" spans="1:17" ht="16" thickBot="1" x14ac:dyDescent="0.4">
      <c r="B8" s="611" t="s">
        <v>755</v>
      </c>
      <c r="C8" s="612"/>
      <c r="D8" s="612"/>
      <c r="E8" s="612"/>
      <c r="F8" s="612"/>
      <c r="G8" s="612"/>
      <c r="H8" s="612"/>
      <c r="I8" s="612"/>
      <c r="J8" s="613"/>
      <c r="L8" s="7"/>
      <c r="M8" s="770" t="s">
        <v>1088</v>
      </c>
      <c r="N8" s="771"/>
      <c r="O8" s="771"/>
      <c r="P8" s="771"/>
      <c r="Q8" s="772"/>
    </row>
    <row r="9" spans="1:17" ht="15" customHeight="1" thickBot="1" x14ac:dyDescent="0.4">
      <c r="B9" s="665"/>
      <c r="C9" s="127"/>
      <c r="D9" s="123"/>
      <c r="E9" s="123"/>
      <c r="F9" s="123"/>
      <c r="G9" s="123"/>
      <c r="H9" s="127"/>
      <c r="I9" s="127"/>
      <c r="J9" s="126"/>
      <c r="L9" s="7"/>
      <c r="M9" s="773"/>
      <c r="N9" s="774"/>
      <c r="O9" s="774"/>
      <c r="P9" s="774"/>
      <c r="Q9" s="775"/>
    </row>
    <row r="10" spans="1:17" ht="16" thickBot="1" x14ac:dyDescent="0.4">
      <c r="B10" s="146" t="str">
        <f>IF(INFO!B18=0,"",INFO!B18)</f>
        <v>Ship To Address:</v>
      </c>
      <c r="C10" s="690" t="str">
        <f>IF(INFO!C18=0,"",INFO!C18)</f>
        <v/>
      </c>
      <c r="D10" s="691"/>
      <c r="E10" s="692"/>
      <c r="F10" s="710" t="s">
        <v>297</v>
      </c>
      <c r="G10" s="711"/>
      <c r="H10" s="690" t="str">
        <f>IF(INFO!H18=0,"",INFO!H18)</f>
        <v/>
      </c>
      <c r="I10" s="691"/>
      <c r="J10" s="692"/>
      <c r="L10" s="7"/>
      <c r="M10" s="7"/>
      <c r="N10" s="8"/>
      <c r="O10" s="7"/>
      <c r="P10" s="7"/>
      <c r="Q10" s="7"/>
    </row>
    <row r="11" spans="1:17" ht="16" thickBot="1" x14ac:dyDescent="0.4">
      <c r="C11" s="690" t="str">
        <f>IF(INFO!C19=0,"",INFO!C19)</f>
        <v/>
      </c>
      <c r="D11" s="691"/>
      <c r="E11" s="692"/>
      <c r="F11" s="125"/>
      <c r="G11" s="125"/>
      <c r="H11" s="690" t="str">
        <f>IF(INFO!H19=0,"",INFO!H19)</f>
        <v/>
      </c>
      <c r="I11" s="691"/>
      <c r="J11" s="692"/>
      <c r="L11" s="7"/>
      <c r="M11" s="7"/>
      <c r="N11" s="7"/>
      <c r="O11" s="7"/>
      <c r="P11" s="7"/>
      <c r="Q11" s="7"/>
    </row>
    <row r="12" spans="1:17" ht="16" thickBot="1" x14ac:dyDescent="0.4">
      <c r="C12" s="690" t="str">
        <f>IF(INFO!C20=0,"",INFO!C20)</f>
        <v/>
      </c>
      <c r="D12" s="691"/>
      <c r="E12" s="692"/>
      <c r="F12" s="125"/>
      <c r="G12" s="125"/>
      <c r="H12" s="690" t="str">
        <f>IF(INFO!H20=0,"",INFO!H20)</f>
        <v/>
      </c>
      <c r="I12" s="691"/>
      <c r="J12" s="692"/>
      <c r="L12" s="676"/>
      <c r="M12" s="7"/>
      <c r="N12" s="8"/>
      <c r="O12" s="7"/>
      <c r="P12" s="7"/>
      <c r="Q12" s="7"/>
    </row>
    <row r="13" spans="1:17" ht="16" thickBot="1" x14ac:dyDescent="0.4">
      <c r="C13" s="413" t="str">
        <f>IF(INFO!C21=0,"",INFO!C21)</f>
        <v/>
      </c>
      <c r="D13" s="413" t="str">
        <f>IF(INFO!D21=0,"",INFO!D21)</f>
        <v/>
      </c>
      <c r="E13" s="196" t="str">
        <f>IF(INFO!E21=0,"",INFO!E21)</f>
        <v/>
      </c>
      <c r="H13" s="413" t="str">
        <f>IF(INFO!H21=0,"",INFO!H21)</f>
        <v/>
      </c>
      <c r="I13" s="413" t="str">
        <f>IF(INFO!I21=0,"",INFO!I21)</f>
        <v/>
      </c>
      <c r="J13" s="196" t="str">
        <f>IF(INFO!J21=0,"",INFO!J21)</f>
        <v/>
      </c>
      <c r="L13" s="676"/>
      <c r="M13" s="7"/>
      <c r="N13" s="8"/>
      <c r="O13" s="7"/>
      <c r="P13" s="7"/>
      <c r="Q13" s="7"/>
    </row>
    <row r="14" spans="1:17" ht="16" thickBot="1" x14ac:dyDescent="0.4">
      <c r="C14" s="458" t="s">
        <v>993</v>
      </c>
      <c r="D14" s="458" t="s">
        <v>994</v>
      </c>
      <c r="E14" s="458" t="s">
        <v>995</v>
      </c>
      <c r="H14" s="458" t="s">
        <v>993</v>
      </c>
      <c r="I14" s="458" t="s">
        <v>994</v>
      </c>
      <c r="J14" s="458" t="s">
        <v>995</v>
      </c>
      <c r="L14" s="7"/>
      <c r="M14" s="7"/>
      <c r="N14" s="7"/>
      <c r="O14" s="7"/>
      <c r="P14" s="7"/>
      <c r="Q14" s="7"/>
    </row>
    <row r="15" spans="1:17" ht="16" thickBot="1" x14ac:dyDescent="0.4">
      <c r="B15" s="665"/>
      <c r="C15" s="127"/>
      <c r="D15" s="123"/>
      <c r="E15" s="123"/>
      <c r="F15" s="123"/>
      <c r="G15" s="123"/>
      <c r="H15" s="127"/>
      <c r="I15" s="127"/>
      <c r="J15" s="126"/>
      <c r="L15" s="7"/>
      <c r="M15" s="7"/>
      <c r="N15" s="7"/>
      <c r="O15" s="7"/>
      <c r="P15" s="7"/>
      <c r="Q15" s="7"/>
    </row>
    <row r="16" spans="1:17" ht="16" thickBot="1" x14ac:dyDescent="0.4">
      <c r="B16" s="146" t="str">
        <f>IF(INFO!B24=0,"",INFO!B24)</f>
        <v>Site Contact:</v>
      </c>
      <c r="C16" s="690" t="str">
        <f>IF(INFO!C24=0,"",INFO!C24)</f>
        <v/>
      </c>
      <c r="D16" s="691"/>
      <c r="E16" s="692"/>
      <c r="G16" s="710" t="str">
        <f>IF(INFO!G24=0,"",INFO!G24)</f>
        <v>Union:</v>
      </c>
      <c r="H16" s="711"/>
      <c r="I16" s="186" t="str">
        <f>IF(INFO!I24=0,"",INFO!I24)</f>
        <v>x</v>
      </c>
      <c r="L16" s="7"/>
      <c r="M16" s="7"/>
      <c r="N16" s="7"/>
      <c r="O16" s="7"/>
      <c r="P16" s="7"/>
      <c r="Q16" s="7"/>
    </row>
    <row r="17" spans="1:17" s="123" customFormat="1" ht="16.5" customHeight="1" thickBot="1" x14ac:dyDescent="0.4">
      <c r="A17" s="124"/>
      <c r="B17" s="667"/>
      <c r="C17" s="690" t="str">
        <f>IF(INFO!C25=0,"",INFO!C25)</f>
        <v/>
      </c>
      <c r="D17" s="691"/>
      <c r="E17" s="692"/>
      <c r="F17" s="180"/>
      <c r="G17" s="710" t="str">
        <f>IF(INFO!G15=0,"",INFO!G15)</f>
        <v/>
      </c>
      <c r="H17" s="711"/>
      <c r="I17" s="186" t="str">
        <f>IF(INFO!I15=0,"",INFO!I25)</f>
        <v/>
      </c>
      <c r="J17" s="187"/>
      <c r="L17" s="7"/>
      <c r="M17" s="7"/>
      <c r="N17" s="8"/>
      <c r="O17" s="7"/>
      <c r="P17" s="7"/>
      <c r="Q17" s="7"/>
    </row>
    <row r="18" spans="1:17" ht="16" thickBot="1" x14ac:dyDescent="0.4">
      <c r="B18" s="667"/>
      <c r="C18" s="690" t="str">
        <f>IF(INFO!C26=0,"",INFO!C26)</f>
        <v/>
      </c>
      <c r="D18" s="691"/>
      <c r="E18" s="692"/>
      <c r="G18" s="710" t="str">
        <f>IF(INFO!G16=0,"",INFO!G16)</f>
        <v/>
      </c>
      <c r="H18" s="711"/>
      <c r="I18" s="186" t="str">
        <f>IF(INFO!I16=0,"",INFO!I26)</f>
        <v/>
      </c>
      <c r="L18" s="7"/>
      <c r="M18" s="7"/>
      <c r="N18" s="8"/>
      <c r="O18" s="7"/>
      <c r="P18" s="7"/>
      <c r="Q18" s="7"/>
    </row>
    <row r="19" spans="1:17" s="123" customFormat="1" ht="11.25" customHeight="1" x14ac:dyDescent="0.35">
      <c r="A19" s="124"/>
      <c r="B19" s="665"/>
      <c r="C19" s="127"/>
      <c r="H19" s="127"/>
      <c r="I19" s="127"/>
      <c r="J19" s="126"/>
      <c r="L19" s="7"/>
      <c r="M19" s="7"/>
      <c r="N19" s="8"/>
      <c r="O19" s="7"/>
      <c r="P19" s="7"/>
      <c r="Q19" s="7"/>
    </row>
    <row r="20" spans="1:17" s="678" customFormat="1" ht="29" customHeight="1" x14ac:dyDescent="0.35">
      <c r="A20" s="677"/>
      <c r="B20" s="780" t="s">
        <v>1087</v>
      </c>
      <c r="C20" s="781"/>
      <c r="D20" s="781"/>
      <c r="E20" s="781"/>
      <c r="F20" s="781"/>
      <c r="G20" s="781"/>
      <c r="H20" s="781"/>
      <c r="I20" s="781"/>
      <c r="J20" s="782"/>
      <c r="L20" s="7"/>
      <c r="M20" s="7"/>
      <c r="N20" s="8"/>
      <c r="O20" s="7"/>
      <c r="P20" s="7"/>
      <c r="Q20" s="7"/>
    </row>
    <row r="21" spans="1:17" ht="15.5" x14ac:dyDescent="0.35">
      <c r="B21" s="668" t="s">
        <v>23</v>
      </c>
      <c r="C21" s="649" t="s">
        <v>27</v>
      </c>
      <c r="D21" s="579" t="s">
        <v>742</v>
      </c>
      <c r="E21" s="649" t="s">
        <v>25</v>
      </c>
      <c r="F21" s="649" t="s">
        <v>24</v>
      </c>
      <c r="G21" s="649" t="s">
        <v>298</v>
      </c>
      <c r="H21" s="649" t="s">
        <v>299</v>
      </c>
      <c r="I21" s="649" t="s">
        <v>300</v>
      </c>
      <c r="J21" s="650" t="s">
        <v>301</v>
      </c>
      <c r="K21" s="779"/>
      <c r="L21" s="779"/>
      <c r="M21" s="779"/>
      <c r="N21" s="8"/>
      <c r="O21" s="7"/>
      <c r="P21" s="7"/>
      <c r="Q21" s="7"/>
    </row>
    <row r="22" spans="1:17" ht="15.5" x14ac:dyDescent="0.35">
      <c r="B22" s="669"/>
      <c r="C22" s="580"/>
      <c r="D22" s="651"/>
      <c r="E22" s="652"/>
      <c r="F22" s="653"/>
      <c r="G22" s="579"/>
      <c r="H22" s="653"/>
      <c r="I22" s="580"/>
      <c r="J22" s="654"/>
      <c r="L22" s="676"/>
      <c r="M22" s="7"/>
      <c r="N22" s="8"/>
      <c r="O22" s="7"/>
      <c r="P22" s="7"/>
      <c r="Q22" s="7"/>
    </row>
    <row r="23" spans="1:17" ht="15.5" x14ac:dyDescent="0.35">
      <c r="B23" s="669" t="s">
        <v>16</v>
      </c>
      <c r="C23" s="580"/>
      <c r="D23" s="579"/>
      <c r="E23" s="579"/>
      <c r="F23" s="585"/>
      <c r="G23" s="579"/>
      <c r="H23" s="586">
        <f>SUBTOTAL(109,PO_Summary3[Total Amount])</f>
        <v>0</v>
      </c>
      <c r="I23" s="579"/>
      <c r="J23" s="655"/>
      <c r="L23" s="676"/>
      <c r="M23" s="7"/>
      <c r="N23" s="8"/>
      <c r="O23" s="7"/>
      <c r="P23" s="7"/>
      <c r="Q23" s="7"/>
    </row>
    <row r="24" spans="1:17" ht="15.5" x14ac:dyDescent="0.35">
      <c r="B24" s="124"/>
      <c r="C24" s="123"/>
      <c r="D24" s="123"/>
      <c r="E24" s="123"/>
      <c r="F24" s="123"/>
      <c r="G24" s="123"/>
      <c r="H24" s="123"/>
      <c r="I24" s="123"/>
      <c r="J24" s="126"/>
      <c r="L24" s="676"/>
      <c r="M24" s="7"/>
      <c r="N24" s="8"/>
      <c r="O24" s="7"/>
      <c r="P24" s="7"/>
      <c r="Q24" s="7"/>
    </row>
    <row r="25" spans="1:17" s="123" customFormat="1" ht="15.5" x14ac:dyDescent="0.35">
      <c r="A25" s="124"/>
      <c r="B25" s="666"/>
      <c r="C25" s="180"/>
      <c r="D25" s="180"/>
      <c r="E25" s="180"/>
      <c r="F25" s="180"/>
      <c r="G25" s="180"/>
      <c r="H25" s="180"/>
      <c r="I25" s="180"/>
      <c r="J25" s="187"/>
      <c r="L25" s="676"/>
      <c r="M25" s="7"/>
      <c r="N25" s="8"/>
      <c r="O25" s="7"/>
      <c r="P25" s="7"/>
      <c r="Q25" s="7"/>
    </row>
    <row r="26" spans="1:17" ht="15.5" x14ac:dyDescent="0.35">
      <c r="L26" s="676"/>
      <c r="M26" s="7"/>
      <c r="N26" s="8"/>
      <c r="O26" s="7"/>
      <c r="P26" s="7"/>
      <c r="Q26" s="7"/>
    </row>
    <row r="27" spans="1:17" ht="15.5" x14ac:dyDescent="0.35">
      <c r="L27" s="676"/>
      <c r="M27" s="7"/>
      <c r="N27" s="8"/>
      <c r="O27" s="7"/>
      <c r="P27" s="7"/>
      <c r="Q27" s="7"/>
    </row>
    <row r="28" spans="1:17" ht="15.5" x14ac:dyDescent="0.35">
      <c r="L28" s="676"/>
      <c r="M28" s="7"/>
      <c r="N28" s="8"/>
      <c r="O28" s="7"/>
      <c r="P28" s="7"/>
      <c r="Q28" s="7"/>
    </row>
    <row r="29" spans="1:17" s="123" customFormat="1" ht="15.5" x14ac:dyDescent="0.35">
      <c r="A29" s="124"/>
      <c r="B29" s="666"/>
      <c r="C29" s="180"/>
      <c r="D29" s="180"/>
      <c r="E29" s="180"/>
      <c r="F29" s="180"/>
      <c r="G29" s="180"/>
      <c r="H29" s="180"/>
      <c r="I29" s="180"/>
      <c r="J29" s="187"/>
      <c r="L29" s="676"/>
      <c r="M29" s="7"/>
      <c r="N29" s="8"/>
      <c r="O29" s="7"/>
      <c r="P29" s="7"/>
      <c r="Q29" s="7"/>
    </row>
    <row r="30" spans="1:17" ht="15.5" x14ac:dyDescent="0.35">
      <c r="L30" s="676"/>
      <c r="M30" s="7"/>
      <c r="N30" s="8"/>
      <c r="O30" s="7"/>
      <c r="P30" s="7"/>
      <c r="Q30" s="7"/>
    </row>
    <row r="31" spans="1:17" s="123" customFormat="1" ht="15.5" x14ac:dyDescent="0.35">
      <c r="A31" s="124"/>
      <c r="B31" s="666"/>
      <c r="C31" s="180"/>
      <c r="D31" s="180"/>
      <c r="E31" s="180"/>
      <c r="F31" s="180"/>
      <c r="G31" s="180"/>
      <c r="H31" s="180"/>
      <c r="I31" s="180"/>
      <c r="J31" s="187"/>
      <c r="L31" s="676"/>
      <c r="M31" s="7"/>
      <c r="N31" s="8"/>
      <c r="O31" s="7"/>
      <c r="P31" s="7"/>
      <c r="Q31" s="7"/>
    </row>
    <row r="32" spans="1:17" ht="15.5" x14ac:dyDescent="0.35">
      <c r="K32" s="125"/>
      <c r="L32" s="676"/>
      <c r="M32" s="7"/>
      <c r="N32" s="8"/>
      <c r="O32" s="7"/>
      <c r="P32" s="7"/>
      <c r="Q32" s="7"/>
    </row>
    <row r="33" spans="1:17" ht="15.5" x14ac:dyDescent="0.35">
      <c r="K33" s="125"/>
      <c r="L33" s="676"/>
      <c r="M33" s="7"/>
      <c r="N33" s="8"/>
      <c r="O33" s="7"/>
      <c r="P33" s="7"/>
      <c r="Q33" s="7"/>
    </row>
    <row r="34" spans="1:17" ht="15.5" x14ac:dyDescent="0.35">
      <c r="K34" s="125"/>
    </row>
    <row r="35" spans="1:17" ht="15.5" x14ac:dyDescent="0.35"/>
    <row r="36" spans="1:17" s="123" customFormat="1" ht="15.5" x14ac:dyDescent="0.35">
      <c r="A36" s="124"/>
      <c r="B36" s="666"/>
      <c r="C36" s="180"/>
      <c r="D36" s="180"/>
      <c r="E36" s="180"/>
      <c r="F36" s="180"/>
      <c r="G36" s="180"/>
      <c r="H36" s="180"/>
      <c r="I36" s="180"/>
      <c r="J36" s="187"/>
    </row>
    <row r="37" spans="1:17" ht="15.5" x14ac:dyDescent="0.35"/>
    <row r="38" spans="1:17" s="123" customFormat="1" ht="15.5" x14ac:dyDescent="0.35">
      <c r="A38" s="124"/>
      <c r="B38" s="666"/>
      <c r="C38" s="180"/>
      <c r="D38" s="180"/>
      <c r="E38" s="180"/>
      <c r="F38" s="180"/>
      <c r="G38" s="180"/>
      <c r="H38" s="180"/>
      <c r="I38" s="180"/>
      <c r="J38" s="187"/>
    </row>
    <row r="39" spans="1:17" ht="15.5" x14ac:dyDescent="0.35"/>
    <row r="40" spans="1:17" ht="15.5" x14ac:dyDescent="0.35"/>
    <row r="41" spans="1:17" ht="15.5" x14ac:dyDescent="0.35"/>
    <row r="42" spans="1:17" ht="15.5" x14ac:dyDescent="0.35"/>
    <row r="43" spans="1:17" ht="15.5" x14ac:dyDescent="0.35"/>
    <row r="44" spans="1:17" ht="15.5" x14ac:dyDescent="0.35"/>
    <row r="45" spans="1:17" ht="15.5" x14ac:dyDescent="0.35"/>
    <row r="46" spans="1:17" ht="15.5" x14ac:dyDescent="0.35"/>
    <row r="47" spans="1:17" ht="15.5" x14ac:dyDescent="0.35"/>
    <row r="48" spans="1:17" s="123" customFormat="1" ht="15.5" x14ac:dyDescent="0.35">
      <c r="A48" s="124"/>
      <c r="B48" s="666"/>
      <c r="C48" s="180"/>
      <c r="D48" s="180"/>
      <c r="E48" s="180"/>
      <c r="F48" s="180"/>
      <c r="G48" s="180"/>
      <c r="H48" s="180"/>
      <c r="I48" s="180"/>
      <c r="J48" s="187"/>
    </row>
    <row r="49" spans="1:10" ht="15.5" x14ac:dyDescent="0.35"/>
    <row r="50" spans="1:10" s="123" customFormat="1" ht="15.5" x14ac:dyDescent="0.35">
      <c r="A50" s="124"/>
      <c r="B50" s="666"/>
      <c r="C50" s="180"/>
      <c r="D50" s="180"/>
      <c r="E50" s="180"/>
      <c r="F50" s="180"/>
      <c r="G50" s="180"/>
      <c r="H50" s="180"/>
      <c r="I50" s="180"/>
      <c r="J50" s="187"/>
    </row>
    <row r="51" spans="1:10" ht="15.5" x14ac:dyDescent="0.35"/>
    <row r="52" spans="1:10" ht="15.5" x14ac:dyDescent="0.35">
      <c r="B52" s="670"/>
      <c r="C52" s="388"/>
      <c r="D52" s="388"/>
      <c r="E52" s="388"/>
      <c r="F52" s="388"/>
      <c r="G52" s="656"/>
      <c r="H52" s="643"/>
      <c r="I52" s="644"/>
      <c r="J52" s="657"/>
    </row>
    <row r="53" spans="1:10" ht="15.5" x14ac:dyDescent="0.35">
      <c r="B53" s="670"/>
      <c r="C53" s="388"/>
      <c r="D53" s="388"/>
      <c r="E53" s="388"/>
      <c r="F53" s="388"/>
      <c r="G53" s="656"/>
      <c r="H53" s="643"/>
      <c r="I53" s="644"/>
      <c r="J53" s="657"/>
    </row>
    <row r="54" spans="1:10" ht="15.5" x14ac:dyDescent="0.35">
      <c r="B54" s="670"/>
      <c r="C54" s="388"/>
      <c r="D54" s="388"/>
      <c r="E54" s="388"/>
      <c r="F54" s="388"/>
      <c r="G54" s="656"/>
      <c r="H54" s="643"/>
      <c r="I54" s="644"/>
      <c r="J54" s="657"/>
    </row>
    <row r="55" spans="1:10" ht="15.5" x14ac:dyDescent="0.35">
      <c r="B55" s="670"/>
      <c r="C55" s="388"/>
      <c r="D55" s="388"/>
      <c r="E55" s="388"/>
      <c r="F55" s="388"/>
      <c r="G55" s="656"/>
      <c r="H55" s="643"/>
      <c r="I55" s="644"/>
      <c r="J55" s="657"/>
    </row>
    <row r="56" spans="1:10" ht="15.5" x14ac:dyDescent="0.35">
      <c r="B56" s="670"/>
      <c r="C56" s="388"/>
      <c r="D56" s="388"/>
      <c r="E56" s="388"/>
      <c r="F56" s="388"/>
      <c r="G56" s="656"/>
      <c r="H56" s="643"/>
      <c r="I56" s="644"/>
      <c r="J56" s="657"/>
    </row>
    <row r="57" spans="1:10" ht="15.5" x14ac:dyDescent="0.35">
      <c r="B57" s="670"/>
      <c r="C57" s="388"/>
      <c r="D57" s="388"/>
      <c r="E57" s="388"/>
      <c r="F57" s="388"/>
      <c r="G57" s="656"/>
      <c r="H57" s="643"/>
      <c r="I57" s="644"/>
      <c r="J57" s="657"/>
    </row>
    <row r="58" spans="1:10" ht="15.5" x14ac:dyDescent="0.35">
      <c r="B58" s="670"/>
      <c r="C58" s="388"/>
      <c r="D58" s="388"/>
      <c r="E58" s="388"/>
      <c r="F58" s="388"/>
      <c r="G58" s="656"/>
      <c r="H58" s="643"/>
      <c r="I58" s="644"/>
      <c r="J58" s="657"/>
    </row>
    <row r="59" spans="1:10" ht="15.5" x14ac:dyDescent="0.35">
      <c r="B59" s="670"/>
      <c r="C59" s="388"/>
      <c r="D59" s="388"/>
      <c r="E59" s="388"/>
      <c r="F59" s="388"/>
      <c r="G59" s="656"/>
      <c r="H59" s="643"/>
      <c r="I59" s="644"/>
      <c r="J59" s="657"/>
    </row>
    <row r="60" spans="1:10" ht="15.5" x14ac:dyDescent="0.35">
      <c r="B60" s="670"/>
      <c r="C60" s="388"/>
      <c r="D60" s="388"/>
      <c r="E60" s="388"/>
      <c r="F60" s="388"/>
      <c r="G60" s="656"/>
      <c r="H60" s="643"/>
      <c r="I60" s="644"/>
      <c r="J60" s="657"/>
    </row>
    <row r="61" spans="1:10" ht="15.5" x14ac:dyDescent="0.35">
      <c r="B61" s="670"/>
      <c r="C61" s="388"/>
      <c r="D61" s="388"/>
      <c r="E61" s="388"/>
      <c r="F61" s="388"/>
      <c r="G61" s="656"/>
      <c r="H61" s="643"/>
      <c r="I61" s="644"/>
      <c r="J61" s="657"/>
    </row>
    <row r="62" spans="1:10" ht="15.5" x14ac:dyDescent="0.35">
      <c r="B62" s="671"/>
      <c r="C62" s="658"/>
      <c r="D62" s="658"/>
      <c r="E62" s="658"/>
      <c r="F62" s="658"/>
      <c r="G62" s="658"/>
      <c r="H62" s="658"/>
      <c r="I62" s="658"/>
      <c r="J62" s="659"/>
    </row>
    <row r="63" spans="1:10" ht="15.5" x14ac:dyDescent="0.35">
      <c r="B63" s="787"/>
      <c r="C63" s="726"/>
      <c r="D63" s="726"/>
      <c r="E63" s="726"/>
      <c r="F63" s="726"/>
      <c r="G63" s="726"/>
      <c r="H63" s="726"/>
      <c r="I63" s="726"/>
      <c r="J63" s="788"/>
    </row>
    <row r="64" spans="1:10" ht="15.5" x14ac:dyDescent="0.35">
      <c r="B64" s="672"/>
      <c r="C64" s="498"/>
      <c r="D64" s="457"/>
      <c r="E64" s="457"/>
      <c r="F64" s="457"/>
      <c r="G64" s="457"/>
      <c r="H64" s="498"/>
      <c r="I64" s="498"/>
      <c r="J64" s="455"/>
    </row>
    <row r="65" spans="2:10" ht="15.5" x14ac:dyDescent="0.35">
      <c r="B65" s="673"/>
      <c r="C65" s="499"/>
      <c r="D65" s="499"/>
      <c r="E65" s="499"/>
      <c r="F65" s="499"/>
      <c r="G65" s="499"/>
      <c r="H65" s="499"/>
      <c r="I65" s="783"/>
      <c r="J65" s="784"/>
    </row>
    <row r="66" spans="2:10" ht="15.5" x14ac:dyDescent="0.35">
      <c r="B66" s="670"/>
      <c r="C66" s="388"/>
      <c r="D66" s="388"/>
      <c r="E66" s="388"/>
      <c r="F66" s="388"/>
      <c r="G66" s="656"/>
      <c r="H66" s="643"/>
      <c r="I66" s="645"/>
      <c r="J66" s="660"/>
    </row>
    <row r="67" spans="2:10" ht="15.5" x14ac:dyDescent="0.35">
      <c r="B67" s="670"/>
      <c r="C67" s="388"/>
      <c r="D67" s="388"/>
      <c r="E67" s="388"/>
      <c r="F67" s="388"/>
      <c r="G67" s="656"/>
      <c r="H67" s="643"/>
      <c r="I67" s="645"/>
      <c r="J67" s="660"/>
    </row>
    <row r="68" spans="2:10" ht="15.5" x14ac:dyDescent="0.35">
      <c r="B68" s="670"/>
      <c r="C68" s="388"/>
      <c r="D68" s="388"/>
      <c r="E68" s="388"/>
      <c r="F68" s="388"/>
      <c r="G68" s="656"/>
      <c r="H68" s="643"/>
      <c r="I68" s="645"/>
      <c r="J68" s="660"/>
    </row>
    <row r="69" spans="2:10" ht="15.5" x14ac:dyDescent="0.35">
      <c r="B69" s="670"/>
      <c r="C69" s="388"/>
      <c r="D69" s="388"/>
      <c r="E69" s="388"/>
      <c r="F69" s="388"/>
      <c r="G69" s="656"/>
      <c r="H69" s="643"/>
      <c r="I69" s="645"/>
      <c r="J69" s="660"/>
    </row>
    <row r="70" spans="2:10" ht="15.5" x14ac:dyDescent="0.35">
      <c r="B70" s="670"/>
      <c r="C70" s="388"/>
      <c r="D70" s="388"/>
      <c r="E70" s="388"/>
      <c r="F70" s="388"/>
      <c r="G70" s="656"/>
      <c r="H70" s="643"/>
      <c r="I70" s="645"/>
      <c r="J70" s="660"/>
    </row>
    <row r="71" spans="2:10" ht="15.5" x14ac:dyDescent="0.35">
      <c r="B71" s="670"/>
      <c r="C71" s="388"/>
      <c r="D71" s="388"/>
      <c r="E71" s="388"/>
      <c r="F71" s="388"/>
      <c r="G71" s="656"/>
      <c r="H71" s="643"/>
      <c r="I71" s="645"/>
      <c r="J71" s="660"/>
    </row>
    <row r="72" spans="2:10" ht="15.5" x14ac:dyDescent="0.35">
      <c r="B72" s="670"/>
      <c r="C72" s="388"/>
      <c r="D72" s="388"/>
      <c r="E72" s="388"/>
      <c r="F72" s="388"/>
      <c r="G72" s="656"/>
      <c r="H72" s="643"/>
      <c r="I72" s="645"/>
      <c r="J72" s="660"/>
    </row>
    <row r="73" spans="2:10" ht="15.5" x14ac:dyDescent="0.35">
      <c r="B73" s="670"/>
      <c r="C73" s="388"/>
      <c r="D73" s="388"/>
      <c r="E73" s="388"/>
      <c r="F73" s="388"/>
      <c r="G73" s="656"/>
      <c r="H73" s="643"/>
      <c r="I73" s="645"/>
      <c r="J73" s="660"/>
    </row>
    <row r="74" spans="2:10" ht="15.5" x14ac:dyDescent="0.35">
      <c r="B74" s="670"/>
      <c r="C74" s="388"/>
      <c r="D74" s="388"/>
      <c r="E74" s="388"/>
      <c r="F74" s="388"/>
      <c r="G74" s="656"/>
      <c r="H74" s="643"/>
      <c r="I74" s="645"/>
      <c r="J74" s="660"/>
    </row>
    <row r="75" spans="2:10" ht="15.5" x14ac:dyDescent="0.35">
      <c r="B75" s="670"/>
      <c r="C75" s="388"/>
      <c r="D75" s="388"/>
      <c r="E75" s="388"/>
      <c r="F75" s="388"/>
      <c r="G75" s="656"/>
      <c r="H75" s="643"/>
      <c r="I75" s="645"/>
      <c r="J75" s="660"/>
    </row>
    <row r="76" spans="2:10" ht="15.5" x14ac:dyDescent="0.35">
      <c r="B76" s="670"/>
      <c r="C76" s="388"/>
      <c r="D76" s="388"/>
      <c r="E76" s="388"/>
      <c r="F76" s="388"/>
      <c r="G76" s="656"/>
      <c r="H76" s="646"/>
      <c r="I76" s="647"/>
      <c r="J76" s="661"/>
    </row>
    <row r="77" spans="2:10" ht="15.5" x14ac:dyDescent="0.35">
      <c r="B77" s="674"/>
      <c r="C77" s="648"/>
      <c r="D77" s="648"/>
      <c r="E77" s="785"/>
      <c r="F77" s="785"/>
      <c r="G77" s="785"/>
      <c r="H77" s="786"/>
      <c r="I77" s="786"/>
      <c r="J77" s="662"/>
    </row>
    <row r="78" spans="2:10" ht="15.5" x14ac:dyDescent="0.35">
      <c r="B78" s="674"/>
      <c r="C78" s="648"/>
      <c r="D78" s="648"/>
      <c r="E78" s="785"/>
      <c r="F78" s="785"/>
      <c r="G78" s="785"/>
      <c r="H78" s="663"/>
      <c r="I78" s="663"/>
      <c r="J78" s="662"/>
    </row>
    <row r="79" spans="2:10" ht="15.5" x14ac:dyDescent="0.35">
      <c r="B79" s="674"/>
      <c r="C79" s="648"/>
      <c r="D79" s="648"/>
      <c r="E79" s="648"/>
      <c r="F79" s="648"/>
      <c r="G79" s="648"/>
      <c r="H79" s="648"/>
      <c r="I79" s="648"/>
      <c r="J79" s="664"/>
    </row>
    <row r="80" spans="2:10" ht="15.5" x14ac:dyDescent="0.35">
      <c r="B80" s="674"/>
      <c r="C80" s="648"/>
      <c r="D80" s="648"/>
      <c r="E80" s="648"/>
      <c r="F80" s="648"/>
      <c r="G80" s="648"/>
      <c r="H80" s="648"/>
      <c r="I80" s="648"/>
      <c r="J80" s="664"/>
    </row>
    <row r="81" ht="15.5" x14ac:dyDescent="0.35"/>
    <row r="82" ht="15.5" x14ac:dyDescent="0.35"/>
    <row r="83" ht="15.5" x14ac:dyDescent="0.35"/>
    <row r="84" ht="15.5" x14ac:dyDescent="0.35"/>
    <row r="85" ht="15.5" x14ac:dyDescent="0.35"/>
    <row r="86" ht="15.5" x14ac:dyDescent="0.35"/>
    <row r="87" ht="15.5" x14ac:dyDescent="0.35"/>
    <row r="88" ht="15.5" x14ac:dyDescent="0.35"/>
    <row r="89" ht="15.5" x14ac:dyDescent="0.35"/>
    <row r="90" ht="15.5" x14ac:dyDescent="0.35"/>
    <row r="91" ht="15.5" x14ac:dyDescent="0.35"/>
    <row r="92" ht="15.5" x14ac:dyDescent="0.35"/>
    <row r="93" ht="15.5" x14ac:dyDescent="0.35"/>
    <row r="94" ht="15.5" x14ac:dyDescent="0.35"/>
    <row r="95" ht="15.5" x14ac:dyDescent="0.35"/>
    <row r="96" ht="15.5" x14ac:dyDescent="0.35"/>
    <row r="97" ht="15.5" x14ac:dyDescent="0.35"/>
    <row r="98" ht="15.5" x14ac:dyDescent="0.35"/>
    <row r="99" ht="15.5" x14ac:dyDescent="0.35"/>
    <row r="100" ht="15.5" x14ac:dyDescent="0.35"/>
    <row r="101" ht="15.5" x14ac:dyDescent="0.35"/>
    <row r="102" ht="15.5" x14ac:dyDescent="0.35"/>
    <row r="103" ht="15.5" x14ac:dyDescent="0.35"/>
    <row r="104" ht="22.5" customHeight="1" x14ac:dyDescent="0.35"/>
    <row r="105" ht="22.5" customHeight="1" x14ac:dyDescent="0.35"/>
    <row r="106" ht="22.5" customHeight="1" x14ac:dyDescent="0.35"/>
    <row r="107" ht="22.5" customHeight="1" x14ac:dyDescent="0.35"/>
    <row r="108" ht="22.5" customHeight="1" x14ac:dyDescent="0.35"/>
    <row r="109" ht="22.5" customHeight="1" x14ac:dyDescent="0.35"/>
    <row r="110" ht="22.5" customHeight="1" x14ac:dyDescent="0.35"/>
    <row r="111" ht="22.5" customHeight="1" x14ac:dyDescent="0.35"/>
    <row r="112" ht="22.5" customHeight="1" x14ac:dyDescent="0.35"/>
    <row r="113" ht="22.5" customHeight="1" x14ac:dyDescent="0.35"/>
    <row r="114" ht="22.5" customHeight="1" x14ac:dyDescent="0.35"/>
    <row r="115" ht="22.5" hidden="1" customHeight="1" x14ac:dyDescent="0.35"/>
    <row r="116" ht="22.5" hidden="1" customHeight="1" x14ac:dyDescent="0.35"/>
    <row r="117" ht="22.5" hidden="1" customHeight="1" x14ac:dyDescent="0.35"/>
    <row r="118" ht="22.5" hidden="1" customHeight="1" x14ac:dyDescent="0.35"/>
    <row r="119" ht="22.5" hidden="1" customHeight="1" x14ac:dyDescent="0.35"/>
    <row r="120" ht="22.5" hidden="1" customHeight="1" x14ac:dyDescent="0.35"/>
    <row r="121" ht="22.5" hidden="1" customHeight="1" x14ac:dyDescent="0.35"/>
    <row r="122" ht="22.5" hidden="1" customHeight="1" x14ac:dyDescent="0.35"/>
    <row r="123" ht="22.5" hidden="1" customHeight="1" x14ac:dyDescent="0.35"/>
    <row r="124" ht="22.5" hidden="1" customHeight="1" x14ac:dyDescent="0.35"/>
    <row r="125" ht="22.5" hidden="1" customHeight="1" x14ac:dyDescent="0.35"/>
    <row r="126" ht="22.5" hidden="1" customHeight="1" x14ac:dyDescent="0.35"/>
    <row r="127" ht="22.5" hidden="1" customHeight="1" x14ac:dyDescent="0.35"/>
    <row r="128" ht="22.5" hidden="1" customHeight="1" x14ac:dyDescent="0.35"/>
    <row r="129" ht="22.5" hidden="1" customHeight="1" x14ac:dyDescent="0.35"/>
    <row r="130" ht="22.5" hidden="1" customHeight="1" x14ac:dyDescent="0.35"/>
    <row r="131" ht="22.5" hidden="1" customHeight="1" x14ac:dyDescent="0.35"/>
    <row r="132" ht="22.5" hidden="1" customHeight="1" x14ac:dyDescent="0.35"/>
    <row r="133" ht="22.5" hidden="1" customHeight="1" x14ac:dyDescent="0.35"/>
    <row r="134" ht="22.5" hidden="1" customHeight="1" x14ac:dyDescent="0.35"/>
    <row r="135" ht="22.5" hidden="1" customHeight="1" x14ac:dyDescent="0.35"/>
    <row r="136" ht="22.5" hidden="1" customHeight="1" x14ac:dyDescent="0.35"/>
    <row r="137" ht="22.5" hidden="1" customHeight="1" x14ac:dyDescent="0.35"/>
    <row r="138" ht="22.5" hidden="1" customHeight="1" x14ac:dyDescent="0.35"/>
    <row r="139" ht="22.5" hidden="1" customHeight="1" x14ac:dyDescent="0.35"/>
    <row r="140" ht="22.5" hidden="1" customHeight="1" x14ac:dyDescent="0.35"/>
    <row r="141" ht="22.5" hidden="1" customHeight="1" x14ac:dyDescent="0.35"/>
    <row r="142" ht="22.5" hidden="1" customHeight="1" x14ac:dyDescent="0.35"/>
    <row r="143" ht="22.5" hidden="1" customHeight="1" x14ac:dyDescent="0.35"/>
    <row r="144" ht="22.5" hidden="1" customHeight="1" x14ac:dyDescent="0.35"/>
    <row r="145" ht="22.5" hidden="1" customHeight="1" x14ac:dyDescent="0.35"/>
    <row r="146" ht="22.5" hidden="1" customHeight="1" x14ac:dyDescent="0.35"/>
    <row r="147" ht="22.5" hidden="1" customHeight="1" x14ac:dyDescent="0.35"/>
    <row r="148" ht="22.5" hidden="1" customHeight="1" x14ac:dyDescent="0.35"/>
    <row r="149" ht="22.5" hidden="1" customHeight="1" x14ac:dyDescent="0.35"/>
    <row r="150" ht="22.5" hidden="1" customHeight="1" x14ac:dyDescent="0.35"/>
    <row r="1048575" ht="52" hidden="1" customHeight="1" x14ac:dyDescent="0.35"/>
    <row r="1048576" ht="34" hidden="1" customHeight="1" x14ac:dyDescent="0.35"/>
  </sheetData>
  <sheetProtection selectLockedCells="1"/>
  <mergeCells count="29">
    <mergeCell ref="I65:J65"/>
    <mergeCell ref="E77:G77"/>
    <mergeCell ref="H77:I77"/>
    <mergeCell ref="E78:G78"/>
    <mergeCell ref="C10:E10"/>
    <mergeCell ref="F10:G10"/>
    <mergeCell ref="H10:J10"/>
    <mergeCell ref="C11:E11"/>
    <mergeCell ref="H11:J11"/>
    <mergeCell ref="C12:E12"/>
    <mergeCell ref="B63:J63"/>
    <mergeCell ref="H12:J12"/>
    <mergeCell ref="C16:E16"/>
    <mergeCell ref="G16:H16"/>
    <mergeCell ref="C17:E17"/>
    <mergeCell ref="G17:H17"/>
    <mergeCell ref="C18:E18"/>
    <mergeCell ref="M8:Q9"/>
    <mergeCell ref="B3:J3"/>
    <mergeCell ref="K21:M21"/>
    <mergeCell ref="B20:J20"/>
    <mergeCell ref="G18:H18"/>
    <mergeCell ref="B2:J2"/>
    <mergeCell ref="C4:E4"/>
    <mergeCell ref="G4:H4"/>
    <mergeCell ref="I4:J4"/>
    <mergeCell ref="C6:E6"/>
    <mergeCell ref="G6:H6"/>
    <mergeCell ref="I6:J6"/>
  </mergeCells>
  <conditionalFormatting sqref="N4">
    <cfRule type="expression" dxfId="28" priority="1">
      <formula>IF($O$15&gt;#REF!,TRUE,FALSE)</formula>
    </cfRule>
  </conditionalFormatting>
  <pageMargins left="0.25" right="0.25" top="0.25" bottom="0.75" header="0.3" footer="0.3"/>
  <pageSetup scale="58" fitToHeight="0"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A2DF2136-5346-44B5-A5DF-F97EB58669A9}">
          <x14:formula1>
            <xm:f>P!$AK$1:$AK$3</xm:f>
          </x14:formula1>
          <xm:sqref>N6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12F5-F8FF-4499-8089-EF37159AD4BE}">
  <sheetPr codeName="Sheet1">
    <tabColor rgb="FFFFFF00"/>
    <pageSetUpPr fitToPage="1"/>
  </sheetPr>
  <dimension ref="A1:V72"/>
  <sheetViews>
    <sheetView showGridLines="0" zoomScale="70" zoomScaleNormal="70" workbookViewId="0">
      <selection activeCell="M20" sqref="M20"/>
    </sheetView>
  </sheetViews>
  <sheetFormatPr defaultColWidth="9.26953125" defaultRowHeight="14.5" x14ac:dyDescent="0.35"/>
  <cols>
    <col min="1" max="1" width="22.08984375" style="7" bestFit="1" customWidth="1"/>
    <col min="2" max="2" width="15.26953125" style="7" bestFit="1" customWidth="1"/>
    <col min="3" max="3" width="11.81640625" style="7" bestFit="1" customWidth="1"/>
    <col min="4" max="4" width="19.1796875" style="8" bestFit="1" customWidth="1"/>
    <col min="5" max="5" width="14.54296875" style="8" bestFit="1" customWidth="1"/>
    <col min="6" max="6" width="23.26953125" style="8" bestFit="1" customWidth="1"/>
    <col min="7" max="7" width="24.08984375" style="8" bestFit="1" customWidth="1"/>
    <col min="8" max="8" width="20.7265625" style="8" bestFit="1" customWidth="1"/>
    <col min="9" max="9" width="25.453125" style="8" bestFit="1" customWidth="1"/>
    <col min="10" max="12" width="5.453125" style="8" customWidth="1"/>
    <col min="13" max="13" width="14.1796875" style="8" customWidth="1"/>
    <col min="14" max="14" width="23.7265625" style="7" customWidth="1"/>
    <col min="15" max="15" width="17.7265625" style="8" customWidth="1"/>
    <col min="16" max="16" width="13.7265625" style="7" customWidth="1"/>
    <col min="17" max="17" width="19.7265625" style="7" bestFit="1" customWidth="1"/>
    <col min="18" max="18" width="18.26953125" style="7" customWidth="1"/>
    <col min="19" max="19" width="16" style="7" customWidth="1"/>
    <col min="20" max="20" width="14.54296875" style="7" customWidth="1"/>
    <col min="21" max="16384" width="9.26953125" style="7"/>
  </cols>
  <sheetData>
    <row r="1" spans="1:22" x14ac:dyDescent="0.35">
      <c r="A1" s="578" t="s">
        <v>23</v>
      </c>
      <c r="B1" s="578" t="s">
        <v>27</v>
      </c>
      <c r="C1" s="579" t="s">
        <v>742</v>
      </c>
      <c r="D1" s="578" t="s">
        <v>25</v>
      </c>
      <c r="E1" s="578" t="s">
        <v>24</v>
      </c>
      <c r="F1" s="578" t="s">
        <v>298</v>
      </c>
      <c r="G1" s="578" t="s">
        <v>299</v>
      </c>
      <c r="H1" s="578" t="s">
        <v>300</v>
      </c>
      <c r="I1" s="578" t="s">
        <v>301</v>
      </c>
      <c r="J1" s="7"/>
      <c r="K1" s="7"/>
      <c r="L1" s="7"/>
      <c r="S1" s="622" t="e">
        <f>IF(V1=0,"NEED ADDRESS",IF(OR(IFERROR(VLOOKUP(V1,P!$A$55:$B$113,2,FALSE),"")&lt;&gt;"",AND(IFERROR(FIND("C",INFO!I2),"")&lt;&gt;"",(IFERROR(VLOOKUP(V1,P!$A$55:$F$113,5,FALSE),""))&lt;&gt;""),AND(INFO!J33&lt;&gt;"",(IFERROR(VLOOKUP(V1,P!$A$55:$F$113,6,FALSE),""))&lt;&gt;"")),"Taxable","Not Taxable"))</f>
        <v>#REF!</v>
      </c>
      <c r="V1" s="97" t="e">
        <f>IF(INFO!D21="",INFO!#REF!,INFO!D21)</f>
        <v>#REF!</v>
      </c>
    </row>
    <row r="2" spans="1:22" x14ac:dyDescent="0.35">
      <c r="A2" s="580"/>
      <c r="B2" s="580"/>
      <c r="C2" s="581"/>
      <c r="D2" s="582"/>
      <c r="E2" s="583"/>
      <c r="F2" s="579"/>
      <c r="G2" s="583"/>
      <c r="H2" s="580"/>
      <c r="I2" s="584"/>
      <c r="K2" s="7"/>
      <c r="L2" s="7"/>
    </row>
    <row r="3" spans="1:22" x14ac:dyDescent="0.35">
      <c r="A3" s="580" t="s">
        <v>16</v>
      </c>
      <c r="B3" s="580"/>
      <c r="C3" s="579"/>
      <c r="D3" s="579"/>
      <c r="E3" s="585"/>
      <c r="F3" s="579"/>
      <c r="G3" s="586">
        <f>SUBTOTAL(109,PO_Summary[Total Amount])</f>
        <v>0</v>
      </c>
      <c r="H3" s="579"/>
      <c r="I3" s="586"/>
      <c r="J3" s="9"/>
      <c r="K3" s="7"/>
      <c r="L3" s="7"/>
      <c r="S3" s="623" t="e">
        <f>IF(V1=0,"",IF(IFERROR(VLOOKUP(V1,P!$A$55:$D$113,4,FALSE),"")&lt;&gt;"","Taxable","Not Taxable"))</f>
        <v>#REF!</v>
      </c>
    </row>
    <row r="4" spans="1:22" x14ac:dyDescent="0.35">
      <c r="A4" s="580"/>
      <c r="B4" s="580"/>
      <c r="C4" s="580"/>
      <c r="D4" s="584"/>
      <c r="E4" s="584"/>
      <c r="F4" s="584"/>
      <c r="G4" s="584"/>
      <c r="H4" s="584"/>
      <c r="I4" s="584"/>
      <c r="J4" s="7"/>
      <c r="L4" s="7"/>
    </row>
    <row r="5" spans="1:22" x14ac:dyDescent="0.35">
      <c r="A5" s="580"/>
      <c r="B5" s="580"/>
      <c r="C5" s="580"/>
      <c r="D5" s="584"/>
      <c r="E5" s="584"/>
      <c r="F5" s="584"/>
      <c r="G5" s="584"/>
      <c r="H5" s="584"/>
      <c r="I5" s="584"/>
      <c r="J5" s="7"/>
      <c r="L5" s="7"/>
      <c r="S5" s="622" t="e">
        <f>IF(V1=0,"",IF(IFERROR(VLOOKUP(V1,P!$A$55:$C$113,3,FALSE),"")&lt;&gt;"","Taxable","Not Taxable"))</f>
        <v>#REF!</v>
      </c>
    </row>
    <row r="6" spans="1:22" x14ac:dyDescent="0.35">
      <c r="A6" s="580"/>
      <c r="B6" s="580"/>
      <c r="C6" s="580"/>
      <c r="D6" s="584"/>
      <c r="E6" s="584"/>
      <c r="F6" s="584"/>
      <c r="G6" s="584"/>
      <c r="H6" s="584"/>
      <c r="I6" s="584"/>
    </row>
    <row r="7" spans="1:22" x14ac:dyDescent="0.35">
      <c r="A7" s="580"/>
      <c r="B7" s="580"/>
      <c r="C7" s="580"/>
      <c r="D7" s="584"/>
      <c r="E7" s="584"/>
      <c r="F7" s="584"/>
      <c r="G7" s="584"/>
      <c r="H7" s="584"/>
      <c r="I7" s="584"/>
    </row>
    <row r="8" spans="1:22" x14ac:dyDescent="0.35">
      <c r="A8" s="580"/>
      <c r="B8" s="580"/>
      <c r="C8" s="580"/>
      <c r="D8" s="584"/>
      <c r="E8" s="584"/>
      <c r="F8" s="584"/>
      <c r="G8" s="584"/>
      <c r="H8" s="584"/>
      <c r="I8" s="584"/>
    </row>
    <row r="9" spans="1:22" x14ac:dyDescent="0.35">
      <c r="A9" s="580"/>
      <c r="B9" s="580"/>
      <c r="C9" s="580"/>
      <c r="D9" s="584"/>
      <c r="E9" s="584"/>
      <c r="F9" s="584"/>
      <c r="G9" s="584"/>
      <c r="H9" s="584"/>
      <c r="I9" s="584"/>
    </row>
    <row r="10" spans="1:22" x14ac:dyDescent="0.35">
      <c r="A10" s="580"/>
      <c r="B10" s="580"/>
      <c r="C10" s="580"/>
      <c r="D10" s="584"/>
      <c r="E10" s="584"/>
      <c r="F10" s="584"/>
      <c r="G10" s="584"/>
      <c r="H10" s="584"/>
      <c r="I10" s="584"/>
    </row>
    <row r="11" spans="1:22" x14ac:dyDescent="0.35">
      <c r="A11" s="580"/>
      <c r="B11" s="580"/>
      <c r="C11" s="580"/>
      <c r="D11" s="584"/>
      <c r="E11" s="584"/>
      <c r="F11" s="584"/>
      <c r="G11" s="584"/>
      <c r="H11" s="584"/>
      <c r="I11" s="584"/>
    </row>
    <row r="12" spans="1:22" x14ac:dyDescent="0.35">
      <c r="A12" s="580"/>
      <c r="B12" s="580"/>
      <c r="C12" s="580"/>
      <c r="D12" s="584"/>
      <c r="E12" s="584"/>
      <c r="F12" s="584"/>
      <c r="G12" s="584"/>
      <c r="H12" s="584"/>
      <c r="I12" s="584"/>
    </row>
    <row r="13" spans="1:22" x14ac:dyDescent="0.35">
      <c r="A13" s="580"/>
      <c r="B13" s="580"/>
      <c r="C13" s="580"/>
      <c r="D13" s="584"/>
      <c r="E13" s="584"/>
      <c r="F13" s="584"/>
      <c r="G13" s="584"/>
      <c r="H13" s="584"/>
      <c r="I13" s="584"/>
    </row>
    <row r="14" spans="1:22" x14ac:dyDescent="0.35">
      <c r="A14" s="580"/>
      <c r="B14" s="580"/>
      <c r="C14" s="580"/>
      <c r="D14" s="584"/>
      <c r="E14" s="584"/>
      <c r="F14" s="584"/>
      <c r="G14" s="584"/>
      <c r="H14" s="584"/>
      <c r="I14" s="584"/>
    </row>
    <row r="15" spans="1:22" x14ac:dyDescent="0.35">
      <c r="A15" s="580"/>
      <c r="B15" s="580"/>
      <c r="C15" s="580"/>
      <c r="D15" s="584"/>
      <c r="E15" s="584"/>
      <c r="F15" s="584"/>
      <c r="G15" s="584"/>
      <c r="H15" s="584"/>
      <c r="I15" s="584"/>
    </row>
    <row r="16" spans="1:22" x14ac:dyDescent="0.35">
      <c r="A16" s="580"/>
      <c r="B16" s="580"/>
      <c r="C16" s="580"/>
      <c r="D16" s="584"/>
      <c r="E16" s="584"/>
      <c r="F16" s="584"/>
      <c r="G16" s="584"/>
      <c r="H16" s="584"/>
      <c r="I16" s="584"/>
    </row>
    <row r="17" spans="1:9" x14ac:dyDescent="0.35">
      <c r="A17" s="580"/>
      <c r="B17" s="580"/>
      <c r="C17" s="580"/>
      <c r="D17" s="584"/>
      <c r="E17" s="584"/>
      <c r="F17" s="584"/>
      <c r="G17" s="584"/>
      <c r="H17" s="584"/>
      <c r="I17" s="584"/>
    </row>
    <row r="18" spans="1:9" x14ac:dyDescent="0.35">
      <c r="A18" s="580"/>
      <c r="B18" s="580"/>
      <c r="C18" s="580"/>
      <c r="D18" s="584"/>
      <c r="E18" s="584"/>
      <c r="F18" s="584"/>
      <c r="G18" s="584"/>
      <c r="H18" s="584"/>
      <c r="I18" s="584"/>
    </row>
    <row r="19" spans="1:9" x14ac:dyDescent="0.35">
      <c r="A19" s="580"/>
      <c r="B19" s="580"/>
      <c r="C19" s="580"/>
      <c r="D19" s="584"/>
      <c r="E19" s="584"/>
      <c r="F19" s="584"/>
      <c r="G19" s="584"/>
      <c r="H19" s="584"/>
      <c r="I19" s="584"/>
    </row>
    <row r="20" spans="1:9" x14ac:dyDescent="0.35">
      <c r="A20" s="580"/>
      <c r="B20" s="580"/>
      <c r="C20" s="580"/>
      <c r="D20" s="584"/>
      <c r="E20" s="584"/>
      <c r="F20" s="584"/>
      <c r="G20" s="584"/>
      <c r="H20" s="584"/>
      <c r="I20" s="584"/>
    </row>
    <row r="21" spans="1:9" x14ac:dyDescent="0.35">
      <c r="A21" s="580"/>
      <c r="B21" s="580"/>
      <c r="C21" s="580"/>
      <c r="D21" s="584"/>
      <c r="E21" s="584"/>
      <c r="F21" s="584"/>
      <c r="G21" s="584"/>
      <c r="H21" s="584"/>
      <c r="I21" s="584"/>
    </row>
    <row r="22" spans="1:9" x14ac:dyDescent="0.35">
      <c r="A22" s="580"/>
      <c r="B22" s="580"/>
      <c r="C22" s="580"/>
      <c r="D22" s="584"/>
      <c r="E22" s="584"/>
      <c r="F22" s="584"/>
      <c r="G22" s="584"/>
      <c r="H22" s="584"/>
      <c r="I22" s="584"/>
    </row>
    <row r="23" spans="1:9" x14ac:dyDescent="0.35">
      <c r="A23" s="580"/>
      <c r="B23" s="580"/>
      <c r="C23" s="580"/>
      <c r="D23" s="584"/>
      <c r="E23" s="584"/>
      <c r="F23" s="584"/>
      <c r="G23" s="584"/>
      <c r="H23" s="584"/>
      <c r="I23" s="584"/>
    </row>
    <row r="24" spans="1:9" x14ac:dyDescent="0.35">
      <c r="A24" s="580"/>
      <c r="B24" s="580"/>
      <c r="C24" s="580"/>
      <c r="D24" s="584"/>
      <c r="E24" s="584"/>
      <c r="F24" s="584"/>
      <c r="G24" s="584"/>
      <c r="H24" s="584"/>
      <c r="I24" s="584"/>
    </row>
    <row r="25" spans="1:9" x14ac:dyDescent="0.35">
      <c r="A25" s="580"/>
      <c r="B25" s="580"/>
      <c r="C25" s="580"/>
      <c r="D25" s="584"/>
      <c r="E25" s="584"/>
      <c r="F25" s="584"/>
      <c r="G25" s="584"/>
      <c r="H25" s="584"/>
      <c r="I25" s="584"/>
    </row>
    <row r="26" spans="1:9" x14ac:dyDescent="0.35">
      <c r="A26" s="580"/>
      <c r="B26" s="580"/>
      <c r="C26" s="580"/>
      <c r="D26" s="584"/>
      <c r="E26" s="584"/>
      <c r="F26" s="584"/>
      <c r="G26" s="584"/>
      <c r="H26" s="584"/>
      <c r="I26" s="584"/>
    </row>
    <row r="27" spans="1:9" x14ac:dyDescent="0.35">
      <c r="A27" s="580"/>
      <c r="B27" s="580"/>
      <c r="C27" s="580"/>
      <c r="D27" s="584"/>
      <c r="E27" s="584"/>
      <c r="F27" s="584"/>
      <c r="G27" s="584"/>
      <c r="H27" s="584"/>
      <c r="I27" s="584"/>
    </row>
    <row r="28" spans="1:9" x14ac:dyDescent="0.35">
      <c r="A28" s="580"/>
      <c r="B28" s="580"/>
      <c r="C28" s="580"/>
      <c r="D28" s="584"/>
      <c r="E28" s="584"/>
      <c r="F28" s="584"/>
      <c r="G28" s="584"/>
      <c r="H28" s="584"/>
      <c r="I28" s="584"/>
    </row>
    <row r="29" spans="1:9" x14ac:dyDescent="0.35">
      <c r="A29" s="580"/>
      <c r="B29" s="580"/>
      <c r="C29" s="580"/>
      <c r="D29" s="584"/>
      <c r="E29" s="584"/>
      <c r="F29" s="584"/>
      <c r="G29" s="584"/>
      <c r="H29" s="584"/>
      <c r="I29" s="584"/>
    </row>
    <row r="30" spans="1:9" x14ac:dyDescent="0.35">
      <c r="A30" s="580"/>
      <c r="B30" s="580"/>
      <c r="C30" s="580"/>
      <c r="D30" s="584"/>
      <c r="E30" s="584"/>
      <c r="F30" s="584"/>
      <c r="G30" s="584"/>
      <c r="H30" s="584"/>
      <c r="I30" s="584"/>
    </row>
    <row r="31" spans="1:9" x14ac:dyDescent="0.35">
      <c r="A31" s="580"/>
      <c r="B31" s="580"/>
      <c r="C31" s="580"/>
      <c r="D31" s="584"/>
      <c r="E31" s="584"/>
      <c r="F31" s="584"/>
      <c r="G31" s="584"/>
      <c r="H31" s="584"/>
      <c r="I31" s="584"/>
    </row>
    <row r="32" spans="1:9" x14ac:dyDescent="0.35">
      <c r="A32" s="580"/>
      <c r="B32" s="580"/>
      <c r="C32" s="580"/>
      <c r="D32" s="584"/>
      <c r="E32" s="584"/>
      <c r="F32" s="584"/>
      <c r="G32" s="584"/>
      <c r="H32" s="584"/>
      <c r="I32" s="584"/>
    </row>
    <row r="33" spans="1:9" x14ac:dyDescent="0.35">
      <c r="A33" s="580"/>
      <c r="B33" s="580"/>
      <c r="C33" s="580"/>
      <c r="D33" s="584"/>
      <c r="E33" s="584"/>
      <c r="F33" s="584"/>
      <c r="G33" s="584"/>
      <c r="H33" s="584"/>
      <c r="I33" s="584"/>
    </row>
    <row r="34" spans="1:9" x14ac:dyDescent="0.35">
      <c r="A34" s="580"/>
      <c r="B34" s="580"/>
      <c r="C34" s="580"/>
      <c r="D34" s="584"/>
      <c r="E34" s="584"/>
      <c r="F34" s="584"/>
      <c r="G34" s="584"/>
      <c r="H34" s="584"/>
      <c r="I34" s="584"/>
    </row>
    <row r="35" spans="1:9" x14ac:dyDescent="0.35">
      <c r="A35" s="580"/>
      <c r="B35" s="580"/>
      <c r="C35" s="580"/>
      <c r="D35" s="584"/>
      <c r="E35" s="584"/>
      <c r="F35" s="584"/>
      <c r="G35" s="584"/>
      <c r="H35" s="584"/>
      <c r="I35" s="584"/>
    </row>
    <row r="36" spans="1:9" x14ac:dyDescent="0.35">
      <c r="A36" s="580"/>
      <c r="B36" s="580"/>
      <c r="C36" s="580"/>
      <c r="D36" s="584"/>
      <c r="E36" s="584"/>
      <c r="F36" s="584"/>
      <c r="G36" s="584"/>
      <c r="H36" s="584"/>
      <c r="I36" s="584"/>
    </row>
    <row r="37" spans="1:9" x14ac:dyDescent="0.35">
      <c r="A37" s="580"/>
      <c r="B37" s="580"/>
      <c r="C37" s="580"/>
      <c r="D37" s="584"/>
      <c r="E37" s="584"/>
      <c r="F37" s="584"/>
      <c r="G37" s="584"/>
      <c r="H37" s="584"/>
      <c r="I37" s="584"/>
    </row>
    <row r="38" spans="1:9" x14ac:dyDescent="0.35">
      <c r="A38" s="580"/>
      <c r="B38" s="580"/>
      <c r="C38" s="580"/>
      <c r="D38" s="584"/>
      <c r="E38" s="584"/>
      <c r="F38" s="584"/>
      <c r="G38" s="584"/>
      <c r="H38" s="584"/>
      <c r="I38" s="584"/>
    </row>
    <row r="39" spans="1:9" x14ac:dyDescent="0.35">
      <c r="A39" s="580"/>
      <c r="B39" s="580"/>
      <c r="C39" s="580"/>
      <c r="D39" s="584"/>
      <c r="E39" s="584"/>
      <c r="F39" s="584"/>
      <c r="G39" s="584"/>
      <c r="H39" s="584"/>
      <c r="I39" s="584"/>
    </row>
    <row r="40" spans="1:9" x14ac:dyDescent="0.35">
      <c r="A40" s="580"/>
      <c r="B40" s="580"/>
      <c r="C40" s="580"/>
      <c r="D40" s="584"/>
      <c r="E40" s="584"/>
      <c r="F40" s="584"/>
      <c r="G40" s="584"/>
      <c r="H40" s="584"/>
      <c r="I40" s="584"/>
    </row>
    <row r="41" spans="1:9" x14ac:dyDescent="0.35">
      <c r="A41" s="580"/>
      <c r="B41" s="580"/>
      <c r="C41" s="580"/>
      <c r="D41" s="584"/>
      <c r="E41" s="584"/>
      <c r="F41" s="584"/>
      <c r="G41" s="584"/>
      <c r="H41" s="584"/>
      <c r="I41" s="584"/>
    </row>
    <row r="42" spans="1:9" x14ac:dyDescent="0.35">
      <c r="A42" s="580"/>
      <c r="B42" s="580"/>
      <c r="C42" s="580"/>
      <c r="D42" s="584"/>
      <c r="E42" s="584"/>
      <c r="F42" s="584"/>
      <c r="G42" s="584"/>
      <c r="H42" s="584"/>
      <c r="I42" s="584"/>
    </row>
    <row r="43" spans="1:9" x14ac:dyDescent="0.35">
      <c r="A43" s="580"/>
      <c r="B43" s="580"/>
      <c r="C43" s="580"/>
      <c r="D43" s="584"/>
      <c r="E43" s="584"/>
      <c r="F43" s="584"/>
      <c r="G43" s="584"/>
      <c r="H43" s="584"/>
      <c r="I43" s="584"/>
    </row>
    <row r="44" spans="1:9" x14ac:dyDescent="0.35">
      <c r="A44" s="580"/>
      <c r="B44" s="580"/>
      <c r="C44" s="580"/>
      <c r="D44" s="584"/>
      <c r="E44" s="584"/>
      <c r="F44" s="584"/>
      <c r="G44" s="584"/>
      <c r="H44" s="584"/>
      <c r="I44" s="584"/>
    </row>
    <row r="45" spans="1:9" x14ac:dyDescent="0.35">
      <c r="A45" s="580"/>
      <c r="B45" s="580"/>
      <c r="C45" s="580"/>
      <c r="D45" s="584"/>
      <c r="E45" s="584"/>
      <c r="F45" s="584"/>
      <c r="G45" s="584"/>
      <c r="H45" s="584"/>
      <c r="I45" s="584"/>
    </row>
    <row r="46" spans="1:9" x14ac:dyDescent="0.35">
      <c r="A46" s="580"/>
      <c r="B46" s="580"/>
      <c r="C46" s="580"/>
      <c r="D46" s="584"/>
      <c r="E46" s="584"/>
      <c r="F46" s="584"/>
      <c r="G46" s="584"/>
      <c r="H46" s="584"/>
      <c r="I46" s="584"/>
    </row>
    <row r="47" spans="1:9" x14ac:dyDescent="0.35">
      <c r="A47" s="580"/>
      <c r="B47" s="580"/>
      <c r="C47" s="580"/>
      <c r="D47" s="584"/>
      <c r="E47" s="584"/>
      <c r="F47" s="584"/>
      <c r="G47" s="584"/>
      <c r="H47" s="584"/>
      <c r="I47" s="584"/>
    </row>
    <row r="48" spans="1:9" x14ac:dyDescent="0.35">
      <c r="A48" s="580"/>
      <c r="B48" s="580"/>
      <c r="C48" s="580"/>
      <c r="D48" s="584"/>
      <c r="E48" s="584"/>
      <c r="F48" s="584"/>
      <c r="G48" s="584"/>
      <c r="H48" s="584"/>
      <c r="I48" s="584"/>
    </row>
    <row r="49" spans="1:9" x14ac:dyDescent="0.35">
      <c r="A49" s="580"/>
      <c r="B49" s="580"/>
      <c r="C49" s="580"/>
      <c r="D49" s="584"/>
      <c r="E49" s="584"/>
      <c r="F49" s="584"/>
      <c r="G49" s="584"/>
      <c r="H49" s="584"/>
      <c r="I49" s="584"/>
    </row>
    <row r="50" spans="1:9" x14ac:dyDescent="0.35">
      <c r="A50" s="580"/>
      <c r="B50" s="580"/>
      <c r="C50" s="580"/>
      <c r="D50" s="584"/>
      <c r="E50" s="584"/>
      <c r="F50" s="584"/>
      <c r="G50" s="584"/>
      <c r="H50" s="584"/>
      <c r="I50" s="584"/>
    </row>
    <row r="51" spans="1:9" x14ac:dyDescent="0.35">
      <c r="A51" s="580"/>
      <c r="B51" s="580"/>
      <c r="C51" s="580"/>
      <c r="D51" s="584"/>
      <c r="E51" s="584"/>
      <c r="F51" s="584"/>
      <c r="G51" s="584"/>
      <c r="H51" s="584"/>
      <c r="I51" s="584"/>
    </row>
    <row r="52" spans="1:9" x14ac:dyDescent="0.35">
      <c r="A52" s="580"/>
      <c r="B52" s="580"/>
      <c r="C52" s="580"/>
      <c r="D52" s="584"/>
      <c r="E52" s="584"/>
      <c r="F52" s="584"/>
      <c r="G52" s="584"/>
      <c r="H52" s="584"/>
      <c r="I52" s="584"/>
    </row>
    <row r="53" spans="1:9" x14ac:dyDescent="0.35">
      <c r="A53" s="580"/>
      <c r="B53" s="580"/>
      <c r="C53" s="580"/>
      <c r="D53" s="584"/>
      <c r="E53" s="584"/>
      <c r="F53" s="584"/>
      <c r="G53" s="584"/>
      <c r="H53" s="584"/>
      <c r="I53" s="584"/>
    </row>
    <row r="54" spans="1:9" x14ac:dyDescent="0.35">
      <c r="A54" s="580"/>
      <c r="B54" s="580"/>
      <c r="C54" s="580"/>
      <c r="D54" s="584"/>
      <c r="E54" s="584"/>
      <c r="F54" s="584"/>
      <c r="G54" s="584"/>
      <c r="H54" s="584"/>
      <c r="I54" s="584"/>
    </row>
    <row r="55" spans="1:9" x14ac:dyDescent="0.35">
      <c r="A55" s="580"/>
      <c r="B55" s="580"/>
      <c r="C55" s="580"/>
      <c r="D55" s="584"/>
      <c r="E55" s="584"/>
      <c r="F55" s="584"/>
      <c r="G55" s="584"/>
      <c r="H55" s="584"/>
      <c r="I55" s="584"/>
    </row>
    <row r="56" spans="1:9" x14ac:dyDescent="0.35">
      <c r="A56" s="580"/>
      <c r="B56" s="580"/>
      <c r="C56" s="580"/>
      <c r="D56" s="584"/>
      <c r="E56" s="584"/>
      <c r="F56" s="584"/>
      <c r="G56" s="584"/>
      <c r="H56" s="584"/>
      <c r="I56" s="584"/>
    </row>
    <row r="57" spans="1:9" x14ac:dyDescent="0.35">
      <c r="A57" s="580"/>
      <c r="B57" s="580"/>
      <c r="C57" s="580"/>
      <c r="D57" s="584"/>
      <c r="E57" s="584"/>
      <c r="F57" s="584"/>
      <c r="G57" s="584"/>
      <c r="H57" s="584"/>
      <c r="I57" s="584"/>
    </row>
    <row r="58" spans="1:9" x14ac:dyDescent="0.35">
      <c r="A58" s="580"/>
      <c r="B58" s="580"/>
      <c r="C58" s="580"/>
      <c r="D58" s="584"/>
      <c r="E58" s="584"/>
      <c r="F58" s="584"/>
      <c r="G58" s="584"/>
      <c r="H58" s="584"/>
      <c r="I58" s="584"/>
    </row>
    <row r="59" spans="1:9" x14ac:dyDescent="0.35">
      <c r="A59" s="580"/>
      <c r="B59" s="580"/>
      <c r="C59" s="580"/>
      <c r="D59" s="584"/>
      <c r="E59" s="584"/>
      <c r="F59" s="584"/>
      <c r="G59" s="584"/>
      <c r="H59" s="584"/>
      <c r="I59" s="584"/>
    </row>
    <row r="60" spans="1:9" x14ac:dyDescent="0.35">
      <c r="A60" s="580"/>
      <c r="B60" s="580"/>
      <c r="C60" s="580"/>
      <c r="D60" s="584"/>
      <c r="E60" s="584"/>
      <c r="F60" s="584"/>
      <c r="G60" s="584"/>
      <c r="H60" s="584"/>
      <c r="I60" s="584"/>
    </row>
    <row r="61" spans="1:9" x14ac:dyDescent="0.35">
      <c r="A61" s="580"/>
      <c r="B61" s="580"/>
      <c r="C61" s="580"/>
      <c r="D61" s="584"/>
      <c r="E61" s="584"/>
      <c r="F61" s="584"/>
      <c r="G61" s="584"/>
      <c r="H61" s="584"/>
      <c r="I61" s="584"/>
    </row>
    <row r="62" spans="1:9" x14ac:dyDescent="0.35">
      <c r="A62" s="580"/>
      <c r="B62" s="580"/>
      <c r="C62" s="580"/>
      <c r="D62" s="584"/>
      <c r="E62" s="584"/>
      <c r="F62" s="584"/>
      <c r="G62" s="584"/>
      <c r="H62" s="584"/>
      <c r="I62" s="584"/>
    </row>
    <row r="63" spans="1:9" x14ac:dyDescent="0.35">
      <c r="A63" s="580"/>
      <c r="B63" s="580"/>
      <c r="C63" s="580"/>
      <c r="D63" s="584"/>
      <c r="E63" s="584"/>
      <c r="F63" s="584"/>
      <c r="G63" s="584"/>
      <c r="H63" s="584"/>
      <c r="I63" s="584"/>
    </row>
    <row r="64" spans="1:9" x14ac:dyDescent="0.35">
      <c r="A64" s="580"/>
      <c r="B64" s="580"/>
      <c r="C64" s="580"/>
      <c r="D64" s="584"/>
      <c r="E64" s="584"/>
      <c r="F64" s="584"/>
      <c r="G64" s="584"/>
      <c r="H64" s="584"/>
      <c r="I64" s="584"/>
    </row>
    <row r="65" spans="1:9" x14ac:dyDescent="0.35">
      <c r="A65" s="580"/>
      <c r="B65" s="580"/>
      <c r="C65" s="580"/>
      <c r="D65" s="584"/>
      <c r="E65" s="584"/>
      <c r="F65" s="584"/>
      <c r="G65" s="584"/>
      <c r="H65" s="584"/>
      <c r="I65" s="584"/>
    </row>
    <row r="66" spans="1:9" x14ac:dyDescent="0.35">
      <c r="A66" s="580"/>
      <c r="B66" s="580"/>
      <c r="C66" s="580"/>
      <c r="D66" s="584"/>
      <c r="E66" s="584"/>
      <c r="F66" s="584"/>
      <c r="G66" s="584"/>
      <c r="H66" s="584"/>
      <c r="I66" s="584"/>
    </row>
    <row r="67" spans="1:9" x14ac:dyDescent="0.35">
      <c r="A67" s="580"/>
      <c r="B67" s="580"/>
      <c r="C67" s="580"/>
      <c r="D67" s="584"/>
      <c r="E67" s="584"/>
      <c r="F67" s="584"/>
      <c r="G67" s="584"/>
      <c r="H67" s="584"/>
      <c r="I67" s="584"/>
    </row>
    <row r="68" spans="1:9" x14ac:dyDescent="0.35">
      <c r="A68" s="580"/>
      <c r="B68" s="580"/>
      <c r="C68" s="580"/>
      <c r="D68" s="584"/>
      <c r="E68" s="584"/>
      <c r="F68" s="584"/>
      <c r="G68" s="584"/>
      <c r="H68" s="584"/>
      <c r="I68" s="584"/>
    </row>
    <row r="69" spans="1:9" x14ac:dyDescent="0.35">
      <c r="A69" s="580"/>
      <c r="B69" s="580"/>
      <c r="C69" s="580"/>
      <c r="D69" s="584"/>
      <c r="E69" s="584"/>
      <c r="F69" s="584"/>
      <c r="G69" s="584"/>
      <c r="H69" s="584"/>
      <c r="I69" s="584"/>
    </row>
    <row r="70" spans="1:9" x14ac:dyDescent="0.35">
      <c r="A70" s="580"/>
      <c r="B70" s="580"/>
      <c r="C70" s="580"/>
      <c r="D70" s="584"/>
      <c r="E70" s="584"/>
      <c r="F70" s="584"/>
      <c r="G70" s="584"/>
      <c r="H70" s="584"/>
      <c r="I70" s="584"/>
    </row>
    <row r="71" spans="1:9" x14ac:dyDescent="0.35">
      <c r="A71" s="580"/>
      <c r="B71" s="580"/>
      <c r="C71" s="580"/>
      <c r="D71" s="584"/>
      <c r="E71" s="584"/>
      <c r="F71" s="584"/>
      <c r="G71" s="584"/>
      <c r="H71" s="584"/>
      <c r="I71" s="584"/>
    </row>
    <row r="72" spans="1:9" x14ac:dyDescent="0.35">
      <c r="A72" s="580"/>
      <c r="B72" s="580"/>
      <c r="C72" s="580"/>
      <c r="D72" s="584"/>
      <c r="E72" s="584"/>
      <c r="F72" s="584"/>
      <c r="G72" s="584"/>
      <c r="H72" s="584"/>
      <c r="I72" s="584"/>
    </row>
  </sheetData>
  <sheetProtection pivotTables="0"/>
  <phoneticPr fontId="29" type="noConversion"/>
  <printOptions horizontalCentered="1"/>
  <pageMargins left="0.25" right="0.25" top="0.25" bottom="0.25" header="0.05" footer="0.05"/>
  <pageSetup scale="76"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7B8F-B9C0-4C73-B610-B3C7A7ECD900}">
  <sheetPr codeName="Sheet7">
    <tabColor rgb="FF75DBFF"/>
  </sheetPr>
  <dimension ref="A1:AE462"/>
  <sheetViews>
    <sheetView showGridLines="0" zoomScale="70" zoomScaleNormal="70" workbookViewId="0">
      <pane ySplit="3" topLeftCell="A62" activePane="bottomLeft" state="frozen"/>
      <selection activeCell="D12" sqref="D12"/>
      <selection pane="bottomLeft" activeCell="O75" sqref="O75"/>
    </sheetView>
  </sheetViews>
  <sheetFormatPr defaultColWidth="5.7265625" defaultRowHeight="14.5" x14ac:dyDescent="0.35"/>
  <cols>
    <col min="1" max="1" width="5" style="254" customWidth="1"/>
    <col min="2" max="2" width="12.26953125" style="255" hidden="1" customWidth="1"/>
    <col min="3" max="3" width="57.26953125" style="254" customWidth="1"/>
    <col min="4" max="4" width="17.26953125" style="256" customWidth="1"/>
    <col min="5" max="5" width="14.26953125" style="256" customWidth="1"/>
    <col min="6" max="8" width="16.453125" style="256" customWidth="1"/>
    <col min="9" max="9" width="16" style="256" customWidth="1"/>
    <col min="10" max="10" width="10.453125" style="256" hidden="1" customWidth="1"/>
    <col min="11" max="11" width="5" style="254" customWidth="1"/>
    <col min="12" max="12" width="14.26953125" style="271" hidden="1" customWidth="1"/>
    <col min="13" max="13" width="57.26953125" style="254" customWidth="1"/>
    <col min="14" max="14" width="17.26953125" style="256" customWidth="1"/>
    <col min="15" max="15" width="14.26953125" style="256" customWidth="1"/>
    <col min="16" max="18" width="16.453125" style="256" customWidth="1"/>
    <col min="19" max="19" width="15.7265625" style="256" customWidth="1"/>
    <col min="20" max="20" width="11.26953125" style="256" hidden="1" customWidth="1"/>
    <col min="21" max="21" width="5.7265625" style="254"/>
    <col min="22" max="22" width="7.7265625" style="254" bestFit="1" customWidth="1"/>
    <col min="23" max="23" width="6.453125" customWidth="1"/>
    <col min="24" max="24" width="57.26953125" customWidth="1"/>
    <col min="25" max="25" width="17.26953125" customWidth="1"/>
    <col min="26" max="26" width="14.26953125" customWidth="1"/>
    <col min="27" max="30" width="16.54296875" customWidth="1"/>
    <col min="31" max="16384" width="5.7265625" style="254"/>
  </cols>
  <sheetData>
    <row r="1" spans="1:30" ht="26" x14ac:dyDescent="0.6">
      <c r="C1" s="849" t="str">
        <f>"Tax Rate on PO Tab: "&amp;TEXT(PO!$Q$2,"##0.00#%")&amp;" Material / "&amp;TEXT(PO!$Q$4,"##0.00#%")&amp;" Rental / "&amp;TEXT(PO!$Q$6,"##0.00#%")&amp;" Freight"</f>
        <v>Tax Rate on PO Tab: 10.00% Material / 10.00% Rental / 10.00% Freight</v>
      </c>
      <c r="D1" s="849"/>
      <c r="E1" s="849"/>
      <c r="F1" s="849"/>
      <c r="G1" s="849"/>
      <c r="H1" s="849"/>
      <c r="I1" s="849"/>
      <c r="J1" s="849"/>
      <c r="K1" s="849"/>
      <c r="L1" s="849"/>
      <c r="M1" s="849"/>
      <c r="N1" s="849"/>
      <c r="O1" s="849"/>
      <c r="P1" s="849"/>
      <c r="Q1" s="849"/>
      <c r="R1" s="849"/>
      <c r="S1" s="849"/>
      <c r="W1" s="254"/>
      <c r="X1" s="254"/>
      <c r="Y1" s="254"/>
      <c r="Z1" s="254"/>
      <c r="AA1" s="254"/>
      <c r="AB1" s="254"/>
      <c r="AC1" s="254"/>
      <c r="AD1" s="254"/>
    </row>
    <row r="2" spans="1:30" ht="23.5" x14ac:dyDescent="0.55000000000000004">
      <c r="C2" s="832" t="s">
        <v>764</v>
      </c>
      <c r="D2" s="832"/>
      <c r="E2" s="832"/>
      <c r="F2" s="832"/>
      <c r="G2" s="832"/>
      <c r="H2" s="832"/>
      <c r="I2" s="832"/>
      <c r="J2" s="832"/>
      <c r="K2" s="832"/>
      <c r="L2" s="832"/>
      <c r="M2" s="832"/>
      <c r="N2" s="832"/>
      <c r="O2" s="832"/>
      <c r="P2" s="832"/>
      <c r="Q2" s="832"/>
      <c r="R2" s="832"/>
      <c r="S2" s="832"/>
      <c r="W2" s="254"/>
      <c r="X2" s="254"/>
      <c r="Y2" s="254"/>
      <c r="Z2" s="254"/>
      <c r="AA2" s="254"/>
      <c r="AB2" s="254"/>
      <c r="AC2" s="254"/>
      <c r="AD2" s="254"/>
    </row>
    <row r="3" spans="1:30" ht="24" thickBot="1" x14ac:dyDescent="0.6">
      <c r="C3" s="832" t="s">
        <v>765</v>
      </c>
      <c r="D3" s="832"/>
      <c r="E3" s="832"/>
      <c r="F3" s="832"/>
      <c r="G3" s="832"/>
      <c r="H3" s="832"/>
      <c r="I3" s="832"/>
      <c r="J3" s="832"/>
      <c r="K3" s="832"/>
      <c r="L3" s="832"/>
      <c r="M3" s="832"/>
      <c r="N3" s="832"/>
      <c r="O3" s="832"/>
      <c r="P3" s="832"/>
      <c r="Q3" s="832"/>
      <c r="R3" s="832"/>
      <c r="S3" s="832"/>
      <c r="W3" s="254"/>
      <c r="X3" s="254"/>
      <c r="Y3" s="254"/>
      <c r="Z3" s="254"/>
      <c r="AA3" s="254"/>
      <c r="AB3" s="254"/>
      <c r="AC3" s="254"/>
      <c r="AD3" s="254"/>
    </row>
    <row r="4" spans="1:30" ht="19" thickBot="1" x14ac:dyDescent="0.5">
      <c r="A4" s="325"/>
      <c r="B4" s="257" t="s">
        <v>312</v>
      </c>
      <c r="C4" s="812" t="s">
        <v>312</v>
      </c>
      <c r="D4" s="813"/>
      <c r="E4" s="813"/>
      <c r="F4" s="813"/>
      <c r="G4" s="813"/>
      <c r="H4" s="813"/>
      <c r="I4" s="814"/>
      <c r="J4" s="326"/>
      <c r="K4" s="325" t="s">
        <v>439</v>
      </c>
      <c r="L4" s="257" t="s">
        <v>311</v>
      </c>
      <c r="M4" s="812" t="s">
        <v>311</v>
      </c>
      <c r="N4" s="813"/>
      <c r="O4" s="813"/>
      <c r="P4" s="813"/>
      <c r="Q4" s="813"/>
      <c r="R4" s="813"/>
      <c r="S4" s="814"/>
      <c r="T4" s="259"/>
      <c r="U4" s="67"/>
    </row>
    <row r="5" spans="1:30" ht="15" thickBot="1" x14ac:dyDescent="0.4">
      <c r="A5" s="325"/>
      <c r="B5" s="218" t="s">
        <v>185</v>
      </c>
      <c r="C5" s="267" t="s">
        <v>181</v>
      </c>
      <c r="D5" s="262" t="s">
        <v>334</v>
      </c>
      <c r="E5" s="262" t="s">
        <v>182</v>
      </c>
      <c r="F5" s="263" t="s">
        <v>183</v>
      </c>
      <c r="G5" s="263" t="s">
        <v>184</v>
      </c>
      <c r="H5" s="264" t="s">
        <v>196</v>
      </c>
      <c r="I5" s="265" t="s">
        <v>156</v>
      </c>
      <c r="J5" s="267" t="s">
        <v>180</v>
      </c>
      <c r="K5" s="325" t="s">
        <v>439</v>
      </c>
      <c r="L5" s="301" t="s">
        <v>185</v>
      </c>
      <c r="M5" s="301" t="s">
        <v>181</v>
      </c>
      <c r="N5" s="327" t="s">
        <v>334</v>
      </c>
      <c r="O5" s="327" t="s">
        <v>182</v>
      </c>
      <c r="P5" s="328" t="s">
        <v>183</v>
      </c>
      <c r="Q5" s="328" t="s">
        <v>184</v>
      </c>
      <c r="R5" s="329" t="s">
        <v>196</v>
      </c>
      <c r="S5" s="330" t="s">
        <v>156</v>
      </c>
      <c r="T5" s="331" t="s">
        <v>180</v>
      </c>
      <c r="U5" s="67"/>
    </row>
    <row r="6" spans="1:30" x14ac:dyDescent="0.35">
      <c r="A6" s="325"/>
      <c r="B6" s="219" t="str">
        <f>IFERROR(IF(C6="","",_xlfn.XLOOKUP(_xlfn.CONCAT(C6:E6),P!$Y:$Y,P!$X:$X,"UNAVAILABLE")),"UNAVAILABLE")</f>
        <v xml:space="preserve"> 3477 EPOXN//A3 G</v>
      </c>
      <c r="C6" s="428" t="s">
        <v>336</v>
      </c>
      <c r="D6" s="422" t="s">
        <v>398</v>
      </c>
      <c r="E6" s="422" t="s">
        <v>407</v>
      </c>
      <c r="F6" s="405"/>
      <c r="G6" s="16">
        <f>IFERROR(VLOOKUP(SWPRIME[[#This Row],[PROD '#]],Table1[[Product '#]:[Cost]],3,FALSE),0)</f>
        <v>217.16</v>
      </c>
      <c r="H6" s="5"/>
      <c r="I6" s="44">
        <f>IFERROR(IF(H6&lt;&gt;"",F6*H6,F6*G6),"")</f>
        <v>0</v>
      </c>
      <c r="J6" s="220"/>
      <c r="K6" s="325" t="s">
        <v>439</v>
      </c>
      <c r="L6" s="294" t="str">
        <f>IFERROR(IF(M6="","",_xlfn.XLOOKUP(_xlfn.CONCAT(M6:O6),P!$Y:$Y,P!$X:$X,"UNAVAILABLE")),"UNAVAILABLE")</f>
        <v>3725 STATIMEAY3 G</v>
      </c>
      <c r="M6" s="426" t="s">
        <v>381</v>
      </c>
      <c r="N6" s="425" t="s">
        <v>333</v>
      </c>
      <c r="O6" s="422" t="s">
        <v>407</v>
      </c>
      <c r="P6" s="405"/>
      <c r="Q6" s="16">
        <f>IFERROR(VLOOKUP(SWEPOXY[[#This Row],[PROD '#]],Table1[[Product '#]:[Cost]],3,FALSE),0)</f>
        <v>790.19999999999993</v>
      </c>
      <c r="R6" s="5"/>
      <c r="S6" s="45">
        <f>IFERROR(IF(R6&lt;&gt;"",P6*R6,P6*Q6),"")</f>
        <v>0</v>
      </c>
      <c r="T6" s="221"/>
      <c r="U6" s="67"/>
    </row>
    <row r="7" spans="1:30" x14ac:dyDescent="0.35">
      <c r="A7" s="325"/>
      <c r="B7" s="219" t="str">
        <f>IFERROR(IF(C7="","",_xlfn.XLOOKUP(_xlfn.CONCAT(C7:E7),P!$Y:$Y,P!$X:$X,"UNAVAILABLE")),"UNAVAILABLE")</f>
        <v xml:space="preserve"> 3504 HIGHGRAY2 G</v>
      </c>
      <c r="C7" s="429" t="s">
        <v>337</v>
      </c>
      <c r="D7" s="422" t="s">
        <v>317</v>
      </c>
      <c r="E7" s="422" t="s">
        <v>406</v>
      </c>
      <c r="F7" s="405"/>
      <c r="G7" s="16">
        <f>IFERROR(VLOOKUP(SWPRIME[[#This Row],[PROD '#]],Table1[[Product '#]:[Cost]],3,FALSE),0)</f>
        <v>168.31</v>
      </c>
      <c r="H7" s="6"/>
      <c r="I7" s="45">
        <f>IFERROR(IF(H7&lt;&gt;"",F7*H7,F7*G7),"")</f>
        <v>0</v>
      </c>
      <c r="J7" s="222"/>
      <c r="K7" s="325" t="s">
        <v>439</v>
      </c>
      <c r="L7" s="294" t="str">
        <f>IFERROR(IF(M7="","",_xlfn.XLOOKUP(_xlfn.CONCAT(M7:O7),P!$Y:$Y,P!$X:$X,"UNAVAILABLE")),"UNAVAILABLE")</f>
        <v xml:space="preserve">AQUA 3461 N//A15 </v>
      </c>
      <c r="M7" s="426" t="s">
        <v>342</v>
      </c>
      <c r="N7" s="422" t="s">
        <v>398</v>
      </c>
      <c r="O7" s="422" t="s">
        <v>408</v>
      </c>
      <c r="P7" s="406"/>
      <c r="Q7" s="16">
        <f>IFERROR(VLOOKUP(SWEPOXY[[#This Row],[PROD '#]],Table1[[Product '#]:[Cost]],3,FALSE),0)</f>
        <v>1617</v>
      </c>
      <c r="R7" s="6"/>
      <c r="S7" s="45">
        <f>IFERROR(IF(R7&lt;&gt;"",P7*R7,P7*Q7),"")</f>
        <v>0</v>
      </c>
      <c r="T7" s="223"/>
      <c r="U7" s="67"/>
    </row>
    <row r="8" spans="1:30" x14ac:dyDescent="0.35">
      <c r="A8" s="325"/>
      <c r="B8" s="219" t="str">
        <f>IFERROR(IF(C8="","",_xlfn.XLOOKUP(_xlfn.CONCAT(C8:E8),P!$Y:$Y,P!$X:$X,"UNAVAILABLE")),"UNAVAILABLE")</f>
        <v xml:space="preserve"> 3579 HIGHWHTE3 G</v>
      </c>
      <c r="C8" s="429" t="s">
        <v>338</v>
      </c>
      <c r="D8" s="422" t="s">
        <v>322</v>
      </c>
      <c r="E8" s="422" t="s">
        <v>407</v>
      </c>
      <c r="F8" s="405"/>
      <c r="G8" s="16">
        <f>IFERROR(VLOOKUP(SWPRIME[[#This Row],[PROD '#]],Table1[[Product '#]:[Cost]],3,FALSE),0)</f>
        <v>187.14</v>
      </c>
      <c r="H8" s="6"/>
      <c r="I8" s="45">
        <f t="shared" ref="I8:I15" si="0">IFERROR(IF(H8&lt;&gt;"",F8*H8,F8*G8),"")</f>
        <v>0</v>
      </c>
      <c r="J8" s="222"/>
      <c r="K8" s="325" t="s">
        <v>439</v>
      </c>
      <c r="L8" s="294" t="str">
        <f>IFERROR(IF(M8="","",_xlfn.XLOOKUP(_xlfn.CONCAT(M8:O8),P!$Y:$Y,P!$X:$X,"UNAVAILABLE")),"UNAVAILABLE")</f>
        <v>3746 HIGH CLAR3 G</v>
      </c>
      <c r="M8" s="426" t="s">
        <v>346</v>
      </c>
      <c r="N8" s="422" t="s">
        <v>315</v>
      </c>
      <c r="O8" s="422" t="s">
        <v>407</v>
      </c>
      <c r="P8" s="406"/>
      <c r="Q8" s="16">
        <f>IFERROR(VLOOKUP(SWEPOXY[[#This Row],[PROD '#]],Table1[[Product '#]:[Cost]],3,FALSE),0)</f>
        <v>205.98</v>
      </c>
      <c r="R8" s="6"/>
      <c r="S8" s="45">
        <f t="shared" ref="S8:S17" si="1">IFERROR(IF(R8&lt;&gt;"",P8*R8,P8*Q8),"")</f>
        <v>0</v>
      </c>
      <c r="T8" s="223"/>
      <c r="U8" s="67"/>
    </row>
    <row r="9" spans="1:30" x14ac:dyDescent="0.35">
      <c r="A9" s="325"/>
      <c r="B9" s="219" t="str">
        <f>IFERROR(IF(C9="","",_xlfn.XLOOKUP(_xlfn.CONCAT(C9:E9),P!$Y:$Y,P!$X:$X,"UNAVAILABLE")),"UNAVAILABLE")</f>
        <v xml:space="preserve"> 3831 MVB N//A2 G</v>
      </c>
      <c r="C9" s="429" t="s">
        <v>344</v>
      </c>
      <c r="D9" s="422" t="s">
        <v>398</v>
      </c>
      <c r="E9" s="422" t="s">
        <v>406</v>
      </c>
      <c r="F9" s="405"/>
      <c r="G9" s="16">
        <f>IFERROR(VLOOKUP(SWPRIME[[#This Row],[PROD '#]],Table1[[Product '#]:[Cost]],3,FALSE),0)</f>
        <v>135.36000000000001</v>
      </c>
      <c r="H9" s="6"/>
      <c r="I9" s="45">
        <f t="shared" si="0"/>
        <v>0</v>
      </c>
      <c r="J9" s="222"/>
      <c r="K9" s="325" t="s">
        <v>439</v>
      </c>
      <c r="L9" s="294" t="str">
        <f>IFERROR(IF(M9="","",_xlfn.XLOOKUP(_xlfn.CONCAT(M9:O9),P!$Y:$Y,P!$X:$X,"UNAVAILABLE")),"UNAVAILABLE")</f>
        <v xml:space="preserve">3760 MPE MN//A15 </v>
      </c>
      <c r="M9" s="426" t="s">
        <v>345</v>
      </c>
      <c r="N9" s="422" t="s">
        <v>398</v>
      </c>
      <c r="O9" s="422" t="s">
        <v>408</v>
      </c>
      <c r="P9" s="405"/>
      <c r="Q9" s="16">
        <f>IFERROR(VLOOKUP(SWEPOXY[[#This Row],[PROD '#]],Table1[[Product '#]:[Cost]],3,FALSE),0)</f>
        <v>847.44</v>
      </c>
      <c r="R9" s="6"/>
      <c r="S9" s="45">
        <f t="shared" si="1"/>
        <v>0</v>
      </c>
      <c r="T9" s="223"/>
      <c r="U9" s="67"/>
    </row>
    <row r="10" spans="1:30" x14ac:dyDescent="0.35">
      <c r="A10" s="325"/>
      <c r="B10" s="219" t="str">
        <f>IFERROR(IF(C10="","",_xlfn.XLOOKUP(_xlfn.CONCAT(C10:E10),P!$Y:$Y,P!$X:$X,"UNAVAILABLE")),"UNAVAILABLE")</f>
        <v xml:space="preserve"> 5531 OIL N//A1 Q</v>
      </c>
      <c r="C10" s="429" t="s">
        <v>340</v>
      </c>
      <c r="D10" s="422" t="s">
        <v>398</v>
      </c>
      <c r="E10" s="422" t="s">
        <v>411</v>
      </c>
      <c r="F10" s="405"/>
      <c r="G10" s="16">
        <f>IFERROR(VLOOKUP(SWPRIME[[#This Row],[PROD '#]],Table1[[Product '#]:[Cost]],3,FALSE),0)</f>
        <v>48.26</v>
      </c>
      <c r="H10" s="6"/>
      <c r="I10" s="45">
        <f t="shared" si="0"/>
        <v>0</v>
      </c>
      <c r="J10" s="222"/>
      <c r="K10" s="325" t="s">
        <v>439</v>
      </c>
      <c r="L10" s="294" t="str">
        <f>IFERROR(IF(M10="","",_xlfn.XLOOKUP(_xlfn.CONCAT(M10:O10),P!$Y:$Y,P!$X:$X,"UNAVAILABLE")),"UNAVAILABLE")</f>
        <v>AQUA 3460 WHTE1.2</v>
      </c>
      <c r="M10" s="426" t="s">
        <v>341</v>
      </c>
      <c r="N10" s="598" t="s">
        <v>322</v>
      </c>
      <c r="O10" s="422" t="s">
        <v>421</v>
      </c>
      <c r="P10" s="406"/>
      <c r="Q10" s="16">
        <f>IFERROR(VLOOKUP(SWEPOXY[[#This Row],[PROD '#]],Table1[[Product '#]:[Cost]],3,FALSE),0)</f>
        <v>131.82</v>
      </c>
      <c r="R10" s="6"/>
      <c r="S10" s="45">
        <f t="shared" si="1"/>
        <v>0</v>
      </c>
      <c r="T10" s="223"/>
      <c r="U10" s="67"/>
    </row>
    <row r="11" spans="1:30" x14ac:dyDescent="0.35">
      <c r="A11" s="325"/>
      <c r="B11" s="219" t="str">
        <f>IFERROR(IF(C11="","",_xlfn.XLOOKUP(_xlfn.CONCAT(C11:E11),P!$Y:$Y,P!$X:$X,"UNAVAILABLE")),"UNAVAILABLE")</f>
        <v xml:space="preserve"> MVP EPOXYN//A3 G</v>
      </c>
      <c r="C11" s="429" t="s">
        <v>339</v>
      </c>
      <c r="D11" s="422" t="s">
        <v>398</v>
      </c>
      <c r="E11" s="422" t="s">
        <v>407</v>
      </c>
      <c r="F11" s="405"/>
      <c r="G11" s="16">
        <f>IFERROR(VLOOKUP(SWPRIME[[#This Row],[PROD '#]],Table1[[Product '#]:[Cost]],3,FALSE),0)</f>
        <v>421.2</v>
      </c>
      <c r="H11" s="6"/>
      <c r="I11" s="45">
        <f t="shared" si="0"/>
        <v>0</v>
      </c>
      <c r="J11" s="222"/>
      <c r="K11" s="325" t="s">
        <v>439</v>
      </c>
      <c r="L11" s="294" t="str">
        <f>IFERROR(IF(M11="","",_xlfn.XLOOKUP(_xlfn.CONCAT(M11:O11),P!$Y:$Y,P!$X:$X,"UNAVAILABLE")),"UNAVAILABLE")</f>
        <v>AQUA 3461 N//A3 G</v>
      </c>
      <c r="M11" s="426" t="s">
        <v>342</v>
      </c>
      <c r="N11" s="422" t="s">
        <v>398</v>
      </c>
      <c r="O11" s="422" t="s">
        <v>407</v>
      </c>
      <c r="P11" s="406"/>
      <c r="Q11" s="16">
        <f>IFERROR(VLOOKUP(SWEPOXY[[#This Row],[PROD '#]],Table1[[Product '#]:[Cost]],3,FALSE),0)</f>
        <v>318</v>
      </c>
      <c r="R11" s="6"/>
      <c r="S11" s="45">
        <f t="shared" si="1"/>
        <v>0</v>
      </c>
      <c r="T11" s="223"/>
      <c r="U11" s="67"/>
    </row>
    <row r="12" spans="1:30" x14ac:dyDescent="0.35">
      <c r="A12" s="325"/>
      <c r="B12" s="219" t="str">
        <f>IFERROR(IF(C12="","",_xlfn.XLOOKUP(_xlfn.CONCAT(C12:E12),P!$Y:$Y,P!$X:$X,"UNAVAILABLE")),"UNAVAILABLE")</f>
        <v/>
      </c>
      <c r="C12" s="429"/>
      <c r="D12" s="422"/>
      <c r="E12" s="422"/>
      <c r="F12" s="405"/>
      <c r="G12" s="16">
        <f>IFERROR(VLOOKUP(SWPRIME[[#This Row],[PROD '#]],Table1[[Product '#]:[Cost]],3,FALSE),0)</f>
        <v>0</v>
      </c>
      <c r="H12" s="6"/>
      <c r="I12" s="45">
        <f t="shared" si="0"/>
        <v>0</v>
      </c>
      <c r="J12" s="222"/>
      <c r="K12" s="325" t="s">
        <v>439</v>
      </c>
      <c r="L12" s="294" t="str">
        <f>IFERROR(IF(M12="","",_xlfn.XLOOKUP(_xlfn.CONCAT(M12:O12),P!$Y:$Y,P!$X:$X,"UNAVAILABLE")),"UNAVAILABLE")</f>
        <v>4638 HS POCUOM3 G</v>
      </c>
      <c r="M12" s="426" t="s">
        <v>348</v>
      </c>
      <c r="N12" s="598" t="s">
        <v>316</v>
      </c>
      <c r="O12" s="422" t="s">
        <v>407</v>
      </c>
      <c r="P12" s="405"/>
      <c r="Q12" s="16">
        <f>IFERROR(VLOOKUP(SWEPOXY[[#This Row],[PROD '#]],Table1[[Product '#]:[Cost]],3,FALSE),0)</f>
        <v>305.43</v>
      </c>
      <c r="R12" s="6"/>
      <c r="S12" s="45">
        <f t="shared" si="1"/>
        <v>0</v>
      </c>
      <c r="T12" s="223"/>
      <c r="U12" s="67"/>
    </row>
    <row r="13" spans="1:30" x14ac:dyDescent="0.35">
      <c r="A13" s="325"/>
      <c r="B13" s="219" t="str">
        <f>IFERROR(IF(C13="","",_xlfn.XLOOKUP(_xlfn.CONCAT(C13:E13),P!$Y:$Y,P!$X:$X,"UNAVAILABLE")),"UNAVAILABLE")</f>
        <v/>
      </c>
      <c r="C13" s="429"/>
      <c r="D13" s="422"/>
      <c r="E13" s="422"/>
      <c r="F13" s="406"/>
      <c r="G13" s="16">
        <f>IFERROR(VLOOKUP(SWPRIME[[#This Row],[PROD '#]],Table1[[Product '#]:[Cost]],3,FALSE),0)</f>
        <v>0</v>
      </c>
      <c r="H13" s="6"/>
      <c r="I13" s="45">
        <f t="shared" si="0"/>
        <v>0</v>
      </c>
      <c r="J13" s="222"/>
      <c r="K13" s="325" t="s">
        <v>439</v>
      </c>
      <c r="L13" s="294" t="str">
        <f>IFERROR(IF(M13="","",_xlfn.XLOOKUP(_xlfn.CONCAT(M13:O13),P!$Y:$Y,P!$X:$X,"UNAVAILABLE")),"UNAVAILABLE")</f>
        <v xml:space="preserve">PT 250 THICLAR15 </v>
      </c>
      <c r="M13" s="426" t="s">
        <v>450</v>
      </c>
      <c r="N13" s="422" t="s">
        <v>315</v>
      </c>
      <c r="O13" s="422" t="s">
        <v>408</v>
      </c>
      <c r="P13" s="406"/>
      <c r="Q13" s="16">
        <f>IFERROR(VLOOKUP(SWEPOXY[[#This Row],[PROD '#]],Table1[[Product '#]:[Cost]],3,FALSE),0)</f>
        <v>1053.42</v>
      </c>
      <c r="R13" s="6"/>
      <c r="S13" s="45">
        <f t="shared" si="1"/>
        <v>0</v>
      </c>
      <c r="T13" s="223"/>
      <c r="U13" s="67"/>
    </row>
    <row r="14" spans="1:30" x14ac:dyDescent="0.35">
      <c r="A14" s="325"/>
      <c r="B14" s="219" t="str">
        <f>IFERROR(IF(C14="","",_xlfn.XLOOKUP(_xlfn.CONCAT(C14:E14),P!$Y:$Y,P!$X:$X,"UNAVAILABLE")),"UNAVAILABLE")</f>
        <v/>
      </c>
      <c r="C14" s="429"/>
      <c r="D14" s="422"/>
      <c r="E14" s="422"/>
      <c r="F14" s="406"/>
      <c r="G14" s="16">
        <f>IFERROR(VLOOKUP(SWPRIME[[#This Row],[PROD '#]],Table1[[Product '#]:[Cost]],3,FALSE),0)</f>
        <v>0</v>
      </c>
      <c r="H14" s="6"/>
      <c r="I14" s="45">
        <f t="shared" si="0"/>
        <v>0</v>
      </c>
      <c r="J14" s="222"/>
      <c r="K14" s="325" t="s">
        <v>439</v>
      </c>
      <c r="L14" s="294" t="str">
        <f>IFERROR(IF(M14="","",_xlfn.XLOOKUP(_xlfn.CONCAT(M14:O14),P!$Y:$Y,P!$X:$X,"UNAVAILABLE")),"UNAVAILABLE")</f>
        <v>3760 RCE RN//A15</v>
      </c>
      <c r="M14" s="426" t="s">
        <v>1077</v>
      </c>
      <c r="N14" s="422" t="s">
        <v>398</v>
      </c>
      <c r="O14" s="422" t="s">
        <v>408</v>
      </c>
      <c r="P14" s="406"/>
      <c r="Q14" s="16">
        <f>IFERROR(VLOOKUP(SWEPOXY[[#This Row],[PROD '#]],Table1[[Product '#]:[Cost]],3,FALSE),0)</f>
        <v>962.2</v>
      </c>
      <c r="R14" s="6"/>
      <c r="S14" s="45">
        <f t="shared" si="1"/>
        <v>0</v>
      </c>
      <c r="T14" s="223"/>
      <c r="U14" s="67"/>
    </row>
    <row r="15" spans="1:30" x14ac:dyDescent="0.35">
      <c r="A15" s="325"/>
      <c r="B15" s="219" t="str">
        <f>IFERROR(IF(C15="","",_xlfn.XLOOKUP(_xlfn.CONCAT(C15:E15),P!$Y:$Y,P!$X:$X,"UNAVAILABLE")),"UNAVAILABLE")</f>
        <v/>
      </c>
      <c r="C15" s="429"/>
      <c r="D15" s="422"/>
      <c r="E15" s="422"/>
      <c r="F15" s="406"/>
      <c r="G15" s="16">
        <f>IFERROR(VLOOKUP(SWPRIME[[#This Row],[PROD '#]],Table1[[Product '#]:[Cost]],3,FALSE),0)</f>
        <v>0</v>
      </c>
      <c r="H15" s="6"/>
      <c r="I15" s="45">
        <f t="shared" si="0"/>
        <v>0</v>
      </c>
      <c r="J15" s="222"/>
      <c r="K15" s="325" t="s">
        <v>439</v>
      </c>
      <c r="L15" s="294" t="str">
        <f>IFERROR(IF(M15="","",_xlfn.XLOOKUP(_xlfn.CONCAT(M15:O15),P!$Y:$Y,P!$X:$X,"UNAVAILABLE")),"UNAVAILABLE")</f>
        <v xml:space="preserve">POFLEX 1:1GRAY2 </v>
      </c>
      <c r="M15" s="426" t="s">
        <v>1046</v>
      </c>
      <c r="N15" s="422" t="s">
        <v>317</v>
      </c>
      <c r="O15" s="422" t="s">
        <v>406</v>
      </c>
      <c r="P15" s="406"/>
      <c r="Q15" s="16">
        <f>IFERROR(VLOOKUP(SWEPOXY[[#This Row],[PROD '#]],Table1[[Product '#]:[Cost]],3,FALSE),0)</f>
        <v>216.57</v>
      </c>
      <c r="R15" s="6"/>
      <c r="S15" s="45">
        <f t="shared" si="1"/>
        <v>0</v>
      </c>
      <c r="T15" s="223"/>
      <c r="U15" s="67"/>
    </row>
    <row r="16" spans="1:30" x14ac:dyDescent="0.35">
      <c r="A16" s="325"/>
      <c r="B16" s="219" t="str">
        <f>IFERROR(IF(C16="","",_xlfn.XLOOKUP(_xlfn.CONCAT(C16:E16),P!$Y:$Y,P!$X:$X,"UNAVAILABLE")),"UNAVAILABLE")</f>
        <v/>
      </c>
      <c r="C16" s="429"/>
      <c r="D16" s="422"/>
      <c r="E16" s="422"/>
      <c r="F16" s="406"/>
      <c r="G16" s="16">
        <f>IFERROR(VLOOKUP(SWPRIME[[#This Row],[PROD '#]],Table1[[Product '#]:[Cost]],3,FALSE),0)</f>
        <v>0</v>
      </c>
      <c r="H16" s="6"/>
      <c r="I16" s="45">
        <f>IFERROR(IF(H16&lt;&gt;"",F16*H16,F16*G16),"")</f>
        <v>0</v>
      </c>
      <c r="J16" s="222"/>
      <c r="K16" s="325" t="s">
        <v>439</v>
      </c>
      <c r="L16" s="294" t="str">
        <f>IFERROR(IF(M16="","",_xlfn.XLOOKUP(_xlfn.CONCAT(M16:O16),P!$Y:$Y,P!$X:$X,"UNAVAILABLE")),"UNAVAILABLE")</f>
        <v>3741 CHEMISTAY3 G</v>
      </c>
      <c r="M16" s="426" t="s">
        <v>347</v>
      </c>
      <c r="N16" s="422" t="s">
        <v>319</v>
      </c>
      <c r="O16" s="422" t="s">
        <v>407</v>
      </c>
      <c r="P16" s="406"/>
      <c r="Q16" s="16">
        <f>IFERROR(VLOOKUP(SWEPOXY[[#This Row],[PROD '#]],Table1[[Product '#]:[Cost]],3,FALSE),0)</f>
        <v>388.66</v>
      </c>
      <c r="R16" s="6"/>
      <c r="S16" s="45">
        <f t="shared" si="1"/>
        <v>0</v>
      </c>
      <c r="T16" s="223"/>
      <c r="U16" s="67"/>
    </row>
    <row r="17" spans="1:21" x14ac:dyDescent="0.35">
      <c r="A17" s="325"/>
      <c r="B17" s="219" t="str">
        <f>IFERROR(IF(C17="","",_xlfn.XLOOKUP(_xlfn.CONCAT(C17:E17),P!$Y:$Y,P!$X:$X,"UNAVAILABLE")),"UNAVAILABLE")</f>
        <v/>
      </c>
      <c r="C17" s="429"/>
      <c r="D17" s="422"/>
      <c r="E17" s="422"/>
      <c r="F17" s="406"/>
      <c r="G17" s="16">
        <f>IFERROR(VLOOKUP(SWPRIME[[#This Row],[PROD '#]],Table1[[Product '#]:[Cost]],3,FALSE),0)</f>
        <v>0</v>
      </c>
      <c r="H17" s="6"/>
      <c r="I17" s="45">
        <f>IFERROR(IF(H17&lt;&gt;"",F17*H17,F17*G17),"")</f>
        <v>0</v>
      </c>
      <c r="J17" s="222"/>
      <c r="K17" s="325" t="s">
        <v>439</v>
      </c>
      <c r="L17" s="294" t="str">
        <f>IFERROR(IF(M17="","",_xlfn.XLOOKUP(_xlfn.CONCAT(M17:O17),P!$Y:$Y,P!$X:$X,"UNAVAILABLE")),"UNAVAILABLE")</f>
        <v/>
      </c>
      <c r="M17" s="426"/>
      <c r="N17" s="422"/>
      <c r="O17" s="422"/>
      <c r="P17" s="406"/>
      <c r="Q17" s="16">
        <f>IFERROR(VLOOKUP(SWEPOXY[[#This Row],[PROD '#]],Table1[[Product '#]:[Cost]],3,FALSE),0)</f>
        <v>0</v>
      </c>
      <c r="R17" s="6"/>
      <c r="S17" s="45">
        <f t="shared" si="1"/>
        <v>0</v>
      </c>
      <c r="T17" s="223"/>
      <c r="U17" s="67"/>
    </row>
    <row r="18" spans="1:21" x14ac:dyDescent="0.35">
      <c r="A18" s="325"/>
      <c r="B18" s="219" t="str">
        <f>IFERROR(IF(C18="","",_xlfn.XLOOKUP(_xlfn.CONCAT(C18:E18),P!$Y:$Y,P!$X:$X,"UNAVAILABLE")),"UNAVAILABLE")</f>
        <v/>
      </c>
      <c r="C18" s="429"/>
      <c r="D18" s="422"/>
      <c r="E18" s="422"/>
      <c r="F18" s="406"/>
      <c r="G18" s="16">
        <f>IFERROR(VLOOKUP(SWPRIME[[#This Row],[PROD '#]],Table1[[Product '#]:[Cost]],3,FALSE),0)</f>
        <v>0</v>
      </c>
      <c r="H18" s="6"/>
      <c r="I18" s="45">
        <f>IFERROR(IF(H18&lt;&gt;"",F18*H18,F18*G18),"")</f>
        <v>0</v>
      </c>
      <c r="J18" s="222"/>
      <c r="K18" s="325" t="s">
        <v>439</v>
      </c>
      <c r="L18" s="294" t="str">
        <f>IFERROR(IF(M18="","",_xlfn.XLOOKUP(_xlfn.CONCAT(M18:O18),P!$Y:$Y,P!$X:$X,"UNAVAILABLE")),"UNAVAILABLE")</f>
        <v/>
      </c>
      <c r="M18" s="426"/>
      <c r="N18" s="598"/>
      <c r="O18" s="422"/>
      <c r="P18" s="406"/>
      <c r="Q18" s="16">
        <f>IFERROR(VLOOKUP(SWEPOXY[[#This Row],[PROD '#]],Table1[[Product '#]:[Cost]],3,FALSE),0)</f>
        <v>0</v>
      </c>
      <c r="R18" s="6"/>
      <c r="S18" s="45">
        <f>IFERROR(IF(R18&lt;&gt;"",P18*R18,P18*Q18),"")</f>
        <v>0</v>
      </c>
      <c r="T18" s="223"/>
      <c r="U18" s="67"/>
    </row>
    <row r="19" spans="1:21" ht="15" thickBot="1" x14ac:dyDescent="0.4">
      <c r="A19" s="325"/>
      <c r="B19" s="224" t="str">
        <f>IFERROR(IF(C19="","",_xlfn.XLOOKUP(_xlfn.CONCAT(C19:E19),P!$Y:$Y,P!$X:$X,"UNAVAILABLE")),"UNAVAILABLE")</f>
        <v/>
      </c>
      <c r="C19" s="430"/>
      <c r="D19" s="422"/>
      <c r="E19" s="422"/>
      <c r="F19" s="407"/>
      <c r="G19" s="43">
        <f>IFERROR(VLOOKUP(SWPRIME[[#This Row],[PROD '#]],Table1[[Product '#]:[Cost]],3,FALSE),0)</f>
        <v>0</v>
      </c>
      <c r="H19" s="42"/>
      <c r="I19" s="46">
        <f>IFERROR(IF(H19&lt;&gt;"",F19*H19,F19*G19),"")</f>
        <v>0</v>
      </c>
      <c r="J19" s="225"/>
      <c r="K19" s="325" t="s">
        <v>439</v>
      </c>
      <c r="L19" s="333" t="str">
        <f>IFERROR(IF(M19="","",_xlfn.XLOOKUP(_xlfn.CONCAT(M19:O19),P!$Y:$Y,P!$X:$X,"UNAVAILABLE")),"UNAVAILABLE")</f>
        <v/>
      </c>
      <c r="M19" s="427"/>
      <c r="N19" s="598"/>
      <c r="O19" s="422"/>
      <c r="P19" s="406"/>
      <c r="Q19" s="43">
        <f>IFERROR(VLOOKUP(SWEPOXY[[#This Row],[PROD '#]],Table1[[Product '#]:[Cost]],3,FALSE),0)</f>
        <v>0</v>
      </c>
      <c r="R19" s="42"/>
      <c r="S19" s="46">
        <f>IFERROR(IF(R19&lt;&gt;"",P19*R19,P19*Q19),"")</f>
        <v>0</v>
      </c>
      <c r="T19" s="226"/>
      <c r="U19" s="67"/>
    </row>
    <row r="20" spans="1:21" ht="15.5" thickTop="1" thickBot="1" x14ac:dyDescent="0.4">
      <c r="A20" s="325"/>
      <c r="B20" s="334" t="s">
        <v>16</v>
      </c>
      <c r="C20" s="227" t="s">
        <v>16</v>
      </c>
      <c r="D20" s="228"/>
      <c r="E20" s="228"/>
      <c r="F20" s="228"/>
      <c r="G20" s="228"/>
      <c r="H20" s="228"/>
      <c r="I20" s="229">
        <f>SUBTOTAL(109,SWPRIME[EXTENSION])</f>
        <v>0</v>
      </c>
      <c r="J20" s="335">
        <f>SUBTOTAL(103,SWPRIME[WEIGHT])</f>
        <v>0</v>
      </c>
      <c r="K20" s="325" t="s">
        <v>439</v>
      </c>
      <c r="L20" s="336" t="s">
        <v>16</v>
      </c>
      <c r="M20" s="230" t="s">
        <v>16</v>
      </c>
      <c r="N20" s="228"/>
      <c r="O20" s="228"/>
      <c r="P20" s="228"/>
      <c r="Q20" s="228"/>
      <c r="R20" s="228"/>
      <c r="S20" s="229">
        <f>SUBTOTAL(109,SWEPOXY[EXTENSION])</f>
        <v>0</v>
      </c>
      <c r="T20" s="337">
        <f>SUBTOTAL(103,SWEPOXY[WEIGHT])</f>
        <v>0</v>
      </c>
      <c r="U20" s="67"/>
    </row>
    <row r="21" spans="1:21" ht="7.5" customHeight="1" thickBot="1" x14ac:dyDescent="0.4">
      <c r="A21" s="67"/>
      <c r="B21" s="338"/>
      <c r="D21" s="254"/>
      <c r="E21" s="254"/>
      <c r="F21" s="254"/>
      <c r="G21" s="254"/>
      <c r="H21" s="254"/>
      <c r="I21" s="254"/>
      <c r="J21" s="254"/>
      <c r="K21" s="67" t="s">
        <v>439</v>
      </c>
      <c r="U21" s="67"/>
    </row>
    <row r="22" spans="1:21" ht="19" thickBot="1" x14ac:dyDescent="0.5">
      <c r="A22" s="325"/>
      <c r="B22" s="257" t="s">
        <v>313</v>
      </c>
      <c r="C22" s="812" t="s">
        <v>1055</v>
      </c>
      <c r="D22" s="813"/>
      <c r="E22" s="813"/>
      <c r="F22" s="813"/>
      <c r="G22" s="813"/>
      <c r="H22" s="813"/>
      <c r="I22" s="814"/>
      <c r="J22" s="326"/>
      <c r="K22" s="325" t="s">
        <v>439</v>
      </c>
      <c r="L22" s="257" t="s">
        <v>314</v>
      </c>
      <c r="M22" s="812" t="s">
        <v>314</v>
      </c>
      <c r="N22" s="813"/>
      <c r="O22" s="813"/>
      <c r="P22" s="813"/>
      <c r="Q22" s="813"/>
      <c r="R22" s="813"/>
      <c r="S22" s="814"/>
      <c r="T22" s="259"/>
      <c r="U22" s="67"/>
    </row>
    <row r="23" spans="1:21" ht="15" thickBot="1" x14ac:dyDescent="0.4">
      <c r="A23" s="325"/>
      <c r="B23" s="218" t="s">
        <v>185</v>
      </c>
      <c r="C23" s="267" t="s">
        <v>181</v>
      </c>
      <c r="D23" s="262" t="s">
        <v>334</v>
      </c>
      <c r="E23" s="262" t="s">
        <v>182</v>
      </c>
      <c r="F23" s="263" t="s">
        <v>183</v>
      </c>
      <c r="G23" s="263" t="s">
        <v>184</v>
      </c>
      <c r="H23" s="264" t="s">
        <v>196</v>
      </c>
      <c r="I23" s="265" t="s">
        <v>156</v>
      </c>
      <c r="J23" s="267" t="s">
        <v>180</v>
      </c>
      <c r="K23" s="325" t="s">
        <v>439</v>
      </c>
      <c r="L23" s="339" t="s">
        <v>185</v>
      </c>
      <c r="M23" s="301" t="s">
        <v>181</v>
      </c>
      <c r="N23" s="327" t="s">
        <v>334</v>
      </c>
      <c r="O23" s="327" t="s">
        <v>182</v>
      </c>
      <c r="P23" s="328" t="s">
        <v>183</v>
      </c>
      <c r="Q23" s="328" t="s">
        <v>184</v>
      </c>
      <c r="R23" s="329" t="s">
        <v>196</v>
      </c>
      <c r="S23" s="330" t="s">
        <v>156</v>
      </c>
      <c r="T23" s="267" t="s">
        <v>180</v>
      </c>
      <c r="U23" s="67"/>
    </row>
    <row r="24" spans="1:21" x14ac:dyDescent="0.35">
      <c r="A24" s="325"/>
      <c r="B24" s="219" t="str">
        <f>IFERROR(IF(C24="","",_xlfn.XLOOKUP(_xlfn.CONCAT(C24:E24),P!$Y:$Y,P!$X:$X,"UNAVAILABLE")),"UNAVAILABLE")</f>
        <v>3500 EPOXYN//A1/2</v>
      </c>
      <c r="C24" s="429" t="s">
        <v>343</v>
      </c>
      <c r="D24" s="422" t="s">
        <v>398</v>
      </c>
      <c r="E24" s="422" t="s">
        <v>409</v>
      </c>
      <c r="F24" s="405"/>
      <c r="G24" s="16">
        <f>IFERROR(VLOOKUP(SWPATCH[[#This Row],[PROD '#]],Table1[[Product '#]:[Cost]],3,FALSE),0)</f>
        <v>97.69</v>
      </c>
      <c r="H24" s="5"/>
      <c r="I24" s="44">
        <f t="shared" ref="I24:I31" si="2">IFERROR(IF(H24&lt;&gt;"",F24*H24,F24*G24),"")</f>
        <v>0</v>
      </c>
      <c r="J24" s="220"/>
      <c r="K24" s="325" t="s">
        <v>439</v>
      </c>
      <c r="L24" s="231" t="str">
        <f>IFERROR(IF(M24="","",_xlfn.XLOOKUP(_xlfn.CONCAT(M24:O24),P!$Y:$Y,P!$X:$X,"UNAVAILABLE")),"UNAVAILABLE")</f>
        <v>4850 GROUTSTAY3 G</v>
      </c>
      <c r="M24" s="426" t="s">
        <v>353</v>
      </c>
      <c r="N24" s="425" t="s">
        <v>319</v>
      </c>
      <c r="O24" s="422" t="s">
        <v>407</v>
      </c>
      <c r="P24" s="405"/>
      <c r="Q24" s="16">
        <f>IFERROR(VLOOKUP(SWPOLY[[#This Row],[PROD '#]],Table1[[Product '#]:[Cost]],3,FALSE),0)</f>
        <v>466.86</v>
      </c>
      <c r="R24" s="5"/>
      <c r="S24" s="44">
        <f>IFERROR(IF(R24&lt;&gt;"",P24*R24,P24*Q24),"")</f>
        <v>0</v>
      </c>
      <c r="T24" s="220"/>
      <c r="U24" s="67"/>
    </row>
    <row r="25" spans="1:21" x14ac:dyDescent="0.35">
      <c r="A25" s="325"/>
      <c r="B25" s="219" t="str">
        <f>IFERROR(IF(C25="","",_xlfn.XLOOKUP(_xlfn.CONCAT(C25:E25),P!$Y:$Y,P!$X:$X,"UNAVAILABLE")),"UNAVAILABLE")</f>
        <v>3513 SCRATGRAY2 G</v>
      </c>
      <c r="C25" s="429" t="s">
        <v>441</v>
      </c>
      <c r="D25" s="422" t="s">
        <v>317</v>
      </c>
      <c r="E25" s="422" t="s">
        <v>406</v>
      </c>
      <c r="F25" s="405"/>
      <c r="G25" s="16">
        <f>IFERROR(VLOOKUP(SWPATCH[[#This Row],[PROD '#]],Table1[[Product '#]:[Cost]],3,FALSE),0)</f>
        <v>104.75</v>
      </c>
      <c r="H25" s="6"/>
      <c r="I25" s="45">
        <f t="shared" si="2"/>
        <v>0</v>
      </c>
      <c r="J25" s="222"/>
      <c r="K25" s="325" t="s">
        <v>439</v>
      </c>
      <c r="L25" s="231" t="str">
        <f>IFERROR(IF(M25="","",_xlfn.XLOOKUP(_xlfn.CONCAT(M25:O25),P!$Y:$Y,P!$X:$X,"UNAVAILABLE")),"UNAVAILABLE")</f>
        <v>FLA CLEAR CLAR2 G</v>
      </c>
      <c r="M25" s="426" t="s">
        <v>382</v>
      </c>
      <c r="N25" s="422" t="s">
        <v>315</v>
      </c>
      <c r="O25" s="422" t="s">
        <v>406</v>
      </c>
      <c r="P25" s="405"/>
      <c r="Q25" s="16">
        <f>IFERROR(VLOOKUP(SWPOLY[[#This Row],[PROD '#]],Table1[[Product '#]:[Cost]],3,FALSE),0)</f>
        <v>215.98</v>
      </c>
      <c r="R25" s="6"/>
      <c r="S25" s="45">
        <f>IFERROR(IF(R25&lt;&gt;"",P25*R25,P25*Q25),"")</f>
        <v>0</v>
      </c>
      <c r="T25" s="222"/>
      <c r="U25" s="67"/>
    </row>
    <row r="26" spans="1:21" x14ac:dyDescent="0.35">
      <c r="A26" s="325"/>
      <c r="B26" s="219" t="str">
        <f>IFERROR(IF(C26="","",_xlfn.XLOOKUP(_xlfn.CONCAT(C26:E26),P!$Y:$Y,P!$X:$X,"UNAVAILABLE")),"UNAVAILABLE")</f>
        <v xml:space="preserve">M.  URETHAN//A44 </v>
      </c>
      <c r="C26" s="429" t="s">
        <v>449</v>
      </c>
      <c r="D26" s="422" t="s">
        <v>398</v>
      </c>
      <c r="E26" s="422" t="s">
        <v>453</v>
      </c>
      <c r="F26" s="405"/>
      <c r="G26" s="16">
        <f>IFERROR(VLOOKUP(SWPATCH[[#This Row],[PROD '#]],Table1[[Product '#]:[Cost]],3,FALSE),0)</f>
        <v>47.67</v>
      </c>
      <c r="H26" s="6"/>
      <c r="I26" s="45">
        <f t="shared" si="2"/>
        <v>0</v>
      </c>
      <c r="J26" s="222"/>
      <c r="K26" s="325" t="s">
        <v>439</v>
      </c>
      <c r="L26" s="231" t="str">
        <f>IFERROR(IF(M26="","",_xlfn.XLOOKUP(_xlfn.CONCAT(M26:O26),P!$Y:$Y,P!$X:$X,"UNAVAILABLE")),"UNAVAILABLE")</f>
        <v>EXT SMALL SIAY1.5</v>
      </c>
      <c r="M26" s="426" t="s">
        <v>445</v>
      </c>
      <c r="N26" s="422" t="s">
        <v>321</v>
      </c>
      <c r="O26" s="422" t="s">
        <v>456</v>
      </c>
      <c r="P26" s="405"/>
      <c r="Q26" s="16">
        <f>IFERROR(VLOOKUP(SWPOLY[[#This Row],[PROD '#]],Table1[[Product '#]:[Cost]],3,FALSE),0)</f>
        <v>253.64</v>
      </c>
      <c r="R26" s="6"/>
      <c r="S26" s="45">
        <f t="shared" ref="S26:S31" si="3">IFERROR(IF(R26&lt;&gt;"",P26*R26,P26*Q26),"")</f>
        <v>0</v>
      </c>
      <c r="T26" s="222"/>
      <c r="U26" s="67"/>
    </row>
    <row r="27" spans="1:21" x14ac:dyDescent="0.35">
      <c r="A27" s="325"/>
      <c r="B27" s="219" t="str">
        <f>IFERROR(IF(C27="","",_xlfn.XLOOKUP(_xlfn.CONCAT(C27:E27),P!$Y:$Y,P!$X:$X,"UNAVAILABLE")),"UNAVAILABLE")</f>
        <v>RSAL COLORBlck1 Pt</v>
      </c>
      <c r="C27" s="429" t="s">
        <v>1057</v>
      </c>
      <c r="D27" s="422" t="s">
        <v>1058</v>
      </c>
      <c r="E27" s="422" t="s">
        <v>1068</v>
      </c>
      <c r="F27" s="406"/>
      <c r="G27" s="16">
        <f>IFERROR(VLOOKUP(SWPATCH[[#This Row],[PROD '#]],Table1[[Product '#]:[Cost]],3,FALSE),0)</f>
        <v>34.130000000000003</v>
      </c>
      <c r="H27" s="6"/>
      <c r="I27" s="45">
        <f t="shared" si="2"/>
        <v>0</v>
      </c>
      <c r="J27" s="222"/>
      <c r="K27" s="325" t="s">
        <v>439</v>
      </c>
      <c r="L27" s="231" t="str">
        <f>IFERROR(IF(M27="","",_xlfn.XLOOKUP(_xlfn.CONCAT(M27:O27),P!$Y:$Y,P!$X:$X,"UNAVAILABLE")),"UNAVAILABLE")</f>
        <v>ONE RESIN CLAR5 G</v>
      </c>
      <c r="M27" s="426" t="s">
        <v>446</v>
      </c>
      <c r="N27" s="422" t="s">
        <v>315</v>
      </c>
      <c r="O27" s="422" t="s">
        <v>412</v>
      </c>
      <c r="P27" s="405"/>
      <c r="Q27" s="16">
        <f>IFERROR(VLOOKUP(SWPOLY[[#This Row],[PROD '#]],Table1[[Product '#]:[Cost]],3,FALSE),0)</f>
        <v>684.43</v>
      </c>
      <c r="R27" s="6"/>
      <c r="S27" s="45">
        <f t="shared" si="3"/>
        <v>0</v>
      </c>
      <c r="T27" s="222"/>
      <c r="U27" s="67"/>
    </row>
    <row r="28" spans="1:21" x14ac:dyDescent="0.35">
      <c r="A28" s="325"/>
      <c r="B28" s="219" t="str">
        <f>IFERROR(IF(C28="","",_xlfn.XLOOKUP(_xlfn.CONCAT(C28:E28),P!$Y:$Y,P!$X:$X,"UNAVAILABLE")),"UNAVAILABLE")</f>
        <v>RSAL COLORYeow1 Pt</v>
      </c>
      <c r="C28" s="429" t="s">
        <v>1057</v>
      </c>
      <c r="D28" s="422" t="s">
        <v>1059</v>
      </c>
      <c r="E28" s="422" t="s">
        <v>1068</v>
      </c>
      <c r="F28" s="406"/>
      <c r="G28" s="16">
        <f>IFERROR(VLOOKUP(SWPATCH[[#This Row],[PROD '#]],Table1[[Product '#]:[Cost]],3,FALSE),0)</f>
        <v>58.85</v>
      </c>
      <c r="H28" s="6"/>
      <c r="I28" s="45">
        <f t="shared" si="2"/>
        <v>0</v>
      </c>
      <c r="J28" s="222"/>
      <c r="K28" s="325" t="s">
        <v>439</v>
      </c>
      <c r="L28" s="231" t="str">
        <f>IFERROR(IF(M28="","",_xlfn.XLOOKUP(_xlfn.CONCAT(M28:O28),P!$Y:$Y,P!$X:$X,"UNAVAILABLE")),"UNAVAILABLE")</f>
        <v>ONE HARDENCLAR1 G</v>
      </c>
      <c r="M28" s="426" t="s">
        <v>447</v>
      </c>
      <c r="N28" s="422" t="s">
        <v>315</v>
      </c>
      <c r="O28" s="422" t="s">
        <v>457</v>
      </c>
      <c r="P28" s="405"/>
      <c r="Q28" s="16">
        <f>IFERROR(VLOOKUP(SWPOLY[[#This Row],[PROD '#]],Table1[[Product '#]:[Cost]],3,FALSE),0)</f>
        <v>362.52</v>
      </c>
      <c r="R28" s="6"/>
      <c r="S28" s="45">
        <f t="shared" si="3"/>
        <v>0</v>
      </c>
      <c r="T28" s="222"/>
      <c r="U28" s="67"/>
    </row>
    <row r="29" spans="1:21" x14ac:dyDescent="0.35">
      <c r="A29" s="325"/>
      <c r="B29" s="219" t="str">
        <f>IFERROR(IF(C29="","",_xlfn.XLOOKUP(_xlfn.CONCAT(C29:E29),P!$Y:$Y,P!$X:$X,"UNAVAILABLE")),"UNAVAILABLE")</f>
        <v>RSAL COLORWhte25</v>
      </c>
      <c r="C29" s="429" t="s">
        <v>1057</v>
      </c>
      <c r="D29" s="422" t="s">
        <v>1067</v>
      </c>
      <c r="E29" s="422" t="s">
        <v>1069</v>
      </c>
      <c r="F29" s="406"/>
      <c r="G29" s="16">
        <f>IFERROR(VLOOKUP(SWPATCH[[#This Row],[PROD '#]],Table1[[Product '#]:[Cost]],3,FALSE),0)</f>
        <v>431.37</v>
      </c>
      <c r="H29" s="6"/>
      <c r="I29" s="45">
        <f t="shared" si="2"/>
        <v>0</v>
      </c>
      <c r="J29" s="222"/>
      <c r="K29" s="325" t="s">
        <v>439</v>
      </c>
      <c r="L29" s="231" t="str">
        <f>IFERROR(IF(M29="","",_xlfn.XLOOKUP(_xlfn.CONCAT(M29:O29),P!$Y:$Y,P!$X:$X,"UNAVAILABLE")),"UNAVAILABLE")</f>
        <v xml:space="preserve">5 66% SOLICLAR10 </v>
      </c>
      <c r="M29" s="426" t="s">
        <v>448</v>
      </c>
      <c r="N29" s="422" t="s">
        <v>315</v>
      </c>
      <c r="O29" s="422" t="s">
        <v>410</v>
      </c>
      <c r="P29" s="405"/>
      <c r="Q29" s="16">
        <f>IFERROR(VLOOKUP(SWPOLY[[#This Row],[PROD '#]],Table1[[Product '#]:[Cost]],3,FALSE),0)</f>
        <v>800.36</v>
      </c>
      <c r="R29" s="6"/>
      <c r="S29" s="45">
        <f t="shared" si="3"/>
        <v>0</v>
      </c>
      <c r="T29" s="222"/>
      <c r="U29" s="67"/>
    </row>
    <row r="30" spans="1:21" x14ac:dyDescent="0.35">
      <c r="A30" s="325"/>
      <c r="B30" s="219" t="str">
        <f>IFERROR(IF(C30="","",_xlfn.XLOOKUP(_xlfn.CONCAT(C30:E30),P!$Y:$Y,P!$X:$X,"UNAVAILABLE")),"UNAVAILABLE")</f>
        <v/>
      </c>
      <c r="C30" s="429"/>
      <c r="D30" s="422"/>
      <c r="E30" s="422"/>
      <c r="F30" s="406"/>
      <c r="G30" s="16">
        <f>IFERROR(VLOOKUP(SWPATCH[[#This Row],[PROD '#]],Table1[[Product '#]:[Cost]],3,FALSE),0)</f>
        <v>0</v>
      </c>
      <c r="H30" s="6"/>
      <c r="I30" s="45">
        <f t="shared" si="2"/>
        <v>0</v>
      </c>
      <c r="J30" s="222"/>
      <c r="K30" s="325" t="s">
        <v>439</v>
      </c>
      <c r="L30" s="231" t="str">
        <f>IFERROR(IF(M30="","",_xlfn.XLOOKUP(_xlfn.CONCAT(M30:O30),P!$Y:$Y,P!$X:$X,"UNAVAILABLE")),"UNAVAILABLE")</f>
        <v/>
      </c>
      <c r="M30" s="426"/>
      <c r="N30" s="422"/>
      <c r="O30" s="422"/>
      <c r="P30" s="406"/>
      <c r="Q30" s="16">
        <f>IFERROR(VLOOKUP(SWPOLY[[#This Row],[PROD '#]],Table1[[Product '#]:[Cost]],3,FALSE),0)</f>
        <v>0</v>
      </c>
      <c r="R30" s="6"/>
      <c r="S30" s="45">
        <f t="shared" si="3"/>
        <v>0</v>
      </c>
      <c r="T30" s="222"/>
      <c r="U30" s="67"/>
    </row>
    <row r="31" spans="1:21" ht="15" thickBot="1" x14ac:dyDescent="0.4">
      <c r="A31" s="325"/>
      <c r="B31" s="224" t="str">
        <f>IFERROR(IF(C31="","",_xlfn.XLOOKUP(_xlfn.CONCAT(C31:E31),P!$Y:$Y,P!$X:$X,"UNAVAILABLE")),"UNAVAILABLE")</f>
        <v/>
      </c>
      <c r="C31" s="430"/>
      <c r="D31" s="422"/>
      <c r="E31" s="422"/>
      <c r="F31" s="407"/>
      <c r="G31" s="43">
        <f>IFERROR(VLOOKUP(SWPATCH[[#This Row],[PROD '#]],Table1[[Product '#]:[Cost]],3,FALSE),0)</f>
        <v>0</v>
      </c>
      <c r="H31" s="42"/>
      <c r="I31" s="46">
        <f t="shared" si="2"/>
        <v>0</v>
      </c>
      <c r="J31" s="225"/>
      <c r="K31" s="325" t="s">
        <v>439</v>
      </c>
      <c r="L31" s="232" t="str">
        <f>IFERROR(IF(M31="","",_xlfn.XLOOKUP(_xlfn.CONCAT(M31:O31),P!$Y:$Y,P!$X:$X,"UNAVAILABLE")),"UNAVAILABLE")</f>
        <v/>
      </c>
      <c r="M31" s="427"/>
      <c r="N31" s="423"/>
      <c r="O31" s="423"/>
      <c r="P31" s="406"/>
      <c r="Q31" s="43">
        <f>IFERROR(VLOOKUP(SWPOLY[[#This Row],[PROD '#]],Table1[[Product '#]:[Cost]],3,FALSE),0)</f>
        <v>0</v>
      </c>
      <c r="R31" s="42"/>
      <c r="S31" s="46">
        <f t="shared" si="3"/>
        <v>0</v>
      </c>
      <c r="T31" s="225"/>
      <c r="U31" s="67"/>
    </row>
    <row r="32" spans="1:21" ht="15.5" thickTop="1" thickBot="1" x14ac:dyDescent="0.4">
      <c r="A32" s="325"/>
      <c r="B32" s="334" t="s">
        <v>16</v>
      </c>
      <c r="C32" s="227" t="s">
        <v>16</v>
      </c>
      <c r="D32" s="228"/>
      <c r="E32" s="228"/>
      <c r="F32" s="228"/>
      <c r="G32" s="228"/>
      <c r="H32" s="228"/>
      <c r="I32" s="229">
        <f>SUBTOTAL(109,SWPATCH[EXTENSION])</f>
        <v>0</v>
      </c>
      <c r="J32" s="335">
        <f>SUBTOTAL(103,SWPATCH[WEIGHT])</f>
        <v>0</v>
      </c>
      <c r="K32" s="325" t="s">
        <v>439</v>
      </c>
      <c r="L32" s="340" t="s">
        <v>16</v>
      </c>
      <c r="M32" s="230" t="s">
        <v>16</v>
      </c>
      <c r="N32" s="228"/>
      <c r="O32" s="228"/>
      <c r="P32" s="228"/>
      <c r="Q32" s="228"/>
      <c r="R32" s="228"/>
      <c r="S32" s="229">
        <f>SUBTOTAL(109,SWPOLY[EXTENSION])</f>
        <v>0</v>
      </c>
      <c r="T32" s="278">
        <f>SUBTOTAL(103,SWPOLY[WEIGHT])</f>
        <v>0</v>
      </c>
      <c r="U32" s="67"/>
    </row>
    <row r="33" spans="1:21" ht="7.5" customHeight="1" thickBot="1" x14ac:dyDescent="0.4">
      <c r="A33" s="67"/>
      <c r="B33" s="338"/>
      <c r="D33" s="254"/>
      <c r="E33" s="254"/>
      <c r="F33" s="254"/>
      <c r="G33" s="254"/>
      <c r="H33" s="254"/>
      <c r="I33" s="254"/>
      <c r="J33" s="254"/>
      <c r="K33" s="67" t="s">
        <v>439</v>
      </c>
      <c r="L33" s="254"/>
      <c r="N33" s="254"/>
      <c r="O33" s="254"/>
      <c r="P33" s="254"/>
      <c r="Q33" s="254"/>
      <c r="R33" s="254"/>
      <c r="S33" s="254"/>
      <c r="T33" s="254"/>
      <c r="U33" s="67"/>
    </row>
    <row r="34" spans="1:21" ht="19" thickBot="1" x14ac:dyDescent="0.5">
      <c r="A34" s="325"/>
      <c r="B34" s="257" t="s">
        <v>354</v>
      </c>
      <c r="C34" s="812" t="s">
        <v>354</v>
      </c>
      <c r="D34" s="813"/>
      <c r="E34" s="813"/>
      <c r="F34" s="813"/>
      <c r="G34" s="813"/>
      <c r="H34" s="813"/>
      <c r="I34" s="814"/>
      <c r="J34" s="326"/>
      <c r="K34" s="325" t="s">
        <v>439</v>
      </c>
      <c r="L34" s="257" t="s">
        <v>310</v>
      </c>
      <c r="M34" s="812" t="s">
        <v>310</v>
      </c>
      <c r="N34" s="813"/>
      <c r="O34" s="813"/>
      <c r="P34" s="813"/>
      <c r="Q34" s="813"/>
      <c r="R34" s="813"/>
      <c r="S34" s="814"/>
      <c r="T34" s="259"/>
      <c r="U34" s="67"/>
    </row>
    <row r="35" spans="1:21" ht="15" thickBot="1" x14ac:dyDescent="0.4">
      <c r="A35" s="325"/>
      <c r="B35" s="218" t="s">
        <v>185</v>
      </c>
      <c r="C35" s="267" t="s">
        <v>181</v>
      </c>
      <c r="D35" s="262" t="s">
        <v>334</v>
      </c>
      <c r="E35" s="262" t="s">
        <v>182</v>
      </c>
      <c r="F35" s="263" t="s">
        <v>183</v>
      </c>
      <c r="G35" s="263" t="s">
        <v>184</v>
      </c>
      <c r="H35" s="264" t="s">
        <v>196</v>
      </c>
      <c r="I35" s="265" t="s">
        <v>156</v>
      </c>
      <c r="J35" s="267" t="s">
        <v>180</v>
      </c>
      <c r="K35" s="325" t="s">
        <v>439</v>
      </c>
      <c r="L35" s="261" t="s">
        <v>185</v>
      </c>
      <c r="M35" s="301" t="s">
        <v>181</v>
      </c>
      <c r="N35" s="327" t="s">
        <v>334</v>
      </c>
      <c r="O35" s="327" t="s">
        <v>182</v>
      </c>
      <c r="P35" s="328" t="s">
        <v>183</v>
      </c>
      <c r="Q35" s="328" t="s">
        <v>184</v>
      </c>
      <c r="R35" s="329" t="s">
        <v>196</v>
      </c>
      <c r="S35" s="330" t="s">
        <v>156</v>
      </c>
      <c r="T35" s="331" t="s">
        <v>180</v>
      </c>
      <c r="U35" s="67"/>
    </row>
    <row r="36" spans="1:21" x14ac:dyDescent="0.35">
      <c r="A36" s="325"/>
      <c r="B36" s="219" t="str">
        <f>IFERROR(IF(C36="","",_xlfn.XLOOKUP(_xlfn.CONCAT(C36:E36),P!$Y:$Y,P!$X:$X,"UNAVAILABLE")),"UNAVAILABLE")</f>
        <v>E COLOR-FABLUEKIT</v>
      </c>
      <c r="C36" s="429" t="s">
        <v>360</v>
      </c>
      <c r="D36" s="425" t="s">
        <v>391</v>
      </c>
      <c r="E36" s="422" t="s">
        <v>397</v>
      </c>
      <c r="F36" s="405"/>
      <c r="G36" s="16">
        <f>IFERROR(VLOOKUP(SWCRETE[[#This Row],[PROD '#]],Table1[[Product '#]:[Cost]],3,FALSE),0)</f>
        <v>154.78</v>
      </c>
      <c r="H36" s="5"/>
      <c r="I36" s="44">
        <f>IFERROR(IF(H36&lt;&gt;"",F36*H36,F36*G36),"")</f>
        <v>0</v>
      </c>
      <c r="J36" s="220"/>
      <c r="K36" s="325" t="s">
        <v>439</v>
      </c>
      <c r="L36" s="294" t="str">
        <f>IFERROR(IF(M36="","",_xlfn.XLOOKUP(_xlfn.CONCAT(M36:O36),P!$Y:$Y,P!$X:$X,"UNAVAILABLE")),"UNAVAILABLE")</f>
        <v>4638 HS POCLAR3 G</v>
      </c>
      <c r="M36" s="426" t="s">
        <v>348</v>
      </c>
      <c r="N36" s="425" t="s">
        <v>315</v>
      </c>
      <c r="O36" s="422" t="s">
        <v>407</v>
      </c>
      <c r="P36" s="405"/>
      <c r="Q36" s="16">
        <f>IFERROR(VLOOKUP(SWURETHANE[[#This Row],[PROD '#]],Table1[[Product '#]:[Cost]],3,FALSE),0)</f>
        <v>305.43</v>
      </c>
      <c r="R36" s="5"/>
      <c r="S36" s="45">
        <f>IFERROR(IF(R36&lt;&gt;"",P36*R36,P36*Q36),"")</f>
        <v>0</v>
      </c>
      <c r="T36" s="221"/>
      <c r="U36" s="67"/>
    </row>
    <row r="37" spans="1:21" x14ac:dyDescent="0.35">
      <c r="A37" s="325"/>
      <c r="B37" s="219" t="str">
        <f>IFERROR(IF(C37="","",_xlfn.XLOOKUP(_xlfn.CONCAT(C37:E37),P!$Y:$Y,P!$X:$X,"UNAVAILABLE")),"UNAVAILABLE")</f>
        <v>E HF ACCELN//A1 Q</v>
      </c>
      <c r="C37" s="429" t="s">
        <v>362</v>
      </c>
      <c r="D37" s="422" t="s">
        <v>398</v>
      </c>
      <c r="E37" s="422" t="s">
        <v>787</v>
      </c>
      <c r="F37" s="405"/>
      <c r="G37" s="16">
        <f>IFERROR(VLOOKUP(SWCRETE[[#This Row],[PROD '#]],Table1[[Product '#]:[Cost]],3,FALSE),0)</f>
        <v>43.8</v>
      </c>
      <c r="H37" s="6"/>
      <c r="I37" s="45">
        <f>IFERROR(IF(H37&lt;&gt;"",F37*H37,F37*G37),"")</f>
        <v>0</v>
      </c>
      <c r="J37" s="222"/>
      <c r="K37" s="325" t="s">
        <v>439</v>
      </c>
      <c r="L37" s="294" t="str">
        <f>IFERROR(IF(M37="","",_xlfn.XLOOKUP(_xlfn.CONCAT(M37:O37),P!$Y:$Y,P!$X:$X,"UNAVAILABLE")),"UNAVAILABLE")</f>
        <v>4640 HTS 1CLAR1.</v>
      </c>
      <c r="M37" s="426" t="s">
        <v>349</v>
      </c>
      <c r="N37" s="422" t="s">
        <v>315</v>
      </c>
      <c r="O37" s="422" t="s">
        <v>1042</v>
      </c>
      <c r="P37" s="405"/>
      <c r="Q37" s="16">
        <f>IFERROR(VLOOKUP(SWURETHANE[[#This Row],[PROD '#]],Table1[[Product '#]:[Cost]],3,FALSE),0)</f>
        <v>267.77</v>
      </c>
      <c r="R37" s="6"/>
      <c r="S37" s="45">
        <f>IFERROR(IF(R37&lt;&gt;"",P37*R37,P37*Q37),"")</f>
        <v>0</v>
      </c>
      <c r="T37" s="223"/>
      <c r="U37" s="67"/>
    </row>
    <row r="38" spans="1:21" x14ac:dyDescent="0.35">
      <c r="A38" s="325"/>
      <c r="B38" s="219" t="str">
        <f>IFERROR(IF(C38="","",_xlfn.XLOOKUP(_xlfn.CONCAT(C38:E38),P!$Y:$Y,P!$X:$X,"UNAVAILABLE")),"UNAVAILABLE")</f>
        <v>E HF HS URCHALKIT</v>
      </c>
      <c r="C38" s="429" t="s">
        <v>357</v>
      </c>
      <c r="D38" s="422" t="s">
        <v>318</v>
      </c>
      <c r="E38" s="422" t="s">
        <v>397</v>
      </c>
      <c r="F38" s="405"/>
      <c r="G38" s="16">
        <f>IFERROR(VLOOKUP(SWCRETE[[#This Row],[PROD '#]],Table1[[Product '#]:[Cost]],3,FALSE),0)</f>
        <v>79.45</v>
      </c>
      <c r="H38" s="6"/>
      <c r="I38" s="45">
        <f>IFERROR(IF(H38&lt;&gt;"",F38*H38,F38*G38),"")</f>
        <v>0</v>
      </c>
      <c r="J38" s="222"/>
      <c r="K38" s="325" t="s">
        <v>439</v>
      </c>
      <c r="L38" s="294" t="str">
        <f>IFERROR(IF(M38="","",_xlfn.XLOOKUP(_xlfn.CONCAT(M38:O38),P!$Y:$Y,P!$X:$X,"UNAVAILABLE")),"UNAVAILABLE")</f>
        <v xml:space="preserve">4641 HPS 1CLAR.9 </v>
      </c>
      <c r="M38" s="426" t="s">
        <v>350</v>
      </c>
      <c r="N38" s="422" t="s">
        <v>315</v>
      </c>
      <c r="O38" s="422" t="s">
        <v>1052</v>
      </c>
      <c r="P38" s="405"/>
      <c r="Q38" s="16">
        <f>IFERROR(VLOOKUP(SWURETHANE[[#This Row],[PROD '#]],Table1[[Product '#]:[Cost]],3,FALSE),0)</f>
        <v>234.81</v>
      </c>
      <c r="R38" s="6"/>
      <c r="S38" s="45">
        <f t="shared" ref="S38:S48" si="4">IFERROR(IF(R38&lt;&gt;"",P38*R38,P38*Q38),"")</f>
        <v>0</v>
      </c>
      <c r="T38" s="223"/>
      <c r="U38" s="67"/>
    </row>
    <row r="39" spans="1:21" x14ac:dyDescent="0.35">
      <c r="A39" s="325"/>
      <c r="B39" s="219" t="str">
        <f>IFERROR(IF(C39="","",_xlfn.XLOOKUP(_xlfn.CONCAT(C39:E39),P!$Y:$Y,P!$X:$X,"UNAVAILABLE")),"UNAVAILABLE")</f>
        <v>E HF HS URDAAYKIT</v>
      </c>
      <c r="C39" s="429" t="s">
        <v>357</v>
      </c>
      <c r="D39" s="422" t="s">
        <v>394</v>
      </c>
      <c r="E39" s="422" t="s">
        <v>397</v>
      </c>
      <c r="F39" s="405"/>
      <c r="G39" s="16">
        <f>IFERROR(VLOOKUP(SWCRETE[[#This Row],[PROD '#]],Table1[[Product '#]:[Cost]],3,FALSE),0)</f>
        <v>79.45</v>
      </c>
      <c r="H39" s="6"/>
      <c r="I39" s="45">
        <f t="shared" ref="I39:I46" si="5">IFERROR(IF(H39&lt;&gt;"",F39*H39,F39*G39),"")</f>
        <v>0</v>
      </c>
      <c r="J39" s="222"/>
      <c r="K39" s="325" t="s">
        <v>439</v>
      </c>
      <c r="L39" s="294" t="str">
        <f>IFERROR(IF(M39="","",_xlfn.XLOOKUP(_xlfn.CONCAT(M39:O39),P!$Y:$Y,P!$X:$X,"UNAVAILABLE")),"UNAVAILABLE")</f>
        <v>AQUA 4410 CHAL1.2</v>
      </c>
      <c r="M39" s="426" t="s">
        <v>351</v>
      </c>
      <c r="N39" s="422" t="s">
        <v>318</v>
      </c>
      <c r="O39" s="422" t="s">
        <v>421</v>
      </c>
      <c r="P39" s="405"/>
      <c r="Q39" s="16">
        <f>IFERROR(VLOOKUP(SWURETHANE[[#This Row],[PROD '#]],Table1[[Product '#]:[Cost]],3,FALSE),0)</f>
        <v>132.41</v>
      </c>
      <c r="R39" s="6"/>
      <c r="S39" s="45">
        <f t="shared" si="4"/>
        <v>0</v>
      </c>
      <c r="T39" s="223"/>
      <c r="U39" s="67"/>
    </row>
    <row r="40" spans="1:21" x14ac:dyDescent="0.35">
      <c r="A40" s="325"/>
      <c r="B40" s="219" t="str">
        <f>IFERROR(IF(C40="","",_xlfn.XLOOKUP(_xlfn.CONCAT(C40:E40),P!$Y:$Y,P!$X:$X,"UNAVAILABLE")),"UNAVAILABLE")</f>
        <v>E MD HS URDAAYKIT</v>
      </c>
      <c r="C40" s="429" t="s">
        <v>356</v>
      </c>
      <c r="D40" s="422" t="s">
        <v>394</v>
      </c>
      <c r="E40" s="422" t="s">
        <v>397</v>
      </c>
      <c r="F40" s="405"/>
      <c r="G40" s="16">
        <f>IFERROR(VLOOKUP(SWCRETE[[#This Row],[PROD '#]],Table1[[Product '#]:[Cost]],3,FALSE),0)</f>
        <v>116.52</v>
      </c>
      <c r="H40" s="6"/>
      <c r="I40" s="45">
        <f t="shared" si="5"/>
        <v>0</v>
      </c>
      <c r="J40" s="222"/>
      <c r="K40" s="325" t="s">
        <v>439</v>
      </c>
      <c r="L40" s="294" t="str">
        <f>IFERROR(IF(M40="","",_xlfn.XLOOKUP(_xlfn.CONCAT(M40:O40),P!$Y:$Y,P!$X:$X,"UNAVAILABLE")),"UNAVAILABLE")</f>
        <v>AQUA 4411 CLAR1.2</v>
      </c>
      <c r="M40" s="426" t="s">
        <v>352</v>
      </c>
      <c r="N40" s="422" t="s">
        <v>315</v>
      </c>
      <c r="O40" s="422" t="s">
        <v>421</v>
      </c>
      <c r="P40" s="405"/>
      <c r="Q40" s="16">
        <f>IFERROR(VLOOKUP(SWURETHANE[[#This Row],[PROD '#]],Table1[[Product '#]:[Cost]],3,FALSE),0)</f>
        <v>143.01</v>
      </c>
      <c r="R40" s="6"/>
      <c r="S40" s="45">
        <f t="shared" si="4"/>
        <v>0</v>
      </c>
      <c r="T40" s="223"/>
      <c r="U40" s="67"/>
    </row>
    <row r="41" spans="1:21" x14ac:dyDescent="0.35">
      <c r="A41" s="325"/>
      <c r="B41" s="219" t="str">
        <f>IFERROR(IF(C41="","",_xlfn.XLOOKUP(_xlfn.CONCAT(C41:E41),P!$Y:$Y,P!$X:$X,"UNAVAILABLE")),"UNAVAILABLE")</f>
        <v>E SL HS SEGRAYKIT</v>
      </c>
      <c r="C41" s="429" t="s">
        <v>355</v>
      </c>
      <c r="D41" s="422" t="s">
        <v>317</v>
      </c>
      <c r="E41" s="422" t="s">
        <v>397</v>
      </c>
      <c r="F41" s="405"/>
      <c r="G41" s="16">
        <f>IFERROR(VLOOKUP(SWCRETE[[#This Row],[PROD '#]],Table1[[Product '#]:[Cost]],3,FALSE),0)</f>
        <v>102.4</v>
      </c>
      <c r="H41" s="6"/>
      <c r="I41" s="45">
        <f t="shared" si="5"/>
        <v>0</v>
      </c>
      <c r="J41" s="222"/>
      <c r="K41" s="325" t="s">
        <v>439</v>
      </c>
      <c r="L41" s="294" t="str">
        <f>IFERROR(IF(M41="","",_xlfn.XLOOKUP(_xlfn.CONCAT(M41:O41),P!$Y:$Y,P!$X:$X,"UNAVAILABLE")),"UNAVAILABLE")</f>
        <v/>
      </c>
      <c r="M41" s="426"/>
      <c r="N41" s="422"/>
      <c r="O41" s="422"/>
      <c r="P41" s="406"/>
      <c r="Q41" s="16">
        <f>IFERROR(VLOOKUP(SWURETHANE[[#This Row],[PROD '#]],Table1[[Product '#]:[Cost]],3,FALSE),0)</f>
        <v>0</v>
      </c>
      <c r="R41" s="6"/>
      <c r="S41" s="45">
        <f t="shared" si="4"/>
        <v>0</v>
      </c>
      <c r="T41" s="223"/>
      <c r="U41" s="67"/>
    </row>
    <row r="42" spans="1:21" x14ac:dyDescent="0.35">
      <c r="A42" s="325"/>
      <c r="B42" s="219" t="str">
        <f>IFERROR(IF(C42="","",_xlfn.XLOOKUP(_xlfn.CONCAT(C42:E42),P!$Y:$Y,P!$X:$X,"UNAVAILABLE")),"UNAVAILABLE")</f>
        <v>E TF PLUS N//AKIT</v>
      </c>
      <c r="C42" s="429" t="s">
        <v>359</v>
      </c>
      <c r="D42" s="422" t="s">
        <v>398</v>
      </c>
      <c r="E42" s="422" t="s">
        <v>397</v>
      </c>
      <c r="F42" s="405"/>
      <c r="G42" s="16">
        <f>IFERROR(VLOOKUP(SWCRETE[[#This Row],[PROD '#]],Table1[[Product '#]:[Cost]],3,FALSE),0)</f>
        <v>31.799999999999997</v>
      </c>
      <c r="H42" s="6"/>
      <c r="I42" s="45">
        <f t="shared" si="5"/>
        <v>0</v>
      </c>
      <c r="J42" s="222"/>
      <c r="K42" s="325" t="s">
        <v>439</v>
      </c>
      <c r="L42" s="294" t="str">
        <f>IFERROR(IF(M42="","",_xlfn.XLOOKUP(_xlfn.CONCAT(M42:O42),P!$Y:$Y,P!$X:$X,"UNAVAILABLE")),"UNAVAILABLE")</f>
        <v/>
      </c>
      <c r="M42" s="426"/>
      <c r="N42" s="422"/>
      <c r="O42" s="422"/>
      <c r="P42" s="406"/>
      <c r="Q42" s="16">
        <f>IFERROR(VLOOKUP(SWURETHANE[[#This Row],[PROD '#]],Table1[[Product '#]:[Cost]],3,FALSE),0)</f>
        <v>0</v>
      </c>
      <c r="R42" s="6"/>
      <c r="S42" s="45">
        <f t="shared" si="4"/>
        <v>0</v>
      </c>
      <c r="T42" s="223"/>
      <c r="U42" s="67"/>
    </row>
    <row r="43" spans="1:21" x14ac:dyDescent="0.35">
      <c r="A43" s="325"/>
      <c r="B43" s="219" t="str">
        <f>IFERROR(IF(C43="","",_xlfn.XLOOKUP(_xlfn.CONCAT(C43:E43),P!$Y:$Y,P!$X:$X,"UNAVAILABLE")),"UNAVAILABLE")</f>
        <v>E TF PLUS CHAL1.7</v>
      </c>
      <c r="C43" s="429" t="s">
        <v>358</v>
      </c>
      <c r="D43" s="422" t="s">
        <v>318</v>
      </c>
      <c r="E43" s="422" t="s">
        <v>397</v>
      </c>
      <c r="F43" s="405"/>
      <c r="G43" s="16">
        <f>IFERROR(VLOOKUP(SWCRETE[[#This Row],[PROD '#]],Table1[[Product '#]:[Cost]],3,FALSE),0)</f>
        <v>53.55</v>
      </c>
      <c r="H43" s="6"/>
      <c r="I43" s="45">
        <f t="shared" si="5"/>
        <v>0</v>
      </c>
      <c r="J43" s="222"/>
      <c r="K43" s="325" t="s">
        <v>439</v>
      </c>
      <c r="L43" s="294" t="str">
        <f>IFERROR(IF(M43="","",_xlfn.XLOOKUP(_xlfn.CONCAT(M43:O43),P!$Y:$Y,P!$X:$X,"UNAVAILABLE")),"UNAVAILABLE")</f>
        <v/>
      </c>
      <c r="M43" s="426"/>
      <c r="N43" s="422"/>
      <c r="O43" s="422"/>
      <c r="P43" s="406"/>
      <c r="Q43" s="16">
        <f>IFERROR(VLOOKUP(SWURETHANE[[#This Row],[PROD '#]],Table1[[Product '#]:[Cost]],3,FALSE),0)</f>
        <v>0</v>
      </c>
      <c r="R43" s="6"/>
      <c r="S43" s="45">
        <f t="shared" si="4"/>
        <v>0</v>
      </c>
      <c r="T43" s="223"/>
      <c r="U43" s="67"/>
    </row>
    <row r="44" spans="1:21" x14ac:dyDescent="0.35">
      <c r="A44" s="325"/>
      <c r="B44" s="219" t="str">
        <f>IFERROR(IF(C44="","",_xlfn.XLOOKUP(_xlfn.CONCAT(C44:E44),P!$Y:$Y,P!$X:$X,"UNAVAILABLE")),"UNAVAILABLE")</f>
        <v>E WR COVE REEDKIT</v>
      </c>
      <c r="C44" s="429" t="s">
        <v>361</v>
      </c>
      <c r="D44" s="422" t="s">
        <v>396</v>
      </c>
      <c r="E44" s="422" t="s">
        <v>397</v>
      </c>
      <c r="F44" s="405"/>
      <c r="G44" s="16">
        <f>IFERROR(VLOOKUP(SWCRETE[[#This Row],[PROD '#]],Table1[[Product '#]:[Cost]],3,FALSE),0)</f>
        <v>57.67</v>
      </c>
      <c r="H44" s="6"/>
      <c r="I44" s="45">
        <f t="shared" si="5"/>
        <v>0</v>
      </c>
      <c r="J44" s="222"/>
      <c r="K44" s="325" t="s">
        <v>439</v>
      </c>
      <c r="L44" s="294" t="str">
        <f>IFERROR(IF(M44="","",_xlfn.XLOOKUP(_xlfn.CONCAT(M44:O44),P!$Y:$Y,P!$X:$X,"UNAVAILABLE")),"UNAVAILABLE")</f>
        <v/>
      </c>
      <c r="M44" s="426"/>
      <c r="N44" s="422"/>
      <c r="O44" s="422"/>
      <c r="P44" s="406"/>
      <c r="Q44" s="16">
        <f>IFERROR(VLOOKUP(SWURETHANE[[#This Row],[PROD '#]],Table1[[Product '#]:[Cost]],3,FALSE),0)</f>
        <v>0</v>
      </c>
      <c r="R44" s="6"/>
      <c r="S44" s="45">
        <f t="shared" si="4"/>
        <v>0</v>
      </c>
      <c r="T44" s="223"/>
      <c r="U44" s="67"/>
    </row>
    <row r="45" spans="1:21" x14ac:dyDescent="0.35">
      <c r="A45" s="325"/>
      <c r="B45" s="219" t="str">
        <f>IFERROR(IF(C45="","",_xlfn.XLOOKUP(_xlfn.CONCAT(C45:E45),P!$Y:$Y,P!$X:$X,"UNAVAILABLE")),"UNAVAILABLE")</f>
        <v/>
      </c>
      <c r="C45" s="429"/>
      <c r="D45" s="422"/>
      <c r="E45" s="422"/>
      <c r="F45" s="406"/>
      <c r="G45" s="16">
        <f>IFERROR(VLOOKUP(SWCRETE[[#This Row],[PROD '#]],Table1[[Product '#]:[Cost]],3,FALSE),0)</f>
        <v>0</v>
      </c>
      <c r="H45" s="6"/>
      <c r="I45" s="45">
        <f t="shared" si="5"/>
        <v>0</v>
      </c>
      <c r="J45" s="222"/>
      <c r="K45" s="325" t="s">
        <v>439</v>
      </c>
      <c r="L45" s="294" t="str">
        <f>IFERROR(IF(M45="","",_xlfn.XLOOKUP(_xlfn.CONCAT(M45:O45),P!$Y:$Y,P!$X:$X,"UNAVAILABLE")),"UNAVAILABLE")</f>
        <v/>
      </c>
      <c r="M45" s="426"/>
      <c r="N45" s="422"/>
      <c r="O45" s="422"/>
      <c r="P45" s="406"/>
      <c r="Q45" s="16">
        <f>IFERROR(VLOOKUP(SWURETHANE[[#This Row],[PROD '#]],Table1[[Product '#]:[Cost]],3,FALSE),0)</f>
        <v>0</v>
      </c>
      <c r="R45" s="6"/>
      <c r="S45" s="45">
        <f t="shared" si="4"/>
        <v>0</v>
      </c>
      <c r="T45" s="223"/>
      <c r="U45" s="67"/>
    </row>
    <row r="46" spans="1:21" x14ac:dyDescent="0.35">
      <c r="A46" s="325"/>
      <c r="B46" s="219" t="str">
        <f>IFERROR(IF(C46="","",_xlfn.XLOOKUP(_xlfn.CONCAT(C46:E46),P!$Y:$Y,P!$X:$X,"UNAVAILABLE")),"UNAVAILABLE")</f>
        <v/>
      </c>
      <c r="C46" s="429"/>
      <c r="D46" s="422"/>
      <c r="E46" s="422"/>
      <c r="F46" s="406"/>
      <c r="G46" s="16">
        <f>IFERROR(VLOOKUP(SWCRETE[[#This Row],[PROD '#]],Table1[[Product '#]:[Cost]],3,FALSE),0)</f>
        <v>0</v>
      </c>
      <c r="H46" s="6"/>
      <c r="I46" s="45">
        <f t="shared" si="5"/>
        <v>0</v>
      </c>
      <c r="J46" s="222"/>
      <c r="K46" s="325" t="s">
        <v>439</v>
      </c>
      <c r="L46" s="294" t="str">
        <f>IFERROR(IF(M46="","",_xlfn.XLOOKUP(_xlfn.CONCAT(M46:O46),P!$Y:$Y,P!$X:$X,"UNAVAILABLE")),"UNAVAILABLE")</f>
        <v/>
      </c>
      <c r="M46" s="426"/>
      <c r="N46" s="422"/>
      <c r="O46" s="422"/>
      <c r="P46" s="406"/>
      <c r="Q46" s="16">
        <f>IFERROR(VLOOKUP(SWURETHANE[[#This Row],[PROD '#]],Table1[[Product '#]:[Cost]],3,FALSE),0)</f>
        <v>0</v>
      </c>
      <c r="R46" s="6"/>
      <c r="S46" s="45">
        <f t="shared" si="4"/>
        <v>0</v>
      </c>
      <c r="T46" s="223"/>
      <c r="U46" s="67"/>
    </row>
    <row r="47" spans="1:21" x14ac:dyDescent="0.35">
      <c r="A47" s="325"/>
      <c r="B47" s="219" t="str">
        <f>IFERROR(IF(C47="","",_xlfn.XLOOKUP(_xlfn.CONCAT(C47:E47),P!$Y:$Y,P!$X:$X,"UNAVAILABLE")),"UNAVAILABLE")</f>
        <v/>
      </c>
      <c r="C47" s="429"/>
      <c r="D47" s="422"/>
      <c r="E47" s="422"/>
      <c r="F47" s="406"/>
      <c r="G47" s="16">
        <f>IFERROR(VLOOKUP(SWCRETE[[#This Row],[PROD '#]],Table1[[Product '#]:[Cost]],3,FALSE),0)</f>
        <v>0</v>
      </c>
      <c r="H47" s="6"/>
      <c r="I47" s="45">
        <f>IFERROR(IF(H47&lt;&gt;"",F47*H47,F47*G47),"")</f>
        <v>0</v>
      </c>
      <c r="J47" s="222"/>
      <c r="K47" s="325" t="s">
        <v>439</v>
      </c>
      <c r="L47" s="294" t="str">
        <f>IFERROR(IF(M47="","",_xlfn.XLOOKUP(_xlfn.CONCAT(M47:O47),P!$Y:$Y,P!$X:$X,"UNAVAILABLE")),"UNAVAILABLE")</f>
        <v/>
      </c>
      <c r="M47" s="426"/>
      <c r="N47" s="422"/>
      <c r="O47" s="422"/>
      <c r="P47" s="406"/>
      <c r="Q47" s="16">
        <f>IFERROR(VLOOKUP(SWURETHANE[[#This Row],[PROD '#]],Table1[[Product '#]:[Cost]],3,FALSE),0)</f>
        <v>0</v>
      </c>
      <c r="R47" s="6"/>
      <c r="S47" s="45">
        <f t="shared" si="4"/>
        <v>0</v>
      </c>
      <c r="T47" s="223"/>
      <c r="U47" s="67"/>
    </row>
    <row r="48" spans="1:21" ht="15" thickBot="1" x14ac:dyDescent="0.4">
      <c r="A48" s="325"/>
      <c r="B48" s="219" t="str">
        <f>IFERROR(IF(C48="","",_xlfn.XLOOKUP(_xlfn.CONCAT(C48:E48),P!$Y:$Y,P!$X:$X,"UNAVAILABLE")),"UNAVAILABLE")</f>
        <v/>
      </c>
      <c r="C48" s="430"/>
      <c r="D48" s="423"/>
      <c r="E48" s="422"/>
      <c r="F48" s="406"/>
      <c r="G48" s="43">
        <f>IFERROR(VLOOKUP(SWCRETE[[#This Row],[PROD '#]],Table1[[Product '#]:[Cost]],3,FALSE),0)</f>
        <v>0</v>
      </c>
      <c r="H48" s="42"/>
      <c r="I48" s="46">
        <f>IFERROR(IF(H48&lt;&gt;"",F48*H48,F48*G48),"")</f>
        <v>0</v>
      </c>
      <c r="J48" s="225"/>
      <c r="K48" s="325" t="s">
        <v>439</v>
      </c>
      <c r="L48" s="294" t="str">
        <f>IFERROR(IF(M48="","",_xlfn.XLOOKUP(_xlfn.CONCAT(M48:O48),P!$Y:$Y,P!$X:$X,"UNAVAILABLE")),"UNAVAILABLE")</f>
        <v/>
      </c>
      <c r="M48" s="427"/>
      <c r="N48" s="423"/>
      <c r="O48" s="422"/>
      <c r="P48" s="406"/>
      <c r="Q48" s="43">
        <f>IFERROR(VLOOKUP(SWURETHANE[[#This Row],[PROD '#]],Table1[[Product '#]:[Cost]],3,FALSE),0)</f>
        <v>0</v>
      </c>
      <c r="R48" s="42"/>
      <c r="S48" s="46">
        <f t="shared" si="4"/>
        <v>0</v>
      </c>
      <c r="T48" s="226"/>
      <c r="U48" s="67"/>
    </row>
    <row r="49" spans="1:21" ht="15.5" thickTop="1" thickBot="1" x14ac:dyDescent="0.4">
      <c r="A49" s="325"/>
      <c r="B49" s="334" t="s">
        <v>16</v>
      </c>
      <c r="C49" s="227" t="s">
        <v>16</v>
      </c>
      <c r="D49" s="228"/>
      <c r="E49" s="228"/>
      <c r="F49" s="228"/>
      <c r="G49" s="228"/>
      <c r="H49" s="228"/>
      <c r="I49" s="229">
        <f>SUBTOTAL(109,SWCRETE[EXTENSION])</f>
        <v>0</v>
      </c>
      <c r="J49" s="335">
        <f>SUBTOTAL(103,SWCRETE[WEIGHT])</f>
        <v>0</v>
      </c>
      <c r="K49" s="325" t="s">
        <v>439</v>
      </c>
      <c r="L49" s="336" t="s">
        <v>16</v>
      </c>
      <c r="M49" s="230" t="s">
        <v>16</v>
      </c>
      <c r="N49" s="228"/>
      <c r="O49" s="228"/>
      <c r="P49" s="228"/>
      <c r="Q49" s="228"/>
      <c r="R49" s="228"/>
      <c r="S49" s="229">
        <f>SUBTOTAL(109,SWURETHANE[EXTENSION])</f>
        <v>0</v>
      </c>
      <c r="T49" s="337">
        <f>SUBTOTAL(103,SWURETHANE[WEIGHT])</f>
        <v>0</v>
      </c>
      <c r="U49" s="67"/>
    </row>
    <row r="50" spans="1:21" ht="7.5" customHeight="1" thickBot="1" x14ac:dyDescent="0.4">
      <c r="A50" s="67"/>
      <c r="B50" s="254"/>
      <c r="D50" s="254"/>
      <c r="E50" s="254"/>
      <c r="F50" s="254"/>
      <c r="G50" s="254"/>
      <c r="H50" s="254"/>
      <c r="I50" s="254"/>
      <c r="J50" s="254"/>
      <c r="K50" s="67" t="s">
        <v>439</v>
      </c>
      <c r="L50" s="254"/>
      <c r="N50" s="254"/>
      <c r="O50" s="254"/>
      <c r="P50" s="254"/>
      <c r="Q50" s="254"/>
      <c r="R50" s="254"/>
      <c r="S50" s="254"/>
      <c r="T50" s="254"/>
      <c r="U50" s="67"/>
    </row>
    <row r="51" spans="1:21" ht="19" thickBot="1" x14ac:dyDescent="0.5">
      <c r="A51" s="325"/>
      <c r="B51" s="257" t="s">
        <v>309</v>
      </c>
      <c r="C51" s="812" t="s">
        <v>309</v>
      </c>
      <c r="D51" s="813"/>
      <c r="E51" s="813"/>
      <c r="F51" s="813"/>
      <c r="G51" s="813"/>
      <c r="H51" s="813"/>
      <c r="I51" s="814"/>
      <c r="J51" s="326"/>
      <c r="K51" s="325" t="s">
        <v>439</v>
      </c>
      <c r="L51" s="257" t="s">
        <v>420</v>
      </c>
      <c r="M51" s="812" t="s">
        <v>420</v>
      </c>
      <c r="N51" s="813"/>
      <c r="O51" s="813"/>
      <c r="P51" s="813"/>
      <c r="Q51" s="813"/>
      <c r="R51" s="813"/>
      <c r="S51" s="814"/>
      <c r="T51" s="259"/>
      <c r="U51" s="67"/>
    </row>
    <row r="52" spans="1:21" ht="15" thickBot="1" x14ac:dyDescent="0.4">
      <c r="A52" s="325"/>
      <c r="B52" s="218" t="s">
        <v>185</v>
      </c>
      <c r="C52" s="267" t="s">
        <v>181</v>
      </c>
      <c r="D52" s="262" t="s">
        <v>334</v>
      </c>
      <c r="E52" s="262" t="s">
        <v>182</v>
      </c>
      <c r="F52" s="263" t="s">
        <v>183</v>
      </c>
      <c r="G52" s="263" t="s">
        <v>184</v>
      </c>
      <c r="H52" s="264" t="s">
        <v>196</v>
      </c>
      <c r="I52" s="265" t="s">
        <v>156</v>
      </c>
      <c r="J52" s="267" t="s">
        <v>180</v>
      </c>
      <c r="K52" s="325" t="s">
        <v>439</v>
      </c>
      <c r="L52" s="341" t="s">
        <v>185</v>
      </c>
      <c r="M52" s="267" t="s">
        <v>181</v>
      </c>
      <c r="N52" s="262" t="s">
        <v>334</v>
      </c>
      <c r="O52" s="262" t="s">
        <v>182</v>
      </c>
      <c r="P52" s="263" t="s">
        <v>183</v>
      </c>
      <c r="Q52" s="263" t="s">
        <v>184</v>
      </c>
      <c r="R52" s="264" t="s">
        <v>196</v>
      </c>
      <c r="S52" s="265" t="s">
        <v>156</v>
      </c>
      <c r="T52" s="331" t="s">
        <v>180</v>
      </c>
      <c r="U52" s="67"/>
    </row>
    <row r="53" spans="1:21" x14ac:dyDescent="0.35">
      <c r="A53" s="325"/>
      <c r="B53" s="219" t="str">
        <f>IFERROR(IF(C53="","",_xlfn.XLOOKUP(_xlfn.CONCAT(C53:E53),P!$Y:$Y,P!$X:$X,"UNAVAILABLE")),"UNAVAILABLE")</f>
        <v xml:space="preserve"> P-101 PRICLAR5 G</v>
      </c>
      <c r="C53" s="429" t="s">
        <v>369</v>
      </c>
      <c r="D53" s="425" t="s">
        <v>315</v>
      </c>
      <c r="E53" s="422" t="s">
        <v>1072</v>
      </c>
      <c r="F53" s="405"/>
      <c r="G53" s="16">
        <f>IFERROR(VLOOKUP(SWMMA[[#This Row],[PROD '#]],Table1[[Product '#]:[Cost]],3,FALSE),0)</f>
        <v>323</v>
      </c>
      <c r="H53" s="5"/>
      <c r="I53" s="44">
        <f>IFERROR(IF(H53&lt;&gt;"",F53*H53,F53*G53),"")</f>
        <v>0</v>
      </c>
      <c r="J53" s="220"/>
      <c r="K53" s="325" t="s">
        <v>439</v>
      </c>
      <c r="L53" s="342" t="str">
        <f>IFERROR(IF(M53="","",_xlfn.XLOOKUP(_xlfn.CONCAT(M53:O53),P!$Y:$Y,P!$X:$X,"UNAVAILABLE")),"UNAVAILABLE")</f>
        <v>AR AGGREGAN//A50L</v>
      </c>
      <c r="M53" s="429" t="s">
        <v>388</v>
      </c>
      <c r="N53" s="425" t="s">
        <v>398</v>
      </c>
      <c r="O53" s="422" t="s">
        <v>413</v>
      </c>
      <c r="P53" s="405"/>
      <c r="Q53" s="16">
        <f>IFERROR(VLOOKUP(SWAGG[[#This Row],[PROD '#]],Table1[[Product '#]:[Cost]],3,FALSE),0)</f>
        <v>10.4</v>
      </c>
      <c r="R53" s="5"/>
      <c r="S53" s="44">
        <f t="shared" ref="S53:S64" si="6">IFERROR(IF(R53&lt;&gt;"",P53*R53,P53*Q53),"")</f>
        <v>0</v>
      </c>
      <c r="T53" s="221"/>
      <c r="U53" s="67"/>
    </row>
    <row r="54" spans="1:21" x14ac:dyDescent="0.35">
      <c r="A54" s="325"/>
      <c r="B54" s="219" t="str">
        <f>IFERROR(IF(C54="","",_xlfn.XLOOKUP(_xlfn.CONCAT(C54:E54),P!$Y:$Y,P!$X:$X,"UNAVAILABLE")),"UNAVAILABLE")</f>
        <v xml:space="preserve"> G-201 BINBEGE5 G</v>
      </c>
      <c r="C54" s="429" t="s">
        <v>370</v>
      </c>
      <c r="D54" s="422" t="s">
        <v>399</v>
      </c>
      <c r="E54" s="422" t="s">
        <v>1072</v>
      </c>
      <c r="F54" s="405"/>
      <c r="G54" s="16">
        <f>IFERROR(VLOOKUP(SWMMA[[#This Row],[PROD '#]],Table1[[Product '#]:[Cost]],3,FALSE),0)</f>
        <v>341.92</v>
      </c>
      <c r="H54" s="6"/>
      <c r="I54" s="45">
        <f>IFERROR(IF(H54&lt;&gt;"",F54*H54,F54*G54),"")</f>
        <v>0</v>
      </c>
      <c r="J54" s="222"/>
      <c r="K54" s="325" t="s">
        <v>439</v>
      </c>
      <c r="L54" s="342" t="str">
        <f>IFERROR(IF(M54="","",_xlfn.XLOOKUP(_xlfn.CONCAT(M54:O54),P!$Y:$Y,P!$X:$X,"UNAVAILABLE")),"UNAVAILABLE")</f>
        <v>GRAVEL 3/1N//A50L</v>
      </c>
      <c r="M54" s="429" t="s">
        <v>724</v>
      </c>
      <c r="N54" s="422" t="s">
        <v>398</v>
      </c>
      <c r="O54" s="422" t="s">
        <v>413</v>
      </c>
      <c r="P54" s="405"/>
      <c r="Q54" s="16">
        <f>IFERROR(VLOOKUP(SWAGG[[#This Row],[PROD '#]],Table1[[Product '#]:[Cost]],3,FALSE),0)</f>
        <v>20.8</v>
      </c>
      <c r="R54" s="6"/>
      <c r="S54" s="45">
        <f t="shared" si="6"/>
        <v>0</v>
      </c>
      <c r="T54" s="223"/>
      <c r="U54" s="67"/>
    </row>
    <row r="55" spans="1:21" x14ac:dyDescent="0.35">
      <c r="A55" s="325"/>
      <c r="B55" s="219" t="str">
        <f>IFERROR(IF(C55="","",_xlfn.XLOOKUP(_xlfn.CONCAT(C55:E55),P!$Y:$Y,P!$X:$X,"UNAVAILABLE")),"UNAVAILABLE")</f>
        <v xml:space="preserve"> T-301 TOPCHAY5 G</v>
      </c>
      <c r="C55" s="429" t="s">
        <v>371</v>
      </c>
      <c r="D55" s="422" t="s">
        <v>401</v>
      </c>
      <c r="E55" s="422" t="s">
        <v>1072</v>
      </c>
      <c r="F55" s="405"/>
      <c r="G55" s="16">
        <f>IFERROR(VLOOKUP(SWMMA[[#This Row],[PROD '#]],Table1[[Product '#]:[Cost]],3,FALSE),0)</f>
        <v>329.56</v>
      </c>
      <c r="H55" s="6"/>
      <c r="I55" s="45">
        <f t="shared" ref="I55:I64" si="7">IFERROR(IF(H55&lt;&gt;"",F55*H55,F55*G55),"")</f>
        <v>0</v>
      </c>
      <c r="J55" s="222"/>
      <c r="K55" s="325" t="s">
        <v>439</v>
      </c>
      <c r="L55" s="342" t="str">
        <f>IFERROR(IF(M55="","",_xlfn.XLOOKUP(_xlfn.CONCAT(M55:O55),P!$Y:$Y,P!$X:$X,"UNAVAILABLE")),"UNAVAILABLE")</f>
        <v>N//A50L</v>
      </c>
      <c r="M55" s="429" t="s">
        <v>389</v>
      </c>
      <c r="N55" s="422" t="s">
        <v>398</v>
      </c>
      <c r="O55" s="422" t="s">
        <v>413</v>
      </c>
      <c r="P55" s="405"/>
      <c r="Q55" s="16">
        <f>IFERROR(VLOOKUP(SWAGG[[#This Row],[PROD '#]],Table1[[Product '#]:[Cost]],3,FALSE),0)</f>
        <v>0</v>
      </c>
      <c r="R55" s="6"/>
      <c r="S55" s="45">
        <f t="shared" si="6"/>
        <v>0</v>
      </c>
      <c r="T55" s="223"/>
      <c r="U55" s="67"/>
    </row>
    <row r="56" spans="1:21" x14ac:dyDescent="0.35">
      <c r="A56" s="325"/>
      <c r="B56" s="219" t="str">
        <f>IFERROR(IF(C56="","",_xlfn.XLOOKUP(_xlfn.CONCAT(C56:E56),P!$Y:$Y,P!$X:$X,"UNAVAILABLE")),"UNAVAILABLE")</f>
        <v xml:space="preserve"> T-303 FLEGREN5 G</v>
      </c>
      <c r="C56" s="429" t="s">
        <v>372</v>
      </c>
      <c r="D56" s="422" t="s">
        <v>395</v>
      </c>
      <c r="E56" s="422" t="s">
        <v>1072</v>
      </c>
      <c r="F56" s="405"/>
      <c r="G56" s="16">
        <f>IFERROR(VLOOKUP(SWMMA[[#This Row],[PROD '#]],Table1[[Product '#]:[Cost]],3,FALSE),0)</f>
        <v>424.9</v>
      </c>
      <c r="H56" s="6"/>
      <c r="I56" s="45">
        <f t="shared" si="7"/>
        <v>0</v>
      </c>
      <c r="J56" s="222"/>
      <c r="K56" s="325" t="s">
        <v>439</v>
      </c>
      <c r="L56" s="342" t="str">
        <f>IFERROR(IF(M56="","",_xlfn.XLOOKUP(_xlfn.CONCAT(M56:O56),P!$Y:$Y,P!$X:$X,"UNAVAILABLE")),"UNAVAILABLE")</f>
        <v>CO FLAKE  KIIN40</v>
      </c>
      <c r="M56" s="429" t="s">
        <v>723</v>
      </c>
      <c r="N56" s="422" t="s">
        <v>806</v>
      </c>
      <c r="O56" s="422" t="s">
        <v>414</v>
      </c>
      <c r="P56" s="405"/>
      <c r="Q56" s="16">
        <f>IFERROR(VLOOKUP(SWAGG[[#This Row],[PROD '#]],Table1[[Product '#]:[Cost]],3,FALSE),0)</f>
        <v>143</v>
      </c>
      <c r="R56" s="6"/>
      <c r="S56" s="45">
        <f t="shared" si="6"/>
        <v>0</v>
      </c>
      <c r="T56" s="223"/>
      <c r="U56" s="67"/>
    </row>
    <row r="57" spans="1:21" x14ac:dyDescent="0.35">
      <c r="A57" s="325"/>
      <c r="B57" s="219" t="str">
        <f>IFERROR(IF(C57="","",_xlfn.XLOOKUP(_xlfn.CONCAT(C57:E57),P!$Y:$Y,P!$X:$X,"UNAVAILABLE")),"UNAVAILABLE")</f>
        <v xml:space="preserve"> COVECLAR1 G</v>
      </c>
      <c r="C57" s="429" t="s">
        <v>373</v>
      </c>
      <c r="D57" s="422" t="s">
        <v>315</v>
      </c>
      <c r="E57" s="422" t="s">
        <v>1073</v>
      </c>
      <c r="F57" s="405"/>
      <c r="G57" s="16">
        <f>IFERROR(VLOOKUP(SWMMA[[#This Row],[PROD '#]],Table1[[Product '#]:[Cost]],3,FALSE),0)</f>
        <v>117.7</v>
      </c>
      <c r="H57" s="6"/>
      <c r="I57" s="45">
        <f t="shared" si="7"/>
        <v>0</v>
      </c>
      <c r="J57" s="222"/>
      <c r="K57" s="325" t="s">
        <v>439</v>
      </c>
      <c r="L57" s="342" t="str">
        <f>IFERROR(IF(M57="","",_xlfn.XLOOKUP(_xlfn.CONCAT(M57:O57),P!$Y:$Y,P!$X:$X,"UNAVAILABLE")),"UNAVAILABLE")</f>
        <v>O FLAKE  -GROT40</v>
      </c>
      <c r="M57" s="429" t="s">
        <v>741</v>
      </c>
      <c r="N57" s="422" t="s">
        <v>812</v>
      </c>
      <c r="O57" s="422" t="s">
        <v>414</v>
      </c>
      <c r="P57" s="405"/>
      <c r="Q57" s="16">
        <f>IFERROR(VLOOKUP(SWAGG[[#This Row],[PROD '#]],Table1[[Product '#]:[Cost]],3,FALSE),0)</f>
        <v>110</v>
      </c>
      <c r="R57" s="6"/>
      <c r="S57" s="45">
        <f t="shared" si="6"/>
        <v>0</v>
      </c>
      <c r="T57" s="223"/>
      <c r="U57" s="67"/>
    </row>
    <row r="58" spans="1:21" x14ac:dyDescent="0.35">
      <c r="A58" s="325"/>
      <c r="B58" s="219" t="str">
        <f>IFERROR(IF(C58="","",_xlfn.XLOOKUP(_xlfn.CONCAT(C58:E58),P!$Y:$Y,P!$X:$X,"UNAVAILABLE")),"UNAVAILABLE")</f>
        <v xml:space="preserve"> CURE (BPON//A5 L</v>
      </c>
      <c r="C58" s="429" t="s">
        <v>374</v>
      </c>
      <c r="D58" s="422" t="s">
        <v>398</v>
      </c>
      <c r="E58" s="422" t="s">
        <v>1074</v>
      </c>
      <c r="F58" s="405"/>
      <c r="G58" s="16">
        <f>IFERROR(VLOOKUP(SWMMA[[#This Row],[PROD '#]],Table1[[Product '#]:[Cost]],3,FALSE),0)</f>
        <v>122.41</v>
      </c>
      <c r="H58" s="6"/>
      <c r="I58" s="45">
        <f t="shared" si="7"/>
        <v>0</v>
      </c>
      <c r="J58" s="222"/>
      <c r="K58" s="325" t="s">
        <v>439</v>
      </c>
      <c r="L58" s="342" t="str">
        <f>IFERROR(IF(M58="","",_xlfn.XLOOKUP(_xlfn.CONCAT(M58:O58),P!$Y:$Y,P!$X:$X,"UNAVAILABLE")),"UNAVAILABLE")</f>
        <v>O FLAKE - AGVE40L</v>
      </c>
      <c r="M58" s="429" t="s">
        <v>795</v>
      </c>
      <c r="N58" s="422" t="s">
        <v>827</v>
      </c>
      <c r="O58" s="422" t="s">
        <v>414</v>
      </c>
      <c r="P58" s="405"/>
      <c r="Q58" s="16">
        <f>IFERROR(VLOOKUP(SWAGG[[#This Row],[PROD '#]],Table1[[Product '#]:[Cost]],3,FALSE),0)</f>
        <v>110</v>
      </c>
      <c r="R58" s="6"/>
      <c r="S58" s="45">
        <f t="shared" si="6"/>
        <v>0</v>
      </c>
      <c r="T58" s="223"/>
      <c r="U58" s="67"/>
    </row>
    <row r="59" spans="1:21" x14ac:dyDescent="0.35">
      <c r="A59" s="325"/>
      <c r="B59" s="219" t="str">
        <f>IFERROR(IF(C59="","",_xlfn.XLOOKUP(_xlfn.CONCAT(C59:E59),P!$Y:$Y,P!$X:$X,"UNAVAILABLE")),"UNAVAILABLE")</f>
        <v xml:space="preserve"> COLOR - BWHTEKIT</v>
      </c>
      <c r="C59" s="429" t="s">
        <v>375</v>
      </c>
      <c r="D59" s="422" t="s">
        <v>322</v>
      </c>
      <c r="E59" s="422" t="str">
        <f t="shared" ref="E59:E64" si="8">IF(C59="","","KIT")</f>
        <v>KIT</v>
      </c>
      <c r="F59" s="405"/>
      <c r="G59" s="16">
        <f>IFERROR(VLOOKUP(SWMMA[[#This Row],[PROD '#]],Table1[[Product '#]:[Cost]],3,FALSE),0)</f>
        <v>112.8</v>
      </c>
      <c r="H59" s="6"/>
      <c r="I59" s="45">
        <f t="shared" si="7"/>
        <v>0</v>
      </c>
      <c r="J59" s="222"/>
      <c r="K59" s="325" t="s">
        <v>439</v>
      </c>
      <c r="L59" s="342" t="str">
        <f>IFERROR(IF(M59="","",_xlfn.XLOOKUP(_xlfn.CONCAT(M59:O59),P!$Y:$Y,P!$X:$X,"UNAVAILABLE")),"UNAVAILABLE")</f>
        <v xml:space="preserve">NO SAGN//A10 </v>
      </c>
      <c r="M59" s="429" t="s">
        <v>451</v>
      </c>
      <c r="N59" s="422" t="s">
        <v>398</v>
      </c>
      <c r="O59" s="422" t="s">
        <v>459</v>
      </c>
      <c r="P59" s="405"/>
      <c r="Q59" s="16">
        <f>IFERROR(VLOOKUP(SWAGG[[#This Row],[PROD '#]],Table1[[Product '#]:[Cost]],3,FALSE),0)</f>
        <v>341.9</v>
      </c>
      <c r="R59" s="6"/>
      <c r="S59" s="45">
        <f t="shared" si="6"/>
        <v>0</v>
      </c>
      <c r="T59" s="223"/>
      <c r="U59" s="67"/>
    </row>
    <row r="60" spans="1:21" x14ac:dyDescent="0.35">
      <c r="A60" s="325"/>
      <c r="B60" s="219" t="str">
        <f>IFERROR(IF(C60="","",_xlfn.XLOOKUP(_xlfn.CONCAT(C60:E60),P!$Y:$Y,P!$X:$X,"UNAVAILABLE")),"UNAVAILABLE")</f>
        <v xml:space="preserve"> BOND ENHAN//AKIT</v>
      </c>
      <c r="C60" s="429" t="s">
        <v>376</v>
      </c>
      <c r="D60" s="422" t="s">
        <v>398</v>
      </c>
      <c r="E60" s="422" t="str">
        <f t="shared" si="8"/>
        <v>KIT</v>
      </c>
      <c r="F60" s="405"/>
      <c r="G60" s="16">
        <f>IFERROR(VLOOKUP(SWMMA[[#This Row],[PROD '#]],Table1[[Product '#]:[Cost]],3,FALSE),0)</f>
        <v>30</v>
      </c>
      <c r="H60" s="6"/>
      <c r="I60" s="45">
        <f t="shared" si="7"/>
        <v>0</v>
      </c>
      <c r="J60" s="222"/>
      <c r="K60" s="325" t="s">
        <v>439</v>
      </c>
      <c r="L60" s="342" t="str">
        <f>IFERROR(IF(M60="","",_xlfn.XLOOKUP(_xlfn.CONCAT(M60:O60),P!$Y:$Y,P!$X:$X,"UNAVAILABLE")),"UNAVAILABLE")</f>
        <v xml:space="preserve"> GRITN//A50L</v>
      </c>
      <c r="M60" s="429" t="s">
        <v>452</v>
      </c>
      <c r="N60" s="422" t="s">
        <v>398</v>
      </c>
      <c r="O60" s="422" t="s">
        <v>413</v>
      </c>
      <c r="P60" s="405"/>
      <c r="Q60" s="16">
        <f>IFERROR(VLOOKUP(SWAGG[[#This Row],[PROD '#]],Table1[[Product '#]:[Cost]],3,FALSE),0)</f>
        <v>16</v>
      </c>
      <c r="R60" s="6"/>
      <c r="S60" s="45">
        <f t="shared" si="6"/>
        <v>0</v>
      </c>
      <c r="T60" s="223"/>
      <c r="U60" s="67"/>
    </row>
    <row r="61" spans="1:21" x14ac:dyDescent="0.35">
      <c r="A61" s="325"/>
      <c r="B61" s="219" t="str">
        <f>IFERROR(IF(C61="","",_xlfn.XLOOKUP(_xlfn.CONCAT(C61:E61),P!$Y:$Y,P!$X:$X,"UNAVAILABLE")),"UNAVAILABLE")</f>
        <v xml:space="preserve"> SL FILLERN//AKIT</v>
      </c>
      <c r="C61" s="429" t="s">
        <v>380</v>
      </c>
      <c r="D61" s="422" t="s">
        <v>398</v>
      </c>
      <c r="E61" s="422" t="str">
        <f t="shared" si="8"/>
        <v>KIT</v>
      </c>
      <c r="F61" s="405"/>
      <c r="G61" s="16">
        <f>IFERROR(VLOOKUP(SWMMA[[#This Row],[PROD '#]],Table1[[Product '#]:[Cost]],3,FALSE),0)</f>
        <v>23.4</v>
      </c>
      <c r="H61" s="6"/>
      <c r="I61" s="45">
        <f t="shared" si="7"/>
        <v>0</v>
      </c>
      <c r="J61" s="222"/>
      <c r="K61" s="325" t="s">
        <v>439</v>
      </c>
      <c r="L61" s="342" t="str">
        <f>IFERROR(IF(M61="","",_xlfn.XLOOKUP(_xlfn.CONCAT(M61:O61),P!$Y:$Y,P!$X:$X,"UNAVAILABLE")),"UNAVAILABLE")</f>
        <v>SILICA SAN204050L</v>
      </c>
      <c r="M61" s="429" t="s">
        <v>443</v>
      </c>
      <c r="N61" s="422" t="s">
        <v>415</v>
      </c>
      <c r="O61" s="422" t="s">
        <v>413</v>
      </c>
      <c r="P61" s="405"/>
      <c r="Q61" s="16">
        <f>IFERROR(VLOOKUP(SWAGG[[#This Row],[PROD '#]],Table1[[Product '#]:[Cost]],3,FALSE),0)</f>
        <v>12.79</v>
      </c>
      <c r="R61" s="6"/>
      <c r="S61" s="45">
        <f t="shared" si="6"/>
        <v>0</v>
      </c>
      <c r="T61" s="223"/>
      <c r="U61" s="67"/>
    </row>
    <row r="62" spans="1:21" x14ac:dyDescent="0.35">
      <c r="A62" s="325"/>
      <c r="B62" s="219" t="str">
        <f>IFERROR(IF(C62="","",_xlfn.XLOOKUP(_xlfn.CONCAT(C62:E62),P!$Y:$Y,P!$X:$X,"UNAVAILABLE")),"UNAVAILABLE")</f>
        <v xml:space="preserve"> BOND MT MN//AKIT</v>
      </c>
      <c r="C62" s="429" t="s">
        <v>377</v>
      </c>
      <c r="D62" s="422" t="s">
        <v>398</v>
      </c>
      <c r="E62" s="422" t="str">
        <f t="shared" si="8"/>
        <v>KIT</v>
      </c>
      <c r="F62" s="405"/>
      <c r="G62" s="16">
        <f>IFERROR(VLOOKUP(SWMMA[[#This Row],[PROD '#]],Table1[[Product '#]:[Cost]],3,FALSE),0)</f>
        <v>85.8</v>
      </c>
      <c r="H62" s="6"/>
      <c r="I62" s="45">
        <f t="shared" si="7"/>
        <v>0</v>
      </c>
      <c r="J62" s="222"/>
      <c r="K62" s="325" t="s">
        <v>439</v>
      </c>
      <c r="L62" s="342" t="str">
        <f>IFERROR(IF(M62="","",_xlfn.XLOOKUP(_xlfn.CONCAT(M62:O62),P!$Y:$Y,P!$X:$X,"UNAVAILABLE")),"UNAVAILABLE")</f>
        <v>SILICA SAN406050L</v>
      </c>
      <c r="M62" s="429" t="s">
        <v>444</v>
      </c>
      <c r="N62" s="422" t="s">
        <v>416</v>
      </c>
      <c r="O62" s="422" t="s">
        <v>413</v>
      </c>
      <c r="P62" s="405"/>
      <c r="Q62" s="16">
        <f>IFERROR(VLOOKUP(SWAGG[[#This Row],[PROD '#]],Table1[[Product '#]:[Cost]],3,FALSE),0)</f>
        <v>18.850000000000001</v>
      </c>
      <c r="R62" s="6"/>
      <c r="S62" s="45">
        <f t="shared" si="6"/>
        <v>0</v>
      </c>
      <c r="T62" s="223"/>
      <c r="U62" s="67"/>
    </row>
    <row r="63" spans="1:21" x14ac:dyDescent="0.35">
      <c r="A63" s="325"/>
      <c r="B63" s="219" t="str">
        <f>IFERROR(IF(C63="","",_xlfn.XLOOKUP(_xlfn.CONCAT(C63:E63),P!$Y:$Y,P!$X:$X,"UNAVAILABLE")),"UNAVAILABLE")</f>
        <v xml:space="preserve"> LTC ADDITN//AKIT</v>
      </c>
      <c r="C63" s="429" t="s">
        <v>379</v>
      </c>
      <c r="D63" s="422" t="s">
        <v>398</v>
      </c>
      <c r="E63" s="422" t="str">
        <f t="shared" si="8"/>
        <v>KIT</v>
      </c>
      <c r="F63" s="405"/>
      <c r="G63" s="16">
        <f>IFERROR(VLOOKUP(SWMMA[[#This Row],[PROD '#]],Table1[[Product '#]:[Cost]],3,FALSE),0)</f>
        <v>46.8</v>
      </c>
      <c r="H63" s="6"/>
      <c r="I63" s="45">
        <f t="shared" si="7"/>
        <v>0</v>
      </c>
      <c r="J63" s="222"/>
      <c r="K63" s="325" t="s">
        <v>439</v>
      </c>
      <c r="L63" s="342" t="str">
        <f>IFERROR(IF(M63="","",_xlfn.XLOOKUP(_xlfn.CONCAT(M63:O63),P!$Y:$Y,P!$X:$X,"UNAVAILABLE")),"UNAVAILABLE")</f>
        <v>SILICA SAN802050L</v>
      </c>
      <c r="M63" s="429" t="s">
        <v>460</v>
      </c>
      <c r="N63" s="422" t="s">
        <v>458</v>
      </c>
      <c r="O63" s="422" t="s">
        <v>413</v>
      </c>
      <c r="P63" s="405"/>
      <c r="Q63" s="16">
        <f>IFERROR(VLOOKUP(SWAGG[[#This Row],[PROD '#]],Table1[[Product '#]:[Cost]],3,FALSE),0)</f>
        <v>26</v>
      </c>
      <c r="R63" s="6"/>
      <c r="S63" s="45">
        <f t="shared" si="6"/>
        <v>0</v>
      </c>
      <c r="T63" s="223"/>
      <c r="U63" s="67"/>
    </row>
    <row r="64" spans="1:21" ht="15" thickBot="1" x14ac:dyDescent="0.4">
      <c r="A64" s="325"/>
      <c r="B64" s="219" t="str">
        <f>IFERROR(IF(C64="","",_xlfn.XLOOKUP(_xlfn.CONCAT(C64:E64),P!$Y:$Y,P!$X:$X,"UNAVAILABLE")),"UNAVAILABLE")</f>
        <v xml:space="preserve"> CLEAN SOLN//AKIT</v>
      </c>
      <c r="C64" s="430" t="s">
        <v>378</v>
      </c>
      <c r="D64" s="422" t="s">
        <v>398</v>
      </c>
      <c r="E64" s="423" t="str">
        <f t="shared" si="8"/>
        <v>KIT</v>
      </c>
      <c r="F64" s="405"/>
      <c r="G64" s="43">
        <f>IFERROR(VLOOKUP(SWMMA[[#This Row],[PROD '#]],Table1[[Product '#]:[Cost]],3,FALSE),0)</f>
        <v>37.799999999999997</v>
      </c>
      <c r="H64" s="42"/>
      <c r="I64" s="46">
        <f t="shared" si="7"/>
        <v>0</v>
      </c>
      <c r="J64" s="225"/>
      <c r="K64" s="325" t="s">
        <v>439</v>
      </c>
      <c r="L64" s="342" t="str">
        <f>IFERROR(IF(M64="","",_xlfn.XLOOKUP(_xlfn.CONCAT(M64:O64),P!$Y:$Y,P!$X:$X,"UNAVAILABLE")),"UNAVAILABLE")</f>
        <v xml:space="preserve"> QUARTZAMNO25</v>
      </c>
      <c r="M64" s="430" t="s">
        <v>792</v>
      </c>
      <c r="N64" s="422" t="s">
        <v>837</v>
      </c>
      <c r="O64" s="422" t="s">
        <v>793</v>
      </c>
      <c r="P64" s="405"/>
      <c r="Q64" s="16">
        <f>IFERROR(VLOOKUP(SWAGG[[#This Row],[PROD '#]],Table1[[Product '#]:[Cost]],3,FALSE),0)</f>
        <v>27.5</v>
      </c>
      <c r="R64" s="42"/>
      <c r="S64" s="46">
        <f t="shared" si="6"/>
        <v>0</v>
      </c>
      <c r="T64" s="226"/>
      <c r="U64" s="67"/>
    </row>
    <row r="65" spans="1:22" ht="15.5" thickTop="1" thickBot="1" x14ac:dyDescent="0.4">
      <c r="A65" s="325"/>
      <c r="B65" s="334" t="s">
        <v>16</v>
      </c>
      <c r="C65" s="227" t="s">
        <v>16</v>
      </c>
      <c r="D65" s="228"/>
      <c r="E65" s="228"/>
      <c r="F65" s="228"/>
      <c r="G65" s="228"/>
      <c r="H65" s="228"/>
      <c r="I65" s="229">
        <f>SUBTOTAL(109,SWMMA[EXTENSION])</f>
        <v>0</v>
      </c>
      <c r="J65" s="335">
        <f>SUBTOTAL(103,SWMMA[WEIGHT])</f>
        <v>0</v>
      </c>
      <c r="K65" s="325" t="s">
        <v>439</v>
      </c>
      <c r="L65" s="343" t="s">
        <v>16</v>
      </c>
      <c r="M65" s="227" t="s">
        <v>16</v>
      </c>
      <c r="N65" s="228"/>
      <c r="O65" s="228"/>
      <c r="P65" s="228"/>
      <c r="Q65" s="228"/>
      <c r="R65" s="228"/>
      <c r="S65" s="229">
        <f>SUBTOTAL(109,SWAGG[EXTENSION])</f>
        <v>0</v>
      </c>
      <c r="T65" s="337">
        <f>SUBTOTAL(103,SWAGG[WEIGHT])</f>
        <v>0</v>
      </c>
      <c r="U65" s="67"/>
    </row>
    <row r="66" spans="1:22" ht="7.5" customHeight="1" thickBot="1" x14ac:dyDescent="0.4">
      <c r="A66" s="67"/>
      <c r="B66" s="254"/>
      <c r="D66" s="254"/>
      <c r="E66" s="254"/>
      <c r="F66" s="254"/>
      <c r="G66" s="254"/>
      <c r="H66" s="254"/>
      <c r="I66" s="254"/>
      <c r="J66" s="254"/>
      <c r="K66" s="67" t="s">
        <v>439</v>
      </c>
      <c r="L66" s="254"/>
      <c r="N66" s="254"/>
      <c r="O66" s="254"/>
      <c r="P66" s="254"/>
      <c r="Q66" s="254"/>
      <c r="R66" s="254"/>
      <c r="S66" s="254"/>
      <c r="T66" s="254"/>
      <c r="U66" s="67"/>
    </row>
    <row r="67" spans="1:22" ht="19" thickBot="1" x14ac:dyDescent="0.5">
      <c r="A67" s="67"/>
      <c r="C67" s="812" t="s">
        <v>436</v>
      </c>
      <c r="D67" s="813"/>
      <c r="E67" s="813"/>
      <c r="F67" s="813"/>
      <c r="G67" s="813"/>
      <c r="H67" s="813"/>
      <c r="I67" s="814"/>
      <c r="J67" s="254"/>
      <c r="K67" s="325" t="s">
        <v>439</v>
      </c>
      <c r="L67" s="257" t="s">
        <v>437</v>
      </c>
      <c r="M67" s="812" t="s">
        <v>437</v>
      </c>
      <c r="N67" s="813"/>
      <c r="O67" s="813"/>
      <c r="P67" s="813"/>
      <c r="Q67" s="813"/>
      <c r="R67" s="813"/>
      <c r="S67" s="814"/>
      <c r="T67" s="281"/>
      <c r="U67" s="67"/>
    </row>
    <row r="68" spans="1:22" ht="15" thickBot="1" x14ac:dyDescent="0.4">
      <c r="A68" s="67"/>
      <c r="C68" s="282" t="s">
        <v>153</v>
      </c>
      <c r="D68" s="282" t="s">
        <v>302</v>
      </c>
      <c r="E68" s="283" t="s">
        <v>722</v>
      </c>
      <c r="F68" s="282" t="s">
        <v>154</v>
      </c>
      <c r="G68" s="82" t="s">
        <v>430</v>
      </c>
      <c r="H68" s="82" t="s">
        <v>155</v>
      </c>
      <c r="I68" s="88" t="s">
        <v>156</v>
      </c>
      <c r="J68" s="254"/>
      <c r="K68" s="325" t="s">
        <v>439</v>
      </c>
      <c r="L68" s="233" t="s">
        <v>185</v>
      </c>
      <c r="M68" s="282" t="s">
        <v>181</v>
      </c>
      <c r="N68" s="262" t="s">
        <v>334</v>
      </c>
      <c r="O68" s="262" t="s">
        <v>182</v>
      </c>
      <c r="P68" s="263" t="s">
        <v>183</v>
      </c>
      <c r="Q68" s="285" t="s">
        <v>184</v>
      </c>
      <c r="R68" s="82" t="s">
        <v>302</v>
      </c>
      <c r="S68" s="286" t="s">
        <v>156</v>
      </c>
      <c r="T68" s="344" t="s">
        <v>180</v>
      </c>
      <c r="V68" s="67"/>
    </row>
    <row r="69" spans="1:22" x14ac:dyDescent="0.35">
      <c r="A69" s="67"/>
      <c r="B69" s="255" t="s">
        <v>1</v>
      </c>
      <c r="C69" s="89" t="s">
        <v>1089</v>
      </c>
      <c r="D69" s="86"/>
      <c r="E69" s="87"/>
      <c r="F69" s="408"/>
      <c r="G69" s="443"/>
      <c r="H69" s="69">
        <v>600</v>
      </c>
      <c r="I69" s="93">
        <f>F69*G69*H69</f>
        <v>0</v>
      </c>
      <c r="J69" s="254"/>
      <c r="K69" s="325" t="s">
        <v>439</v>
      </c>
      <c r="L69" s="345" t="str">
        <f>IF(M69="","",_xlfn.CONCAT(M69:O69))</f>
        <v>Rentals (Equipment, Sunbelt etc)&lt;--  Rentals Here</v>
      </c>
      <c r="M69" s="576" t="s">
        <v>465</v>
      </c>
      <c r="N69" s="234" t="s">
        <v>1036</v>
      </c>
      <c r="O69" s="235"/>
      <c r="P69" s="91"/>
      <c r="Q69" s="200"/>
      <c r="R69" s="235"/>
      <c r="S69" s="575">
        <f>IF(P69="", Q69, P69*Q69)</f>
        <v>0</v>
      </c>
      <c r="T69" s="346"/>
      <c r="V69" s="67"/>
    </row>
    <row r="70" spans="1:22" x14ac:dyDescent="0.35">
      <c r="A70" s="67"/>
      <c r="B70" s="255" t="s">
        <v>1</v>
      </c>
      <c r="C70" s="90" t="s">
        <v>1090</v>
      </c>
      <c r="D70" s="84"/>
      <c r="E70" s="85"/>
      <c r="F70" s="408"/>
      <c r="G70" s="443"/>
      <c r="H70" s="69">
        <v>600</v>
      </c>
      <c r="I70" s="93">
        <f t="shared" ref="I70:I81" si="9">F70*G70*H70</f>
        <v>0</v>
      </c>
      <c r="J70" s="254"/>
      <c r="K70" s="325" t="s">
        <v>439</v>
      </c>
      <c r="L70" s="345" t="str">
        <f>IF(M70="","",_xlfn.CONCAT(M70:O70))</f>
        <v>Rentals (Equipment, Sunbelt etc)&lt;--  Rentals Here</v>
      </c>
      <c r="M70" s="576" t="s">
        <v>465</v>
      </c>
      <c r="N70" s="234" t="s">
        <v>1036</v>
      </c>
      <c r="O70" s="235"/>
      <c r="P70" s="91"/>
      <c r="Q70" s="200"/>
      <c r="R70" s="235"/>
      <c r="S70" s="575">
        <f>IF(P70="", Q70, P70*Q70)</f>
        <v>0</v>
      </c>
      <c r="T70" s="346"/>
      <c r="V70" s="67"/>
    </row>
    <row r="71" spans="1:22" x14ac:dyDescent="0.35">
      <c r="A71" s="67"/>
      <c r="B71" s="255" t="s">
        <v>1</v>
      </c>
      <c r="C71" s="90" t="s">
        <v>1091</v>
      </c>
      <c r="D71" s="84"/>
      <c r="E71" s="85"/>
      <c r="F71" s="408"/>
      <c r="G71" s="443"/>
      <c r="H71" s="69">
        <v>600</v>
      </c>
      <c r="I71" s="93">
        <f t="shared" si="9"/>
        <v>0</v>
      </c>
      <c r="J71" s="254"/>
      <c r="K71" s="325" t="s">
        <v>439</v>
      </c>
      <c r="L71" s="345" t="str">
        <f>IF(M71="","",_xlfn.CONCAT(M71:O71))</f>
        <v>Rentals (Equipment, Sunbelt etc)&lt;--  Rentals Here</v>
      </c>
      <c r="M71" s="576" t="s">
        <v>465</v>
      </c>
      <c r="N71" s="234" t="s">
        <v>1036</v>
      </c>
      <c r="O71" s="235"/>
      <c r="P71" s="91"/>
      <c r="Q71" s="200"/>
      <c r="R71" s="235"/>
      <c r="S71" s="575">
        <f>IF(P71="", Q71, P71*Q71)</f>
        <v>0</v>
      </c>
      <c r="T71" s="346"/>
      <c r="V71" s="67"/>
    </row>
    <row r="72" spans="1:22" x14ac:dyDescent="0.35">
      <c r="A72" s="67"/>
      <c r="B72" s="255" t="s">
        <v>1</v>
      </c>
      <c r="C72" s="90" t="s">
        <v>1092</v>
      </c>
      <c r="D72" s="84"/>
      <c r="E72" s="85"/>
      <c r="F72" s="408"/>
      <c r="G72" s="443"/>
      <c r="H72" s="69">
        <v>600</v>
      </c>
      <c r="I72" s="93">
        <f t="shared" si="9"/>
        <v>0</v>
      </c>
      <c r="J72" s="254"/>
      <c r="K72" s="325" t="s">
        <v>439</v>
      </c>
      <c r="L72" s="345" t="str">
        <f>IF(M72="","",_xlfn.CONCAT(M72:O72))</f>
        <v>Contingency</v>
      </c>
      <c r="M72" s="332" t="s">
        <v>166</v>
      </c>
      <c r="N72" s="234"/>
      <c r="O72" s="235"/>
      <c r="P72" s="235"/>
      <c r="Q72" s="201">
        <v>0</v>
      </c>
      <c r="R72" s="235"/>
      <c r="S72" s="291">
        <f>Q72</f>
        <v>0</v>
      </c>
      <c r="T72" s="236"/>
      <c r="V72" s="67"/>
    </row>
    <row r="73" spans="1:22" x14ac:dyDescent="0.35">
      <c r="A73" s="67"/>
      <c r="B73" s="255" t="s">
        <v>1</v>
      </c>
      <c r="C73" s="90" t="s">
        <v>431</v>
      </c>
      <c r="D73" s="84"/>
      <c r="E73" s="85"/>
      <c r="F73" s="408"/>
      <c r="G73" s="443"/>
      <c r="H73" s="69">
        <v>600</v>
      </c>
      <c r="I73" s="93">
        <f t="shared" si="9"/>
        <v>0</v>
      </c>
      <c r="J73" s="254"/>
      <c r="K73" s="325" t="s">
        <v>439</v>
      </c>
      <c r="L73" s="345" t="str">
        <f>IF(M73="","",_xlfn.CONCAT(M73:O73))</f>
        <v>Box Truck Rental</v>
      </c>
      <c r="M73" s="332" t="s">
        <v>438</v>
      </c>
      <c r="N73" s="234"/>
      <c r="O73" s="235"/>
      <c r="P73" s="235"/>
      <c r="Q73" s="201">
        <v>0</v>
      </c>
      <c r="R73" s="235"/>
      <c r="S73" s="575">
        <f>Q73</f>
        <v>0</v>
      </c>
      <c r="T73" s="236"/>
      <c r="V73" s="67"/>
    </row>
    <row r="74" spans="1:22" x14ac:dyDescent="0.35">
      <c r="A74" s="67"/>
      <c r="B74" s="255" t="s">
        <v>1</v>
      </c>
      <c r="C74" s="90" t="s">
        <v>879</v>
      </c>
      <c r="D74" s="84"/>
      <c r="E74" s="85"/>
      <c r="F74" s="408"/>
      <c r="G74" s="443"/>
      <c r="H74" s="69">
        <v>600</v>
      </c>
      <c r="I74" s="93">
        <f t="shared" si="9"/>
        <v>0</v>
      </c>
      <c r="J74" s="254"/>
      <c r="K74" s="325" t="s">
        <v>439</v>
      </c>
      <c r="L74" s="342" t="str">
        <f>IFERROR(IF(M74="","",_xlfn.XLOOKUP(_xlfn.CONCAT(M74:O74),P!$Y:$Y,P!$X:$X,"UNAVAILABLE")),"UNAVAILABLE")</f>
        <v>S (30 TUBEN//ATU</v>
      </c>
      <c r="M74" s="429" t="s">
        <v>719</v>
      </c>
      <c r="N74" s="424" t="s">
        <v>398</v>
      </c>
      <c r="O74" s="422" t="s">
        <v>503</v>
      </c>
      <c r="P74" s="400"/>
      <c r="Q74" s="203">
        <f>IFERROR(VLOOKUP(L74,P!$X:$Z,3,FALSE),0)</f>
        <v>8.2899999999999991</v>
      </c>
      <c r="R74" s="235"/>
      <c r="S74" s="291">
        <f t="shared" ref="S74:S86" si="10">Q74*P74</f>
        <v>0</v>
      </c>
      <c r="T74" s="237"/>
      <c r="V74" s="67"/>
    </row>
    <row r="75" spans="1:22" x14ac:dyDescent="0.35">
      <c r="A75" s="67"/>
      <c r="B75" s="255" t="s">
        <v>1</v>
      </c>
      <c r="C75" s="90" t="s">
        <v>880</v>
      </c>
      <c r="D75" s="84"/>
      <c r="E75" s="85"/>
      <c r="F75" s="408"/>
      <c r="G75" s="443"/>
      <c r="H75" s="69">
        <v>600</v>
      </c>
      <c r="I75" s="93">
        <f t="shared" si="9"/>
        <v>0</v>
      </c>
      <c r="J75" s="254"/>
      <c r="K75" s="325" t="s">
        <v>439</v>
      </c>
      <c r="L75" s="342" t="str">
        <f ca="1">IF(M75="","",_xlfn.XLOOKUP(_xlfn.CONCAT(M75:O75),P!$J:$J,P!$I:$I,"UNAVAILABLE"))</f>
        <v>JS4U-SG</v>
      </c>
      <c r="M75" s="429" t="s">
        <v>1047</v>
      </c>
      <c r="N75" s="424" t="s">
        <v>521</v>
      </c>
      <c r="O75" s="422" t="s">
        <v>718</v>
      </c>
      <c r="P75" s="400"/>
      <c r="Q75" s="203">
        <f ca="1">IFERROR(VLOOKUP(L75,P!$X:$Z,3,FALSE),0)</f>
        <v>125.4</v>
      </c>
      <c r="R75" s="235"/>
      <c r="S75" s="291">
        <f t="shared" ca="1" si="10"/>
        <v>0</v>
      </c>
      <c r="T75" s="237"/>
      <c r="V75" s="67"/>
    </row>
    <row r="76" spans="1:22" x14ac:dyDescent="0.35">
      <c r="A76" s="67"/>
      <c r="B76" s="255" t="s">
        <v>1</v>
      </c>
      <c r="C76" s="90" t="s">
        <v>881</v>
      </c>
      <c r="D76" s="84"/>
      <c r="E76" s="85"/>
      <c r="F76" s="408"/>
      <c r="G76" s="443"/>
      <c r="H76" s="69">
        <v>600</v>
      </c>
      <c r="I76" s="93">
        <f t="shared" si="9"/>
        <v>0</v>
      </c>
      <c r="J76" s="254"/>
      <c r="K76" s="325" t="s">
        <v>439</v>
      </c>
      <c r="L76" s="342" t="str">
        <f>IFERROR(IF(M76="","",_xlfn.XLOOKUP(_xlfn.CONCAT(M76:O76),P!$Y:$Y,P!$X:$X,"UNAVAILABLE")),"UNAVAILABLE")</f>
        <v>TUBES / CASTAYTU</v>
      </c>
      <c r="M76" s="429" t="s">
        <v>720</v>
      </c>
      <c r="N76" s="424" t="s">
        <v>521</v>
      </c>
      <c r="O76" s="422" t="s">
        <v>503</v>
      </c>
      <c r="P76" s="400"/>
      <c r="Q76" s="203">
        <f>IFERROR(VLOOKUP(L76,P!$X:$Z,3,FALSE),0)</f>
        <v>38.5</v>
      </c>
      <c r="R76" s="235"/>
      <c r="S76" s="291">
        <f t="shared" si="10"/>
        <v>0</v>
      </c>
      <c r="T76" s="237"/>
      <c r="V76" s="67"/>
    </row>
    <row r="77" spans="1:22" x14ac:dyDescent="0.35">
      <c r="A77" s="67"/>
      <c r="B77" s="255" t="s">
        <v>1</v>
      </c>
      <c r="C77" s="90" t="s">
        <v>882</v>
      </c>
      <c r="D77" s="84"/>
      <c r="E77" s="85"/>
      <c r="F77" s="408"/>
      <c r="G77" s="443"/>
      <c r="H77" s="69">
        <v>600</v>
      </c>
      <c r="I77" s="93">
        <f t="shared" si="9"/>
        <v>0</v>
      </c>
      <c r="J77" s="254"/>
      <c r="K77" s="325" t="s">
        <v>439</v>
      </c>
      <c r="L77" s="342" t="str">
        <f>IFERROR(IF(M77="","",_xlfn.XLOOKUP(_xlfn.CONCAT(M77:O77),P!$Y:$Y,P!$X:$X,"UNAVAILABLE")),"UNAVAILABLE")</f>
        <v>TUBES / CAGRAYTU</v>
      </c>
      <c r="M77" s="429" t="s">
        <v>891</v>
      </c>
      <c r="N77" s="424" t="s">
        <v>317</v>
      </c>
      <c r="O77" s="422" t="s">
        <v>503</v>
      </c>
      <c r="P77" s="400"/>
      <c r="Q77" s="203">
        <f>IFERROR(VLOOKUP(L77,P!$X:$Z,3,FALSE),0)</f>
        <v>38.5</v>
      </c>
      <c r="R77" s="235"/>
      <c r="S77" s="291">
        <f t="shared" si="10"/>
        <v>0</v>
      </c>
      <c r="T77" s="237"/>
      <c r="V77" s="67"/>
    </row>
    <row r="78" spans="1:22" x14ac:dyDescent="0.35">
      <c r="A78" s="67"/>
      <c r="B78" s="255" t="s">
        <v>2</v>
      </c>
      <c r="C78" s="240" t="s">
        <v>158</v>
      </c>
      <c r="D78" s="240"/>
      <c r="E78" s="241"/>
      <c r="F78" s="411"/>
      <c r="G78" s="442"/>
      <c r="H78" s="69">
        <v>0</v>
      </c>
      <c r="I78" s="93">
        <f>H78</f>
        <v>0</v>
      </c>
      <c r="J78" s="254"/>
      <c r="K78" s="325" t="s">
        <v>439</v>
      </c>
      <c r="L78" s="345" t="str">
        <f t="shared" ref="L78:L86" si="11">IF(M78="","",_xlfn.CONCAT(M78:O78))</f>
        <v/>
      </c>
      <c r="M78" s="92"/>
      <c r="N78" s="589"/>
      <c r="O78" s="91"/>
      <c r="P78" s="400"/>
      <c r="Q78" s="201"/>
      <c r="R78" s="235"/>
      <c r="S78" s="291">
        <f t="shared" si="10"/>
        <v>0</v>
      </c>
      <c r="T78" s="237"/>
      <c r="V78" s="67"/>
    </row>
    <row r="79" spans="1:22" x14ac:dyDescent="0.35">
      <c r="A79" s="67"/>
      <c r="B79" s="255" t="s">
        <v>3</v>
      </c>
      <c r="C79" s="240" t="s">
        <v>159</v>
      </c>
      <c r="D79" s="240"/>
      <c r="E79" s="241"/>
      <c r="F79" s="464"/>
      <c r="G79" s="443"/>
      <c r="H79" s="465">
        <v>420</v>
      </c>
      <c r="I79" s="93">
        <f t="shared" si="9"/>
        <v>0</v>
      </c>
      <c r="J79" s="254"/>
      <c r="K79" s="325" t="s">
        <v>439</v>
      </c>
      <c r="L79" s="345" t="str">
        <f t="shared" si="11"/>
        <v/>
      </c>
      <c r="M79" s="92"/>
      <c r="N79" s="589"/>
      <c r="O79" s="91"/>
      <c r="P79" s="400"/>
      <c r="Q79" s="201"/>
      <c r="R79" s="235"/>
      <c r="S79" s="291">
        <f t="shared" si="10"/>
        <v>0</v>
      </c>
      <c r="T79" s="237"/>
      <c r="V79" s="67"/>
    </row>
    <row r="80" spans="1:22" x14ac:dyDescent="0.35">
      <c r="A80" s="67"/>
      <c r="B80" s="255" t="s">
        <v>4</v>
      </c>
      <c r="C80" s="240" t="s">
        <v>160</v>
      </c>
      <c r="D80" s="240"/>
      <c r="E80" s="241"/>
      <c r="F80" s="464"/>
      <c r="G80" s="443"/>
      <c r="H80" s="465">
        <v>180</v>
      </c>
      <c r="I80" s="93">
        <f t="shared" si="9"/>
        <v>0</v>
      </c>
      <c r="J80" s="254"/>
      <c r="K80" s="325" t="s">
        <v>439</v>
      </c>
      <c r="L80" s="345" t="str">
        <f t="shared" si="11"/>
        <v/>
      </c>
      <c r="M80" s="92"/>
      <c r="N80" s="589"/>
      <c r="O80" s="91"/>
      <c r="P80" s="400"/>
      <c r="Q80" s="201"/>
      <c r="R80" s="235"/>
      <c r="S80" s="291">
        <f t="shared" si="10"/>
        <v>0</v>
      </c>
      <c r="T80" s="237"/>
      <c r="V80" s="67"/>
    </row>
    <row r="81" spans="1:22" x14ac:dyDescent="0.35">
      <c r="A81" s="67"/>
      <c r="B81" s="255" t="s">
        <v>5</v>
      </c>
      <c r="C81" s="243" t="s">
        <v>161</v>
      </c>
      <c r="D81" s="243"/>
      <c r="E81" s="244"/>
      <c r="F81" s="464"/>
      <c r="G81" s="443"/>
      <c r="H81" s="466">
        <v>65</v>
      </c>
      <c r="I81" s="93">
        <f t="shared" si="9"/>
        <v>0</v>
      </c>
      <c r="J81" s="254"/>
      <c r="K81" s="325" t="s">
        <v>439</v>
      </c>
      <c r="L81" s="345" t="str">
        <f t="shared" si="11"/>
        <v/>
      </c>
      <c r="M81" s="92"/>
      <c r="N81" s="589"/>
      <c r="O81" s="91"/>
      <c r="P81" s="400"/>
      <c r="Q81" s="201"/>
      <c r="R81" s="235"/>
      <c r="S81" s="291">
        <f t="shared" si="10"/>
        <v>0</v>
      </c>
      <c r="T81" s="237"/>
      <c r="V81" s="67"/>
    </row>
    <row r="82" spans="1:22" x14ac:dyDescent="0.35">
      <c r="A82" s="67"/>
      <c r="B82" s="255" t="s">
        <v>6</v>
      </c>
      <c r="C82" s="243" t="s">
        <v>162</v>
      </c>
      <c r="D82" s="243"/>
      <c r="E82" s="244"/>
      <c r="F82" s="464"/>
      <c r="G82" s="442"/>
      <c r="H82" s="466">
        <v>0.75</v>
      </c>
      <c r="I82" s="93">
        <f>F82*H82</f>
        <v>0</v>
      </c>
      <c r="J82" s="254"/>
      <c r="K82" s="325" t="s">
        <v>439</v>
      </c>
      <c r="L82" s="345" t="str">
        <f t="shared" si="11"/>
        <v/>
      </c>
      <c r="M82" s="92"/>
      <c r="N82" s="589"/>
      <c r="O82" s="91"/>
      <c r="P82" s="400"/>
      <c r="Q82" s="201"/>
      <c r="R82" s="235"/>
      <c r="S82" s="291">
        <f t="shared" si="10"/>
        <v>0</v>
      </c>
      <c r="T82" s="237"/>
      <c r="V82" s="67"/>
    </row>
    <row r="83" spans="1:22" x14ac:dyDescent="0.35">
      <c r="A83" s="67"/>
      <c r="B83" s="255" t="s">
        <v>7</v>
      </c>
      <c r="C83" s="243" t="s">
        <v>163</v>
      </c>
      <c r="D83" s="243"/>
      <c r="E83" s="244"/>
      <c r="F83" s="411"/>
      <c r="G83" s="442"/>
      <c r="H83" s="466"/>
      <c r="I83" s="93">
        <f>H83</f>
        <v>0</v>
      </c>
      <c r="J83" s="254"/>
      <c r="K83" s="325" t="s">
        <v>439</v>
      </c>
      <c r="L83" s="345" t="str">
        <f t="shared" si="11"/>
        <v/>
      </c>
      <c r="M83" s="92"/>
      <c r="N83" s="589"/>
      <c r="O83" s="91"/>
      <c r="P83" s="400"/>
      <c r="Q83" s="201"/>
      <c r="R83" s="235"/>
      <c r="S83" s="291">
        <f t="shared" si="10"/>
        <v>0</v>
      </c>
      <c r="T83" s="237"/>
      <c r="V83" s="67"/>
    </row>
    <row r="84" spans="1:22" x14ac:dyDescent="0.35">
      <c r="A84" s="67"/>
      <c r="B84" s="255" t="s">
        <v>8</v>
      </c>
      <c r="C84" s="243" t="s">
        <v>164</v>
      </c>
      <c r="D84" s="243"/>
      <c r="E84" s="244"/>
      <c r="F84" s="464"/>
      <c r="G84" s="467"/>
      <c r="H84" s="466">
        <v>38.25</v>
      </c>
      <c r="I84" s="93">
        <f>F84*G84*H84</f>
        <v>0</v>
      </c>
      <c r="J84" s="254"/>
      <c r="K84" s="325" t="s">
        <v>439</v>
      </c>
      <c r="L84" s="345" t="str">
        <f t="shared" si="11"/>
        <v/>
      </c>
      <c r="M84" s="92"/>
      <c r="N84" s="589"/>
      <c r="O84" s="91"/>
      <c r="P84" s="400"/>
      <c r="Q84" s="201"/>
      <c r="R84" s="235"/>
      <c r="S84" s="291">
        <f t="shared" si="10"/>
        <v>0</v>
      </c>
      <c r="T84" s="237"/>
      <c r="V84" s="67"/>
    </row>
    <row r="85" spans="1:22" x14ac:dyDescent="0.35">
      <c r="A85" s="67"/>
      <c r="B85" s="255" t="s">
        <v>9</v>
      </c>
      <c r="C85" s="243" t="s">
        <v>165</v>
      </c>
      <c r="D85" s="243"/>
      <c r="E85" s="244"/>
      <c r="F85" s="464"/>
      <c r="G85" s="467"/>
      <c r="H85" s="466">
        <v>51</v>
      </c>
      <c r="I85" s="93">
        <f>F85*G85*H85</f>
        <v>0</v>
      </c>
      <c r="J85" s="254"/>
      <c r="K85" s="325" t="s">
        <v>439</v>
      </c>
      <c r="L85" s="345" t="str">
        <f t="shared" si="11"/>
        <v/>
      </c>
      <c r="M85" s="92"/>
      <c r="N85" s="589"/>
      <c r="O85" s="91"/>
      <c r="P85" s="400"/>
      <c r="Q85" s="201"/>
      <c r="R85" s="235"/>
      <c r="S85" s="291">
        <f t="shared" si="10"/>
        <v>0</v>
      </c>
      <c r="T85" s="237"/>
      <c r="V85" s="67"/>
    </row>
    <row r="86" spans="1:22" ht="15" thickBot="1" x14ac:dyDescent="0.4">
      <c r="A86" s="67"/>
      <c r="B86" s="255" t="s">
        <v>10</v>
      </c>
      <c r="C86" s="298" t="s">
        <v>256</v>
      </c>
      <c r="D86" s="298"/>
      <c r="E86" s="299"/>
      <c r="F86" s="464"/>
      <c r="G86" s="467"/>
      <c r="H86" s="468">
        <v>325</v>
      </c>
      <c r="I86" s="93">
        <f>F86*G86*H86</f>
        <v>0</v>
      </c>
      <c r="J86" s="254"/>
      <c r="K86" s="325" t="s">
        <v>439</v>
      </c>
      <c r="L86" s="347" t="str">
        <f t="shared" si="11"/>
        <v/>
      </c>
      <c r="M86" s="92"/>
      <c r="N86" s="589"/>
      <c r="O86" s="91"/>
      <c r="P86" s="400"/>
      <c r="Q86" s="201"/>
      <c r="R86" s="235"/>
      <c r="S86" s="291">
        <f t="shared" si="10"/>
        <v>0</v>
      </c>
      <c r="T86" s="348"/>
      <c r="V86" s="67"/>
    </row>
    <row r="87" spans="1:22" ht="15.5" thickTop="1" thickBot="1" x14ac:dyDescent="0.4">
      <c r="A87" s="67"/>
      <c r="C87" s="230" t="s">
        <v>16</v>
      </c>
      <c r="D87" s="228"/>
      <c r="E87" s="228"/>
      <c r="F87" s="228"/>
      <c r="G87" s="228"/>
      <c r="H87" s="228"/>
      <c r="I87" s="229">
        <f>SUBTOTAL(109,SWLABOR[EXTENSION])</f>
        <v>0</v>
      </c>
      <c r="J87" s="254"/>
      <c r="K87" s="325" t="s">
        <v>439</v>
      </c>
      <c r="L87" s="239"/>
      <c r="M87" s="227" t="s">
        <v>16</v>
      </c>
      <c r="N87" s="228"/>
      <c r="O87" s="228"/>
      <c r="P87" s="228"/>
      <c r="Q87" s="228"/>
      <c r="R87" s="228"/>
      <c r="S87" s="229">
        <f ca="1">SUBTOTAL(109, SWADDS[EXTENSION])</f>
        <v>0</v>
      </c>
      <c r="T87" s="278">
        <f>SUBTOTAL(103,SWADDS[WEIGHT])</f>
        <v>0</v>
      </c>
      <c r="U87" s="67"/>
    </row>
    <row r="88" spans="1:22" ht="7.5" customHeight="1" thickBot="1" x14ac:dyDescent="0.4">
      <c r="A88" s="67"/>
      <c r="B88" s="254"/>
      <c r="D88" s="254"/>
      <c r="E88" s="254"/>
      <c r="F88" s="254"/>
      <c r="G88" s="254"/>
      <c r="H88" s="254"/>
      <c r="I88" s="254"/>
      <c r="K88" s="67" t="s">
        <v>439</v>
      </c>
      <c r="N88" s="254"/>
      <c r="O88" s="254"/>
      <c r="P88" s="254"/>
      <c r="Q88" s="254"/>
      <c r="R88" s="254"/>
      <c r="S88" s="254"/>
      <c r="T88" s="254"/>
      <c r="U88" s="67"/>
    </row>
    <row r="89" spans="1:22" ht="19" thickBot="1" x14ac:dyDescent="0.5">
      <c r="A89" s="67"/>
      <c r="B89" s="254"/>
      <c r="C89" s="812" t="s">
        <v>168</v>
      </c>
      <c r="D89" s="813"/>
      <c r="E89" s="813"/>
      <c r="F89" s="813"/>
      <c r="G89" s="813"/>
      <c r="H89" s="813"/>
      <c r="I89" s="814"/>
      <c r="K89" s="67" t="s">
        <v>439</v>
      </c>
      <c r="L89" s="254"/>
      <c r="M89" s="812" t="s">
        <v>170</v>
      </c>
      <c r="N89" s="813"/>
      <c r="O89" s="813"/>
      <c r="P89" s="813"/>
      <c r="Q89" s="813"/>
      <c r="R89" s="813"/>
      <c r="S89" s="814"/>
      <c r="U89" s="67"/>
    </row>
    <row r="90" spans="1:22" ht="15" thickBot="1" x14ac:dyDescent="0.4">
      <c r="A90" s="67"/>
      <c r="B90" s="254"/>
      <c r="C90" s="801" t="s">
        <v>169</v>
      </c>
      <c r="D90" s="802"/>
      <c r="E90" s="802"/>
      <c r="F90" s="802"/>
      <c r="G90" s="802"/>
      <c r="H90" s="802"/>
      <c r="I90" s="803"/>
      <c r="K90" s="67" t="s">
        <v>439</v>
      </c>
      <c r="L90" s="254"/>
      <c r="M90" s="801" t="s">
        <v>171</v>
      </c>
      <c r="N90" s="802"/>
      <c r="O90" s="802"/>
      <c r="P90" s="802" t="s">
        <v>172</v>
      </c>
      <c r="Q90" s="802"/>
      <c r="R90" s="802"/>
      <c r="S90" s="803"/>
      <c r="U90" s="67"/>
    </row>
    <row r="91" spans="1:22" x14ac:dyDescent="0.35">
      <c r="A91" s="67"/>
      <c r="B91" s="254"/>
      <c r="C91" s="302" t="s">
        <v>0</v>
      </c>
      <c r="D91" s="789">
        <f ca="1">SUM(SWPRIME[[#Totals],[EXTENSION]],SWPATCH[[#Totals],[EXTENSION]],SWPOLY[[#Totals],[EXTENSION]],SWCRETE[[#Totals],[EXTENSION]],SWMMA[[#Totals],[EXTENSION]],SWAGG[[#Totals],[EXTENSION]],SWURETHANE[[#Totals],[EXTENSION]],SWEPOXY[[#Totals],[EXTENSION]],S72:S86)</f>
        <v>0</v>
      </c>
      <c r="E91" s="790"/>
      <c r="F91" s="808" t="s">
        <v>8</v>
      </c>
      <c r="G91" s="809"/>
      <c r="H91" s="810">
        <f>I84</f>
        <v>0</v>
      </c>
      <c r="I91" s="811"/>
      <c r="K91" s="67" t="s">
        <v>439</v>
      </c>
      <c r="L91" s="254"/>
      <c r="M91" s="415" t="s">
        <v>173</v>
      </c>
      <c r="N91" s="815">
        <f ca="1">SUM(D91:E100,H91:I99,D104:E106,H104:I106,H101)</f>
        <v>0</v>
      </c>
      <c r="O91" s="816"/>
      <c r="P91" s="469" t="s">
        <v>1000</v>
      </c>
      <c r="Q91" s="530">
        <f>PO!Q2</f>
        <v>0.1</v>
      </c>
      <c r="R91" s="530">
        <f>PO!Q4</f>
        <v>0.1</v>
      </c>
      <c r="S91" s="531">
        <f xml:space="preserve"> PO!Q6</f>
        <v>0.1</v>
      </c>
      <c r="T91" s="254"/>
      <c r="U91" s="67"/>
    </row>
    <row r="92" spans="1:22" x14ac:dyDescent="0.35">
      <c r="A92" s="67"/>
      <c r="B92" s="254"/>
      <c r="C92" s="304" t="s">
        <v>1</v>
      </c>
      <c r="D92" s="789">
        <f t="shared" ref="D92:D98" si="12">SUMIF($B$69:$B$87,C92,$I$69:$I$87)</f>
        <v>0</v>
      </c>
      <c r="E92" s="790"/>
      <c r="F92" s="791" t="s">
        <v>9</v>
      </c>
      <c r="G92" s="792"/>
      <c r="H92" s="795">
        <f>I85</f>
        <v>0</v>
      </c>
      <c r="I92" s="796"/>
      <c r="K92" s="67" t="s">
        <v>439</v>
      </c>
      <c r="L92" s="254"/>
      <c r="M92" s="303" t="s">
        <v>732</v>
      </c>
      <c r="N92" s="789">
        <f ca="1">IFERROR(ROUND(IF(Q91=0,PO!$Q$2,Q91)*D91,2),0)</f>
        <v>0</v>
      </c>
      <c r="O92" s="790"/>
      <c r="P92" s="817" t="s">
        <v>174</v>
      </c>
      <c r="Q92" s="818"/>
      <c r="R92" s="819">
        <f ca="1">IF(IFERROR(ROUND(SUM(R94/N96),2),0)&gt;(-1),IFERROR(ROUND(SUM(R94/N96),2),0),0)</f>
        <v>0</v>
      </c>
      <c r="S92" s="820"/>
      <c r="T92" s="254"/>
      <c r="U92" s="67"/>
    </row>
    <row r="93" spans="1:22" x14ac:dyDescent="0.35">
      <c r="A93" s="67"/>
      <c r="B93" s="254"/>
      <c r="C93" s="304" t="s">
        <v>2</v>
      </c>
      <c r="D93" s="789">
        <f t="shared" si="12"/>
        <v>0</v>
      </c>
      <c r="E93" s="790"/>
      <c r="F93" s="791" t="s">
        <v>10</v>
      </c>
      <c r="G93" s="792"/>
      <c r="H93" s="795">
        <f>I86</f>
        <v>0</v>
      </c>
      <c r="I93" s="796"/>
      <c r="K93" s="67" t="s">
        <v>439</v>
      </c>
      <c r="L93" s="254"/>
      <c r="M93" s="303" t="s">
        <v>733</v>
      </c>
      <c r="N93" s="789">
        <f>IFERROR(ROUND(IF(R91=0,PO!$Q$4,R91)*H97,2),0)</f>
        <v>0</v>
      </c>
      <c r="O93" s="790"/>
      <c r="P93" s="826" t="s">
        <v>175</v>
      </c>
      <c r="Q93" s="827"/>
      <c r="R93" s="821">
        <f ca="1">IFERROR(ROUND(SUM(R94/Q97),2),0)</f>
        <v>0</v>
      </c>
      <c r="S93" s="822"/>
      <c r="T93" s="254"/>
      <c r="U93" s="67"/>
    </row>
    <row r="94" spans="1:22" x14ac:dyDescent="0.35">
      <c r="A94" s="67"/>
      <c r="B94" s="254"/>
      <c r="C94" s="304" t="s">
        <v>3</v>
      </c>
      <c r="D94" s="789">
        <f t="shared" si="12"/>
        <v>0</v>
      </c>
      <c r="E94" s="790"/>
      <c r="F94" s="791" t="s">
        <v>11</v>
      </c>
      <c r="G94" s="792"/>
      <c r="H94" s="793"/>
      <c r="I94" s="794"/>
      <c r="K94" s="67" t="s">
        <v>439</v>
      </c>
      <c r="L94" s="254"/>
      <c r="M94" s="303" t="s">
        <v>980</v>
      </c>
      <c r="N94" s="795">
        <f>IFERROR(ROUND(IF(S91=0,PO!$Q$6,S91)*SUM(H95:H96),2),0)</f>
        <v>0</v>
      </c>
      <c r="O94" s="796"/>
      <c r="P94" s="826" t="s">
        <v>178</v>
      </c>
      <c r="Q94" s="827"/>
      <c r="R94" s="795">
        <f ca="1">Q97-N96</f>
        <v>0</v>
      </c>
      <c r="S94" s="796"/>
      <c r="T94" s="254"/>
      <c r="U94" s="67"/>
    </row>
    <row r="95" spans="1:22" x14ac:dyDescent="0.35">
      <c r="A95" s="67"/>
      <c r="B95" s="254"/>
      <c r="C95" s="304" t="s">
        <v>4</v>
      </c>
      <c r="D95" s="789">
        <f t="shared" si="12"/>
        <v>0</v>
      </c>
      <c r="E95" s="790"/>
      <c r="F95" s="791" t="s">
        <v>12</v>
      </c>
      <c r="G95" s="792"/>
      <c r="H95" s="793"/>
      <c r="I95" s="794"/>
      <c r="K95" s="67" t="s">
        <v>439</v>
      </c>
      <c r="L95" s="254"/>
      <c r="M95" s="303" t="s">
        <v>177</v>
      </c>
      <c r="N95" s="789">
        <f>ROUND(Q97*0.007,2)</f>
        <v>0</v>
      </c>
      <c r="O95" s="790"/>
      <c r="P95" s="826" t="str">
        <f>IF(P96="","","BASE RECOMMENDED BID AMT")</f>
        <v/>
      </c>
      <c r="Q95" s="827"/>
      <c r="R95" s="795" t="str">
        <f>IF(P96="","",ROUND(SUM(N91)*1.45+N92+N93+N94,0)+(ROUND(SUM(N91)*1.45+N92+N93+N94,0)*0.007))</f>
        <v/>
      </c>
      <c r="S95" s="796"/>
      <c r="T95" s="254"/>
      <c r="U95" s="67"/>
    </row>
    <row r="96" spans="1:22" ht="15" thickBot="1" x14ac:dyDescent="0.4">
      <c r="A96" s="67"/>
      <c r="B96" s="254"/>
      <c r="C96" s="304" t="s">
        <v>5</v>
      </c>
      <c r="D96" s="789">
        <f t="shared" si="12"/>
        <v>0</v>
      </c>
      <c r="E96" s="790"/>
      <c r="F96" s="791" t="s">
        <v>13</v>
      </c>
      <c r="G96" s="792"/>
      <c r="H96" s="793"/>
      <c r="I96" s="794"/>
      <c r="K96" s="67" t="s">
        <v>439</v>
      </c>
      <c r="L96" s="254"/>
      <c r="M96" s="306" t="s">
        <v>176</v>
      </c>
      <c r="N96" s="828">
        <f ca="1">SUM(N91:N95)+IF(R96="",0,R96)</f>
        <v>0</v>
      </c>
      <c r="O96" s="829"/>
      <c r="P96" s="839" t="str">
        <f>IF(OR(INFO!D21="CA",INFO!I21="CA"),"CA LITIGATION FUND - 7.8%","")</f>
        <v/>
      </c>
      <c r="Q96" s="840"/>
      <c r="R96" s="841" t="str">
        <f>IF(OR(INFO!$D$21="CA",INFO!$D$21="CA"),IF(D93=0,R95*0.078,""),"")</f>
        <v/>
      </c>
      <c r="S96" s="842"/>
      <c r="T96" s="254"/>
      <c r="U96" s="67"/>
    </row>
    <row r="97" spans="1:22" ht="15" thickBot="1" x14ac:dyDescent="0.4">
      <c r="A97" s="67"/>
      <c r="B97" s="254"/>
      <c r="C97" s="304" t="s">
        <v>6</v>
      </c>
      <c r="D97" s="789">
        <f t="shared" si="12"/>
        <v>0</v>
      </c>
      <c r="E97" s="790"/>
      <c r="F97" s="791" t="s">
        <v>14</v>
      </c>
      <c r="G97" s="792"/>
      <c r="H97" s="804">
        <f>SUM(S69,S70, S71, S73)</f>
        <v>0</v>
      </c>
      <c r="I97" s="805"/>
      <c r="K97" s="67" t="s">
        <v>439</v>
      </c>
      <c r="L97" s="254"/>
      <c r="M97" s="833" t="str">
        <f ca="1">"CUSTOMER BID AMOUNT ("&amp;TEXT(ROUND(SUM(N91)*1.45+N92+N93+N94,0)+(ROUND(SUM(N91)*1.45+N92+N93+N94,0)*0.007)+IF(R96="",0,R96),"$###,##0.00")&amp;" Recommended)"</f>
        <v>CUSTOMER BID AMOUNT ($0.00 Recommended)</v>
      </c>
      <c r="N97" s="834"/>
      <c r="O97" s="834"/>
      <c r="P97" s="835"/>
      <c r="Q97" s="836"/>
      <c r="R97" s="837"/>
      <c r="S97" s="838"/>
      <c r="T97" s="254"/>
      <c r="U97" s="67"/>
    </row>
    <row r="98" spans="1:22" ht="15" thickBot="1" x14ac:dyDescent="0.4">
      <c r="A98" s="67"/>
      <c r="B98" s="254"/>
      <c r="C98" s="304" t="s">
        <v>7</v>
      </c>
      <c r="D98" s="789">
        <f t="shared" si="12"/>
        <v>0</v>
      </c>
      <c r="E98" s="790"/>
      <c r="F98" s="791" t="s">
        <v>853</v>
      </c>
      <c r="G98" s="792"/>
      <c r="H98" s="793"/>
      <c r="I98" s="794"/>
      <c r="K98" s="67" t="s">
        <v>439</v>
      </c>
      <c r="L98" s="254"/>
      <c r="T98" s="254"/>
      <c r="U98" s="67"/>
    </row>
    <row r="99" spans="1:22" ht="15" thickBot="1" x14ac:dyDescent="0.4">
      <c r="A99" s="67"/>
      <c r="B99" s="254"/>
      <c r="C99" s="304" t="s">
        <v>850</v>
      </c>
      <c r="D99" s="793"/>
      <c r="E99" s="794"/>
      <c r="F99" s="791" t="s">
        <v>852</v>
      </c>
      <c r="G99" s="792"/>
      <c r="H99" s="793"/>
      <c r="I99" s="794"/>
      <c r="K99" s="67" t="s">
        <v>439</v>
      </c>
      <c r="L99" s="254"/>
      <c r="M99" s="823" t="s">
        <v>440</v>
      </c>
      <c r="N99" s="824"/>
      <c r="O99" s="824"/>
      <c r="P99" s="824"/>
      <c r="Q99" s="824"/>
      <c r="R99" s="824"/>
      <c r="S99" s="825"/>
      <c r="T99" s="254"/>
      <c r="U99" s="67"/>
    </row>
    <row r="100" spans="1:22" x14ac:dyDescent="0.35">
      <c r="A100" s="67"/>
      <c r="B100" s="254"/>
      <c r="C100" s="304" t="s">
        <v>851</v>
      </c>
      <c r="D100" s="793"/>
      <c r="E100" s="794"/>
      <c r="F100" s="304" t="s">
        <v>15</v>
      </c>
      <c r="G100" s="305"/>
      <c r="H100" s="795">
        <f>N94</f>
        <v>0</v>
      </c>
      <c r="I100" s="796"/>
      <c r="K100" s="67" t="s">
        <v>439</v>
      </c>
      <c r="L100" s="254"/>
      <c r="M100" s="850"/>
      <c r="N100" s="851"/>
      <c r="O100" s="851"/>
      <c r="P100" s="851"/>
      <c r="Q100" s="851"/>
      <c r="R100" s="851"/>
      <c r="S100" s="852"/>
      <c r="T100" s="254"/>
      <c r="U100" s="67"/>
    </row>
    <row r="101" spans="1:22" ht="15" thickBot="1" x14ac:dyDescent="0.4">
      <c r="A101" s="67"/>
      <c r="B101" s="254"/>
      <c r="C101" s="306" t="str">
        <f>IF(P96="","","CA LITIGATION FUND")</f>
        <v/>
      </c>
      <c r="D101" s="828" t="str">
        <f>IF(P96="","",R96)</f>
        <v/>
      </c>
      <c r="E101" s="829"/>
      <c r="F101" s="799" t="s">
        <v>894</v>
      </c>
      <c r="G101" s="800"/>
      <c r="H101" s="830">
        <f>S72</f>
        <v>0</v>
      </c>
      <c r="I101" s="831"/>
      <c r="K101" s="67" t="s">
        <v>439</v>
      </c>
      <c r="L101" s="254"/>
      <c r="M101" s="853"/>
      <c r="N101" s="854"/>
      <c r="O101" s="854"/>
      <c r="P101" s="854"/>
      <c r="Q101" s="854"/>
      <c r="R101" s="854"/>
      <c r="S101" s="855"/>
      <c r="T101" s="254"/>
      <c r="U101" s="67"/>
    </row>
    <row r="102" spans="1:22" ht="7.5" customHeight="1" thickBot="1" x14ac:dyDescent="0.4">
      <c r="A102" s="67"/>
      <c r="B102" s="254"/>
      <c r="K102" s="67" t="s">
        <v>439</v>
      </c>
      <c r="L102" s="254"/>
      <c r="M102" s="853"/>
      <c r="N102" s="854"/>
      <c r="O102" s="854"/>
      <c r="P102" s="854"/>
      <c r="Q102" s="854"/>
      <c r="R102" s="854"/>
      <c r="S102" s="855"/>
      <c r="T102" s="254"/>
      <c r="U102" s="67"/>
    </row>
    <row r="103" spans="1:22" ht="15" thickBot="1" x14ac:dyDescent="0.4">
      <c r="A103" s="67"/>
      <c r="B103" s="254"/>
      <c r="C103" s="801" t="s">
        <v>725</v>
      </c>
      <c r="D103" s="802"/>
      <c r="E103" s="802"/>
      <c r="F103" s="802"/>
      <c r="G103" s="802"/>
      <c r="H103" s="802"/>
      <c r="I103" s="803"/>
      <c r="K103" s="67" t="s">
        <v>439</v>
      </c>
      <c r="L103" s="254"/>
      <c r="M103" s="853"/>
      <c r="N103" s="854"/>
      <c r="O103" s="854"/>
      <c r="P103" s="854"/>
      <c r="Q103" s="854"/>
      <c r="R103" s="854"/>
      <c r="S103" s="855"/>
      <c r="T103" s="254"/>
      <c r="U103" s="67"/>
    </row>
    <row r="104" spans="1:22" x14ac:dyDescent="0.35">
      <c r="A104" s="67"/>
      <c r="B104" s="254"/>
      <c r="C104" s="302" t="s">
        <v>726</v>
      </c>
      <c r="D104" s="806"/>
      <c r="E104" s="807"/>
      <c r="F104" s="808" t="s">
        <v>727</v>
      </c>
      <c r="G104" s="809"/>
      <c r="H104" s="806"/>
      <c r="I104" s="807"/>
      <c r="K104" s="67" t="s">
        <v>439</v>
      </c>
      <c r="L104" s="254"/>
      <c r="M104" s="853"/>
      <c r="N104" s="854"/>
      <c r="O104" s="854"/>
      <c r="P104" s="854"/>
      <c r="Q104" s="854"/>
      <c r="R104" s="854"/>
      <c r="S104" s="855"/>
      <c r="T104" s="254"/>
      <c r="U104" s="67"/>
    </row>
    <row r="105" spans="1:22" x14ac:dyDescent="0.35">
      <c r="A105" s="67"/>
      <c r="B105" s="254"/>
      <c r="C105" s="304" t="s">
        <v>728</v>
      </c>
      <c r="D105" s="793"/>
      <c r="E105" s="794"/>
      <c r="F105" s="791" t="s">
        <v>729</v>
      </c>
      <c r="G105" s="792"/>
      <c r="H105" s="793"/>
      <c r="I105" s="794"/>
      <c r="K105" s="67" t="s">
        <v>439</v>
      </c>
      <c r="L105" s="254"/>
      <c r="M105" s="853"/>
      <c r="N105" s="854"/>
      <c r="O105" s="854"/>
      <c r="P105" s="854"/>
      <c r="Q105" s="854"/>
      <c r="R105" s="854"/>
      <c r="S105" s="855"/>
      <c r="T105" s="254"/>
      <c r="U105" s="67"/>
    </row>
    <row r="106" spans="1:22" ht="15" thickBot="1" x14ac:dyDescent="0.4">
      <c r="A106" s="67"/>
      <c r="B106" s="254"/>
      <c r="C106" s="306" t="s">
        <v>730</v>
      </c>
      <c r="D106" s="797"/>
      <c r="E106" s="798"/>
      <c r="F106" s="799" t="s">
        <v>731</v>
      </c>
      <c r="G106" s="800"/>
      <c r="H106" s="797"/>
      <c r="I106" s="798"/>
      <c r="K106" s="67" t="s">
        <v>439</v>
      </c>
      <c r="L106" s="254"/>
      <c r="M106" s="856"/>
      <c r="N106" s="857"/>
      <c r="O106" s="857"/>
      <c r="P106" s="857"/>
      <c r="Q106" s="857"/>
      <c r="R106" s="857"/>
      <c r="S106" s="858"/>
      <c r="T106" s="254"/>
      <c r="U106" s="67"/>
    </row>
    <row r="107" spans="1:22" ht="16" thickBot="1" x14ac:dyDescent="0.4">
      <c r="A107" s="67"/>
      <c r="B107" s="254"/>
      <c r="D107" s="254"/>
      <c r="E107" s="254"/>
      <c r="F107" s="254"/>
      <c r="G107" s="254"/>
      <c r="H107" s="254"/>
      <c r="I107" s="254"/>
      <c r="K107" s="67" t="s">
        <v>439</v>
      </c>
      <c r="L107" s="254"/>
      <c r="N107" s="254"/>
      <c r="O107" s="254"/>
      <c r="P107" s="599" t="s">
        <v>1082</v>
      </c>
      <c r="Q107" s="600">
        <f>SUM(INFO!$D$8:'INFO'!$D$14)</f>
        <v>0</v>
      </c>
      <c r="R107" s="599" t="s">
        <v>1083</v>
      </c>
      <c r="S107" s="601" t="str">
        <f>IFERROR(INFO!$I$54/INFO!$H$56, "")</f>
        <v/>
      </c>
      <c r="T107" s="254"/>
      <c r="U107" s="67"/>
      <c r="V107" s="256"/>
    </row>
    <row r="108" spans="1:22" x14ac:dyDescent="0.35">
      <c r="A108" s="67"/>
      <c r="B108" s="254"/>
      <c r="K108" s="67" t="s">
        <v>439</v>
      </c>
      <c r="L108" s="254"/>
      <c r="T108" s="254"/>
      <c r="U108" s="67"/>
      <c r="V108" s="256"/>
    </row>
    <row r="109" spans="1:22" ht="15" thickBot="1" x14ac:dyDescent="0.4">
      <c r="A109" s="67"/>
      <c r="K109" s="67" t="s">
        <v>439</v>
      </c>
      <c r="L109" s="254"/>
      <c r="N109" s="254"/>
      <c r="O109" s="254"/>
      <c r="T109" s="254"/>
      <c r="U109" s="67"/>
      <c r="V109" s="256"/>
    </row>
    <row r="110" spans="1:22" ht="15" thickBot="1" x14ac:dyDescent="0.4">
      <c r="A110" s="67"/>
      <c r="C110" s="642" t="s">
        <v>1085</v>
      </c>
      <c r="D110" s="619"/>
      <c r="E110" s="619"/>
      <c r="F110" s="619"/>
      <c r="G110" s="619"/>
      <c r="H110" s="619"/>
      <c r="I110" s="619"/>
      <c r="J110" s="619"/>
      <c r="K110" s="620" t="s">
        <v>439</v>
      </c>
      <c r="L110" s="621"/>
      <c r="M110" s="618"/>
      <c r="N110" s="618"/>
      <c r="O110" s="618"/>
      <c r="P110" s="618"/>
      <c r="Q110" s="618"/>
      <c r="R110" s="618"/>
      <c r="S110" s="618"/>
      <c r="U110" s="67"/>
      <c r="V110" s="256"/>
    </row>
    <row r="111" spans="1:22" hidden="1" x14ac:dyDescent="0.35">
      <c r="A111" s="67"/>
      <c r="C111"/>
      <c r="D111" s="1"/>
      <c r="E111" s="1"/>
      <c r="F111" s="1"/>
      <c r="G111" s="1"/>
      <c r="H111" s="1"/>
      <c r="I111" s="1"/>
      <c r="J111" s="1"/>
      <c r="K111" t="s">
        <v>439</v>
      </c>
      <c r="L111" s="1"/>
      <c r="M111" s="1"/>
      <c r="N111" s="1"/>
      <c r="O111" s="1"/>
      <c r="P111" s="1"/>
      <c r="Q111" s="1"/>
      <c r="R111" s="1"/>
      <c r="S111" s="1"/>
      <c r="U111" s="67"/>
    </row>
    <row r="112" spans="1:22" hidden="1" x14ac:dyDescent="0.35">
      <c r="A112" s="67"/>
      <c r="C112"/>
      <c r="D112" s="1"/>
      <c r="E112" s="1"/>
      <c r="F112" s="1"/>
      <c r="G112" s="1"/>
      <c r="H112" s="1"/>
      <c r="I112" s="1"/>
      <c r="J112" s="1"/>
      <c r="K112" t="s">
        <v>439</v>
      </c>
      <c r="L112" s="1"/>
      <c r="M112" s="1"/>
      <c r="N112" s="1"/>
      <c r="O112" s="1"/>
      <c r="P112" s="1"/>
      <c r="Q112" s="1"/>
      <c r="R112" s="1"/>
      <c r="S112" s="1"/>
      <c r="U112" s="67"/>
    </row>
    <row r="113" spans="1:21" hidden="1" x14ac:dyDescent="0.35">
      <c r="A113" s="67"/>
      <c r="C113"/>
      <c r="D113" s="1"/>
      <c r="E113" s="1"/>
      <c r="F113" s="1"/>
      <c r="G113" s="1"/>
      <c r="H113" s="1"/>
      <c r="I113" s="1"/>
      <c r="J113" s="1"/>
      <c r="K113" t="s">
        <v>439</v>
      </c>
      <c r="L113" s="1"/>
      <c r="M113" s="1"/>
      <c r="N113" s="1"/>
      <c r="O113" s="1"/>
      <c r="P113" s="1"/>
      <c r="Q113" s="1"/>
      <c r="R113" s="1"/>
      <c r="S113" s="1"/>
      <c r="U113" s="67"/>
    </row>
    <row r="114" spans="1:21" hidden="1" x14ac:dyDescent="0.35">
      <c r="A114" s="67"/>
      <c r="C114"/>
      <c r="D114" s="1"/>
      <c r="E114" s="1"/>
      <c r="F114" s="1"/>
      <c r="G114" s="1"/>
      <c r="H114" s="1"/>
      <c r="I114" s="1"/>
      <c r="J114" s="1"/>
      <c r="K114" t="s">
        <v>439</v>
      </c>
      <c r="L114" s="1"/>
      <c r="M114"/>
      <c r="N114" s="1"/>
      <c r="O114" s="1"/>
      <c r="P114" s="1"/>
      <c r="Q114" s="1"/>
      <c r="R114" s="1"/>
      <c r="S114" s="1"/>
      <c r="U114" s="67"/>
    </row>
    <row r="115" spans="1:21" hidden="1" x14ac:dyDescent="0.35">
      <c r="A115" s="67"/>
      <c r="C115"/>
      <c r="D115" s="1"/>
      <c r="E115" s="1"/>
      <c r="F115" s="1"/>
      <c r="G115" s="1"/>
      <c r="H115" s="1"/>
      <c r="I115" s="1"/>
      <c r="J115" s="1"/>
      <c r="K115" t="s">
        <v>439</v>
      </c>
      <c r="L115" s="1"/>
      <c r="M115"/>
      <c r="N115" s="1"/>
      <c r="O115" s="1"/>
      <c r="P115" s="1"/>
      <c r="Q115" s="1"/>
      <c r="R115" s="1"/>
      <c r="S115" s="1"/>
      <c r="U115" s="67"/>
    </row>
    <row r="116" spans="1:21" hidden="1" x14ac:dyDescent="0.35">
      <c r="A116" s="67"/>
      <c r="C116"/>
      <c r="D116" s="1"/>
      <c r="E116" s="1"/>
      <c r="F116" s="1"/>
      <c r="G116" s="1"/>
      <c r="H116" s="1"/>
      <c r="I116" s="1"/>
      <c r="J116" s="1"/>
      <c r="K116" t="s">
        <v>439</v>
      </c>
      <c r="L116" s="1"/>
      <c r="M116"/>
      <c r="N116" s="1"/>
      <c r="O116" s="1"/>
      <c r="P116" s="1"/>
      <c r="Q116" s="1"/>
      <c r="R116" s="1"/>
      <c r="S116" s="1"/>
      <c r="U116" s="67"/>
    </row>
    <row r="117" spans="1:21" hidden="1" x14ac:dyDescent="0.35">
      <c r="A117" s="67"/>
      <c r="C117"/>
      <c r="D117" s="1"/>
      <c r="E117" s="1"/>
      <c r="F117" s="1"/>
      <c r="G117" s="1"/>
      <c r="H117" s="1"/>
      <c r="I117" s="1"/>
      <c r="J117" s="1"/>
      <c r="K117" t="s">
        <v>439</v>
      </c>
      <c r="L117" s="1"/>
      <c r="M117"/>
      <c r="N117" s="1"/>
      <c r="O117" s="1"/>
      <c r="P117" s="1"/>
      <c r="Q117" s="1"/>
      <c r="R117" s="1"/>
      <c r="S117" s="1"/>
      <c r="U117" s="67"/>
    </row>
    <row r="118" spans="1:21" x14ac:dyDescent="0.35">
      <c r="C118" s="624"/>
      <c r="D118" s="625"/>
      <c r="E118" s="625"/>
      <c r="F118" s="625"/>
      <c r="G118" s="625"/>
      <c r="H118" s="625"/>
      <c r="I118" s="625"/>
      <c r="J118" s="625"/>
      <c r="K118" s="626"/>
      <c r="L118" s="625"/>
      <c r="M118" s="626"/>
      <c r="N118" s="625"/>
      <c r="O118" s="625"/>
      <c r="P118" s="625"/>
      <c r="Q118" s="625"/>
      <c r="R118" s="625"/>
      <c r="S118" s="627"/>
    </row>
    <row r="119" spans="1:21" x14ac:dyDescent="0.35">
      <c r="C119" s="628"/>
      <c r="D119" s="629"/>
      <c r="E119" s="629"/>
      <c r="F119" s="629"/>
      <c r="G119" s="629"/>
      <c r="H119" s="629"/>
      <c r="I119" s="629"/>
      <c r="J119" s="629"/>
      <c r="K119" s="630"/>
      <c r="L119" s="629"/>
      <c r="M119" s="630"/>
      <c r="N119" s="629"/>
      <c r="O119" s="629"/>
      <c r="P119" s="629"/>
      <c r="Q119" s="629"/>
      <c r="R119" s="629"/>
      <c r="S119" s="631"/>
    </row>
    <row r="120" spans="1:21" x14ac:dyDescent="0.35">
      <c r="C120" s="628"/>
      <c r="D120" s="629"/>
      <c r="E120" s="629"/>
      <c r="F120" s="629"/>
      <c r="G120" s="629"/>
      <c r="H120" s="629"/>
      <c r="I120" s="629"/>
      <c r="J120" s="629"/>
      <c r="K120" s="630"/>
      <c r="L120" s="629"/>
      <c r="M120" s="630"/>
      <c r="N120" s="629"/>
      <c r="O120" s="629"/>
      <c r="P120" s="629"/>
      <c r="Q120" s="629"/>
      <c r="R120" s="629"/>
      <c r="S120" s="631"/>
    </row>
    <row r="121" spans="1:21" x14ac:dyDescent="0.35">
      <c r="C121" s="628"/>
      <c r="D121" s="629"/>
      <c r="E121" s="629"/>
      <c r="F121" s="629"/>
      <c r="G121" s="629"/>
      <c r="H121" s="629"/>
      <c r="I121" s="629"/>
      <c r="J121" s="629"/>
      <c r="K121" s="630"/>
      <c r="L121" s="629"/>
      <c r="M121" s="630"/>
      <c r="N121" s="629"/>
      <c r="O121" s="629"/>
      <c r="P121" s="629"/>
      <c r="Q121" s="629"/>
      <c r="R121" s="629"/>
      <c r="S121" s="631"/>
    </row>
    <row r="122" spans="1:21" x14ac:dyDescent="0.35">
      <c r="C122" s="628"/>
      <c r="D122" s="629"/>
      <c r="E122" s="629"/>
      <c r="F122" s="629"/>
      <c r="G122" s="629"/>
      <c r="H122" s="629"/>
      <c r="I122" s="629"/>
      <c r="J122" s="629"/>
      <c r="K122" s="630"/>
      <c r="L122" s="629"/>
      <c r="M122" s="630"/>
      <c r="N122" s="629"/>
      <c r="O122" s="629"/>
      <c r="P122" s="629"/>
      <c r="Q122" s="629"/>
      <c r="R122" s="629"/>
      <c r="S122" s="631"/>
    </row>
    <row r="123" spans="1:21" x14ac:dyDescent="0.35">
      <c r="C123" s="628"/>
      <c r="D123" s="629"/>
      <c r="E123" s="629"/>
      <c r="F123" s="629"/>
      <c r="G123" s="629"/>
      <c r="H123" s="629"/>
      <c r="I123" s="629"/>
      <c r="J123" s="629"/>
      <c r="K123" s="630"/>
      <c r="L123" s="629"/>
      <c r="M123" s="630"/>
      <c r="N123" s="629"/>
      <c r="O123" s="629"/>
      <c r="P123" s="629"/>
      <c r="Q123" s="629"/>
      <c r="R123" s="629"/>
      <c r="S123" s="631"/>
    </row>
    <row r="124" spans="1:21" x14ac:dyDescent="0.35">
      <c r="C124" s="628"/>
      <c r="D124" s="629"/>
      <c r="E124" s="629"/>
      <c r="F124" s="629"/>
      <c r="G124" s="629"/>
      <c r="H124" s="629"/>
      <c r="I124" s="629"/>
      <c r="J124" s="629"/>
      <c r="K124" s="630"/>
      <c r="L124" s="629"/>
      <c r="M124" s="630"/>
      <c r="N124" s="629"/>
      <c r="O124" s="629"/>
      <c r="P124" s="629"/>
      <c r="Q124" s="629"/>
      <c r="R124" s="629"/>
      <c r="S124" s="631"/>
    </row>
    <row r="125" spans="1:21" x14ac:dyDescent="0.35">
      <c r="C125" s="628"/>
      <c r="D125" s="629"/>
      <c r="E125" s="629"/>
      <c r="F125" s="629"/>
      <c r="G125" s="629"/>
      <c r="H125" s="629"/>
      <c r="I125" s="629"/>
      <c r="J125" s="629"/>
      <c r="K125" s="630"/>
      <c r="L125" s="629"/>
      <c r="M125" s="630"/>
      <c r="N125" s="629"/>
      <c r="O125" s="629"/>
      <c r="P125" s="629"/>
      <c r="Q125" s="629"/>
      <c r="R125" s="629"/>
      <c r="S125" s="631"/>
    </row>
    <row r="126" spans="1:21" x14ac:dyDescent="0.35">
      <c r="C126" s="628"/>
      <c r="D126" s="629"/>
      <c r="E126" s="629"/>
      <c r="F126" s="629"/>
      <c r="G126" s="629"/>
      <c r="H126" s="629"/>
      <c r="I126" s="629"/>
      <c r="J126" s="629"/>
      <c r="K126" s="630"/>
      <c r="L126" s="629"/>
      <c r="M126" s="630"/>
      <c r="N126" s="629"/>
      <c r="O126" s="629"/>
      <c r="P126" s="629"/>
      <c r="Q126" s="629"/>
      <c r="R126" s="629"/>
      <c r="S126" s="631"/>
    </row>
    <row r="127" spans="1:21" x14ac:dyDescent="0.35">
      <c r="C127" s="628"/>
      <c r="D127" s="629"/>
      <c r="E127" s="629"/>
      <c r="F127" s="629"/>
      <c r="G127" s="629"/>
      <c r="H127" s="629"/>
      <c r="I127" s="629"/>
      <c r="J127" s="629"/>
      <c r="K127" s="630"/>
      <c r="L127" s="629"/>
      <c r="M127" s="630"/>
      <c r="N127" s="629"/>
      <c r="O127" s="629"/>
      <c r="P127" s="629"/>
      <c r="Q127" s="629"/>
      <c r="R127" s="629"/>
      <c r="S127" s="631"/>
    </row>
    <row r="128" spans="1:21" ht="14" customHeight="1" x14ac:dyDescent="0.35">
      <c r="C128" s="628"/>
      <c r="D128" s="629"/>
      <c r="E128" s="629"/>
      <c r="F128" s="629"/>
      <c r="G128" s="629"/>
      <c r="H128" s="629"/>
      <c r="I128" s="629"/>
      <c r="J128" s="629"/>
      <c r="K128" s="630"/>
      <c r="L128" s="629"/>
      <c r="M128" s="630"/>
      <c r="N128" s="629"/>
      <c r="O128" s="629"/>
      <c r="P128" s="629"/>
      <c r="Q128" s="629"/>
      <c r="R128" s="629"/>
      <c r="S128" s="631"/>
    </row>
    <row r="129" spans="3:31" x14ac:dyDescent="0.35">
      <c r="C129" s="628"/>
      <c r="D129" s="629"/>
      <c r="E129" s="629"/>
      <c r="F129" s="629"/>
      <c r="G129" s="629"/>
      <c r="H129" s="629"/>
      <c r="I129" s="629"/>
      <c r="J129" s="629"/>
      <c r="K129" s="630"/>
      <c r="L129" s="629"/>
      <c r="M129" s="630"/>
      <c r="N129" s="629"/>
      <c r="O129" s="629"/>
      <c r="P129" s="629"/>
      <c r="Q129" s="629"/>
      <c r="R129" s="629"/>
      <c r="S129" s="631"/>
      <c r="AE129" t="str">
        <f>IF(SW!J67="","",SW!J67)</f>
        <v/>
      </c>
    </row>
    <row r="130" spans="3:31" x14ac:dyDescent="0.35">
      <c r="C130" s="628"/>
      <c r="D130" s="629"/>
      <c r="E130" s="629"/>
      <c r="F130" s="629"/>
      <c r="G130" s="629"/>
      <c r="H130" s="629"/>
      <c r="I130" s="629"/>
      <c r="J130" s="629"/>
      <c r="K130" s="630"/>
      <c r="L130" s="629"/>
      <c r="M130" s="630"/>
      <c r="N130" s="629"/>
      <c r="O130" s="629"/>
      <c r="P130" s="629"/>
      <c r="Q130" s="629"/>
      <c r="R130" s="629"/>
      <c r="S130" s="631"/>
      <c r="AE130" t="str">
        <f>IF(SW!J68="","",SW!J68)</f>
        <v/>
      </c>
    </row>
    <row r="131" spans="3:31" x14ac:dyDescent="0.35">
      <c r="C131" s="628"/>
      <c r="D131" s="629"/>
      <c r="E131" s="629"/>
      <c r="F131" s="629"/>
      <c r="G131" s="629"/>
      <c r="H131" s="629"/>
      <c r="I131" s="629"/>
      <c r="J131" s="629"/>
      <c r="K131" s="630"/>
      <c r="L131" s="629"/>
      <c r="M131" s="630"/>
      <c r="N131" s="629"/>
      <c r="O131" s="629"/>
      <c r="P131" s="629"/>
      <c r="Q131" s="629"/>
      <c r="R131" s="629"/>
      <c r="S131" s="631"/>
      <c r="AE131" t="str">
        <f>IF(SW!J69="","",SW!J69)</f>
        <v/>
      </c>
    </row>
    <row r="132" spans="3:31" x14ac:dyDescent="0.35">
      <c r="C132" s="628"/>
      <c r="D132" s="629"/>
      <c r="E132" s="629"/>
      <c r="F132" s="629"/>
      <c r="G132" s="629"/>
      <c r="H132" s="629"/>
      <c r="I132" s="629"/>
      <c r="J132" s="629"/>
      <c r="K132" s="630"/>
      <c r="L132" s="629"/>
      <c r="M132" s="630"/>
      <c r="N132" s="629"/>
      <c r="O132" s="629"/>
      <c r="P132" s="629"/>
      <c r="Q132" s="629"/>
      <c r="R132" s="629"/>
      <c r="S132" s="631"/>
      <c r="AE132" t="str">
        <f>IF(SW!J70="","",SW!J70)</f>
        <v/>
      </c>
    </row>
    <row r="133" spans="3:31" x14ac:dyDescent="0.35">
      <c r="C133" s="628"/>
      <c r="D133" s="629"/>
      <c r="E133" s="629"/>
      <c r="F133" s="629"/>
      <c r="G133" s="629"/>
      <c r="H133" s="629"/>
      <c r="I133" s="629"/>
      <c r="J133" s="629"/>
      <c r="K133" s="630"/>
      <c r="L133" s="629"/>
      <c r="M133" s="630"/>
      <c r="N133" s="629"/>
      <c r="O133" s="629"/>
      <c r="P133" s="629"/>
      <c r="Q133" s="629"/>
      <c r="R133" s="629"/>
      <c r="S133" s="631"/>
      <c r="AE133" t="str">
        <f>IF(SW!J71="","",SW!J71)</f>
        <v/>
      </c>
    </row>
    <row r="134" spans="3:31" x14ac:dyDescent="0.35">
      <c r="C134" s="628"/>
      <c r="D134" s="629"/>
      <c r="E134" s="629"/>
      <c r="F134" s="629"/>
      <c r="G134" s="629"/>
      <c r="H134" s="629"/>
      <c r="I134" s="629"/>
      <c r="J134" s="629"/>
      <c r="K134" s="630"/>
      <c r="L134" s="629"/>
      <c r="M134" s="630"/>
      <c r="N134" s="629"/>
      <c r="O134" s="629"/>
      <c r="P134" s="629"/>
      <c r="Q134" s="629"/>
      <c r="R134" s="629"/>
      <c r="S134" s="631"/>
      <c r="AE134" t="str">
        <f>IF(SW!J72="","",SW!J72)</f>
        <v/>
      </c>
    </row>
    <row r="135" spans="3:31" x14ac:dyDescent="0.35">
      <c r="C135" s="628"/>
      <c r="D135" s="629"/>
      <c r="E135" s="629"/>
      <c r="F135" s="629"/>
      <c r="G135" s="629"/>
      <c r="H135" s="629"/>
      <c r="I135" s="629"/>
      <c r="J135" s="629"/>
      <c r="K135" s="630"/>
      <c r="L135" s="629"/>
      <c r="M135" s="630"/>
      <c r="N135" s="629"/>
      <c r="O135" s="629"/>
      <c r="P135" s="629"/>
      <c r="Q135" s="629"/>
      <c r="R135" s="629"/>
      <c r="S135" s="631"/>
      <c r="AE135" t="str">
        <f>IF(SW!J73="","",SW!J73)</f>
        <v/>
      </c>
    </row>
    <row r="136" spans="3:31" x14ac:dyDescent="0.35">
      <c r="C136" s="628"/>
      <c r="D136" s="629"/>
      <c r="E136" s="629"/>
      <c r="F136" s="629"/>
      <c r="G136" s="629"/>
      <c r="H136" s="629"/>
      <c r="I136" s="629"/>
      <c r="J136" s="629"/>
      <c r="K136" s="630"/>
      <c r="L136" s="629"/>
      <c r="M136" s="630"/>
      <c r="N136" s="629"/>
      <c r="O136" s="629"/>
      <c r="P136" s="629"/>
      <c r="Q136" s="629"/>
      <c r="R136" s="629"/>
      <c r="S136" s="631"/>
      <c r="AE136" t="str">
        <f>IF(SW!J74="","",SW!J74)</f>
        <v/>
      </c>
    </row>
    <row r="137" spans="3:31" x14ac:dyDescent="0.35">
      <c r="C137" s="628"/>
      <c r="D137" s="629"/>
      <c r="E137" s="629"/>
      <c r="F137" s="629"/>
      <c r="G137" s="629"/>
      <c r="H137" s="629"/>
      <c r="I137" s="629"/>
      <c r="J137" s="629"/>
      <c r="K137" s="630"/>
      <c r="L137" s="629"/>
      <c r="M137" s="630"/>
      <c r="N137" s="629"/>
      <c r="O137" s="629"/>
      <c r="P137" s="629"/>
      <c r="Q137" s="629"/>
      <c r="R137" s="629"/>
      <c r="S137" s="631"/>
      <c r="AE137" t="str">
        <f>IF(SW!J75="","",SW!J75)</f>
        <v/>
      </c>
    </row>
    <row r="138" spans="3:31" x14ac:dyDescent="0.35">
      <c r="C138" s="628"/>
      <c r="D138" s="629"/>
      <c r="E138" s="629"/>
      <c r="F138" s="629"/>
      <c r="G138" s="629"/>
      <c r="H138" s="629"/>
      <c r="I138" s="629"/>
      <c r="J138" s="629"/>
      <c r="K138" s="630"/>
      <c r="L138" s="629"/>
      <c r="M138" s="630"/>
      <c r="N138" s="629"/>
      <c r="O138" s="629"/>
      <c r="P138" s="629"/>
      <c r="Q138" s="629"/>
      <c r="R138" s="629"/>
      <c r="S138" s="631"/>
      <c r="AE138" t="str">
        <f>IF(SW!J76="","",SW!J76)</f>
        <v/>
      </c>
    </row>
    <row r="139" spans="3:31" x14ac:dyDescent="0.35">
      <c r="C139" s="628"/>
      <c r="D139" s="629"/>
      <c r="E139" s="629"/>
      <c r="F139" s="629"/>
      <c r="G139" s="629"/>
      <c r="H139" s="629"/>
      <c r="I139" s="629"/>
      <c r="J139" s="629"/>
      <c r="K139" s="630"/>
      <c r="L139" s="629"/>
      <c r="M139" s="630"/>
      <c r="N139" s="629"/>
      <c r="O139" s="629"/>
      <c r="P139" s="629"/>
      <c r="Q139" s="629"/>
      <c r="R139" s="629"/>
      <c r="S139" s="631"/>
      <c r="AE139" t="str">
        <f>IF(SW!J77="","",SW!J77)</f>
        <v/>
      </c>
    </row>
    <row r="140" spans="3:31" x14ac:dyDescent="0.35">
      <c r="C140" s="628"/>
      <c r="D140" s="629"/>
      <c r="E140" s="629"/>
      <c r="F140" s="629"/>
      <c r="G140" s="629"/>
      <c r="H140" s="629"/>
      <c r="I140" s="629"/>
      <c r="J140" s="629"/>
      <c r="K140" s="630"/>
      <c r="L140" s="629"/>
      <c r="M140" s="630"/>
      <c r="N140" s="629"/>
      <c r="O140" s="629"/>
      <c r="P140" s="629"/>
      <c r="Q140" s="629"/>
      <c r="R140" s="629"/>
      <c r="S140" s="631"/>
      <c r="AE140" t="str">
        <f>IF(SW!J78="","",SW!J78)</f>
        <v/>
      </c>
    </row>
    <row r="141" spans="3:31" x14ac:dyDescent="0.35">
      <c r="C141" s="628"/>
      <c r="D141" s="629"/>
      <c r="E141" s="629"/>
      <c r="F141" s="629"/>
      <c r="G141" s="629"/>
      <c r="H141" s="629"/>
      <c r="I141" s="629"/>
      <c r="J141" s="629"/>
      <c r="K141" s="630"/>
      <c r="L141" s="629"/>
      <c r="M141" s="630"/>
      <c r="N141" s="629"/>
      <c r="O141" s="629"/>
      <c r="P141" s="629"/>
      <c r="Q141" s="629"/>
      <c r="R141" s="629"/>
      <c r="S141" s="631"/>
      <c r="AE141" t="str">
        <f>IF(SW!J79="","",SW!J79)</f>
        <v/>
      </c>
    </row>
    <row r="142" spans="3:31" x14ac:dyDescent="0.35">
      <c r="C142" s="628"/>
      <c r="D142" s="629"/>
      <c r="E142" s="629"/>
      <c r="F142" s="629"/>
      <c r="G142" s="629"/>
      <c r="H142" s="629"/>
      <c r="I142" s="629"/>
      <c r="J142" s="629"/>
      <c r="K142" s="630"/>
      <c r="L142" s="629"/>
      <c r="M142" s="630"/>
      <c r="N142" s="629"/>
      <c r="O142" s="629"/>
      <c r="P142" s="629"/>
      <c r="Q142" s="629"/>
      <c r="R142" s="629"/>
      <c r="S142" s="631"/>
      <c r="AE142" t="str">
        <f>IF(SW!J80="","",SW!J80)</f>
        <v/>
      </c>
    </row>
    <row r="143" spans="3:31" x14ac:dyDescent="0.35">
      <c r="C143" s="628"/>
      <c r="D143" s="629"/>
      <c r="E143" s="629"/>
      <c r="F143" s="629"/>
      <c r="G143" s="629"/>
      <c r="H143" s="629"/>
      <c r="I143" s="629"/>
      <c r="J143" s="629"/>
      <c r="K143" s="630"/>
      <c r="L143" s="629"/>
      <c r="M143" s="630"/>
      <c r="N143" s="629"/>
      <c r="O143" s="629"/>
      <c r="P143" s="629"/>
      <c r="Q143" s="629"/>
      <c r="R143" s="629"/>
      <c r="S143" s="631"/>
      <c r="AE143" t="str">
        <f>IF(SW!J81="","",SW!J81)</f>
        <v/>
      </c>
    </row>
    <row r="144" spans="3:31" x14ac:dyDescent="0.35">
      <c r="C144" s="628"/>
      <c r="D144" s="629"/>
      <c r="E144" s="629"/>
      <c r="F144" s="629"/>
      <c r="G144" s="629"/>
      <c r="H144" s="629"/>
      <c r="I144" s="629"/>
      <c r="J144" s="629"/>
      <c r="K144" s="630"/>
      <c r="L144" s="629"/>
      <c r="M144" s="630"/>
      <c r="N144" s="629"/>
      <c r="O144" s="629"/>
      <c r="P144" s="629"/>
      <c r="Q144" s="629"/>
      <c r="R144" s="629"/>
      <c r="S144" s="631"/>
      <c r="AE144" t="str">
        <f>IF(SW!J82="","",SW!J82)</f>
        <v/>
      </c>
    </row>
    <row r="145" spans="3:31" x14ac:dyDescent="0.35">
      <c r="C145" s="628"/>
      <c r="D145" s="629"/>
      <c r="E145" s="629"/>
      <c r="F145" s="629"/>
      <c r="G145" s="629"/>
      <c r="H145" s="629"/>
      <c r="I145" s="629"/>
      <c r="J145" s="629"/>
      <c r="K145" s="630"/>
      <c r="L145" s="629"/>
      <c r="M145" s="630"/>
      <c r="N145" s="629"/>
      <c r="O145" s="629"/>
      <c r="P145" s="629"/>
      <c r="Q145" s="629"/>
      <c r="R145" s="629"/>
      <c r="S145" s="631"/>
      <c r="AE145" t="str">
        <f>IF(SW!J83="","",SW!J83)</f>
        <v/>
      </c>
    </row>
    <row r="146" spans="3:31" x14ac:dyDescent="0.35">
      <c r="C146" s="628"/>
      <c r="D146" s="629"/>
      <c r="E146" s="629"/>
      <c r="F146" s="629"/>
      <c r="G146" s="629"/>
      <c r="H146" s="629"/>
      <c r="I146" s="629"/>
      <c r="J146" s="629"/>
      <c r="K146" s="630"/>
      <c r="L146" s="629"/>
      <c r="M146" s="630"/>
      <c r="N146" s="629"/>
      <c r="O146" s="629"/>
      <c r="P146" s="629"/>
      <c r="Q146" s="629"/>
      <c r="R146" s="629"/>
      <c r="S146" s="631"/>
      <c r="AE146" t="str">
        <f>IF(SW!J84="","",SW!J84)</f>
        <v/>
      </c>
    </row>
    <row r="147" spans="3:31" x14ac:dyDescent="0.35">
      <c r="C147" s="628"/>
      <c r="D147" s="629"/>
      <c r="E147" s="629"/>
      <c r="F147" s="629"/>
      <c r="G147" s="629"/>
      <c r="H147" s="629"/>
      <c r="I147" s="629"/>
      <c r="J147" s="629"/>
      <c r="K147" s="630"/>
      <c r="L147" s="629"/>
      <c r="M147" s="630"/>
      <c r="N147" s="629"/>
      <c r="O147" s="629"/>
      <c r="P147" s="629"/>
      <c r="Q147" s="629"/>
      <c r="R147" s="629"/>
      <c r="S147" s="631"/>
      <c r="AE147" t="str">
        <f>IF(SW!J85="","",SW!J85)</f>
        <v/>
      </c>
    </row>
    <row r="148" spans="3:31" x14ac:dyDescent="0.35">
      <c r="C148" s="628"/>
      <c r="D148" s="629"/>
      <c r="E148" s="629"/>
      <c r="F148" s="629"/>
      <c r="G148" s="629"/>
      <c r="H148" s="629"/>
      <c r="I148" s="629"/>
      <c r="J148" s="629"/>
      <c r="K148" s="630"/>
      <c r="L148" s="629"/>
      <c r="M148" s="630"/>
      <c r="N148" s="629"/>
      <c r="O148" s="629"/>
      <c r="P148" s="629"/>
      <c r="Q148" s="629"/>
      <c r="R148" s="629"/>
      <c r="S148" s="631"/>
      <c r="AE148" t="str">
        <f>IF(SW!J86="","",SW!J86)</f>
        <v/>
      </c>
    </row>
    <row r="149" spans="3:31" x14ac:dyDescent="0.35">
      <c r="C149" s="628"/>
      <c r="D149" s="629"/>
      <c r="E149" s="629"/>
      <c r="F149" s="629"/>
      <c r="G149" s="629"/>
      <c r="H149" s="629"/>
      <c r="I149" s="629"/>
      <c r="J149" s="629"/>
      <c r="K149" s="630"/>
      <c r="L149" s="629"/>
      <c r="M149" s="630"/>
      <c r="N149" s="629"/>
      <c r="O149" s="629"/>
      <c r="P149" s="629"/>
      <c r="Q149" s="629"/>
      <c r="R149" s="629"/>
      <c r="S149" s="631"/>
      <c r="AE149" t="str">
        <f>IF(SW!J87="","",SW!J87)</f>
        <v/>
      </c>
    </row>
    <row r="150" spans="3:31" ht="14" customHeight="1" x14ac:dyDescent="0.35">
      <c r="C150" s="628"/>
      <c r="D150" s="629"/>
      <c r="E150" s="629"/>
      <c r="F150" s="629"/>
      <c r="G150" s="629"/>
      <c r="H150" s="629"/>
      <c r="I150" s="629"/>
      <c r="J150" s="629"/>
      <c r="K150" s="630"/>
      <c r="L150" s="629"/>
      <c r="M150" s="630"/>
      <c r="N150" s="629"/>
      <c r="O150" s="629"/>
      <c r="P150" s="629"/>
      <c r="Q150" s="629"/>
      <c r="R150" s="629"/>
      <c r="S150" s="631"/>
      <c r="AE150" t="str">
        <f>IF(SW!J88="","",SW!J88)</f>
        <v/>
      </c>
    </row>
    <row r="151" spans="3:31" x14ac:dyDescent="0.35">
      <c r="C151" s="628"/>
      <c r="D151" s="629"/>
      <c r="E151" s="629"/>
      <c r="F151" s="629"/>
      <c r="G151" s="629"/>
      <c r="H151" s="629"/>
      <c r="I151" s="629"/>
      <c r="J151" s="629"/>
      <c r="K151" s="630"/>
      <c r="L151" s="629"/>
      <c r="M151" s="630"/>
      <c r="N151" s="629"/>
      <c r="O151" s="629"/>
      <c r="P151" s="629"/>
      <c r="Q151" s="629"/>
      <c r="R151" s="629"/>
      <c r="S151" s="631"/>
      <c r="AE151" t="str">
        <f>IF(SW!J89="","",SW!J89)</f>
        <v/>
      </c>
    </row>
    <row r="152" spans="3:31" x14ac:dyDescent="0.35">
      <c r="C152" s="628"/>
      <c r="D152" s="629"/>
      <c r="E152" s="629"/>
      <c r="F152" s="629"/>
      <c r="G152" s="629"/>
      <c r="H152" s="629"/>
      <c r="I152" s="629"/>
      <c r="J152" s="629"/>
      <c r="K152" s="630"/>
      <c r="L152" s="629"/>
      <c r="M152" s="630"/>
      <c r="N152" s="629"/>
      <c r="O152" s="629"/>
      <c r="P152" s="629"/>
      <c r="Q152" s="629"/>
      <c r="R152" s="629"/>
      <c r="S152" s="631"/>
      <c r="AE152" t="str">
        <f>IF(SW!J90="","",SW!J90)</f>
        <v/>
      </c>
    </row>
    <row r="153" spans="3:31" x14ac:dyDescent="0.35">
      <c r="C153" s="628"/>
      <c r="D153" s="629"/>
      <c r="E153" s="629"/>
      <c r="F153" s="629"/>
      <c r="G153" s="629"/>
      <c r="H153" s="629"/>
      <c r="I153" s="629"/>
      <c r="J153" s="629"/>
      <c r="K153" s="630"/>
      <c r="L153" s="629"/>
      <c r="M153" s="630"/>
      <c r="N153" s="629"/>
      <c r="O153" s="629"/>
      <c r="P153" s="629"/>
      <c r="Q153" s="629"/>
      <c r="R153" s="629"/>
      <c r="S153" s="631"/>
      <c r="AE153" t="str">
        <f>IF(SW!J91="","",SW!J91)</f>
        <v/>
      </c>
    </row>
    <row r="154" spans="3:31" x14ac:dyDescent="0.35">
      <c r="C154" s="632"/>
      <c r="D154" s="633"/>
      <c r="E154" s="633"/>
      <c r="F154" s="633"/>
      <c r="G154" s="633"/>
      <c r="H154" s="633"/>
      <c r="I154" s="633"/>
      <c r="J154" s="633"/>
      <c r="K154" s="634"/>
      <c r="L154" s="635"/>
      <c r="M154" s="634"/>
      <c r="N154" s="633"/>
      <c r="O154" s="633"/>
      <c r="P154" s="633"/>
      <c r="Q154" s="633"/>
      <c r="R154" s="633"/>
      <c r="S154" s="636"/>
      <c r="AE154" t="str">
        <f>IF(SW!J92="","",SW!J92)</f>
        <v/>
      </c>
    </row>
    <row r="155" spans="3:31" x14ac:dyDescent="0.35">
      <c r="C155" s="632"/>
      <c r="D155" s="633"/>
      <c r="E155" s="633"/>
      <c r="F155" s="633"/>
      <c r="G155" s="633"/>
      <c r="H155" s="633"/>
      <c r="I155" s="633"/>
      <c r="J155" s="633"/>
      <c r="K155" s="634"/>
      <c r="L155" s="635"/>
      <c r="M155" s="634"/>
      <c r="N155" s="633"/>
      <c r="O155" s="633"/>
      <c r="P155" s="633"/>
      <c r="Q155" s="633"/>
      <c r="R155" s="633"/>
      <c r="S155" s="636"/>
      <c r="AE155" t="str">
        <f>IF(SW!J93="","",SW!J93)</f>
        <v/>
      </c>
    </row>
    <row r="156" spans="3:31" ht="15" thickBot="1" x14ac:dyDescent="0.4">
      <c r="C156" s="637"/>
      <c r="D156" s="638"/>
      <c r="E156" s="638"/>
      <c r="F156" s="638"/>
      <c r="G156" s="638"/>
      <c r="H156" s="638"/>
      <c r="I156" s="638"/>
      <c r="J156" s="638"/>
      <c r="K156" s="639"/>
      <c r="L156" s="640"/>
      <c r="M156" s="639"/>
      <c r="N156" s="638"/>
      <c r="O156" s="638"/>
      <c r="P156" s="638"/>
      <c r="Q156" s="638"/>
      <c r="R156" s="638"/>
      <c r="S156" s="641"/>
      <c r="AE156" t="str">
        <f>IF(SW!J94="","",SW!J94)</f>
        <v/>
      </c>
    </row>
    <row r="157" spans="3:31" x14ac:dyDescent="0.35">
      <c r="AE157" t="str">
        <f>IF(SW!J95="","",SW!J95)</f>
        <v/>
      </c>
    </row>
    <row r="158" spans="3:31" x14ac:dyDescent="0.35">
      <c r="AE158" t="str">
        <f>IF(SW!J96="","",SW!J96)</f>
        <v/>
      </c>
    </row>
    <row r="159" spans="3:31" x14ac:dyDescent="0.35">
      <c r="AE159" t="str">
        <f>IF(SW!J97="","",SW!J97)</f>
        <v/>
      </c>
    </row>
    <row r="160" spans="3:31" x14ac:dyDescent="0.35">
      <c r="AE160" t="str">
        <f>IF(SW!J98="","",SW!J98)</f>
        <v/>
      </c>
    </row>
    <row r="161" spans="31:31" x14ac:dyDescent="0.35">
      <c r="AE161" t="str">
        <f>IF(SW!J99="","",SW!J99)</f>
        <v/>
      </c>
    </row>
    <row r="162" spans="31:31" x14ac:dyDescent="0.35">
      <c r="AE162" t="str">
        <f>IF(SW!J100="","",SW!J100)</f>
        <v/>
      </c>
    </row>
    <row r="163" spans="31:31" ht="6.75" customHeight="1" x14ac:dyDescent="0.35">
      <c r="AE163" t="str">
        <f>IF(SW!J101="","",SW!J101)</f>
        <v/>
      </c>
    </row>
    <row r="164" spans="31:31" x14ac:dyDescent="0.35">
      <c r="AE164" t="str">
        <f>IF(SW!J102="","",SW!J102)</f>
        <v/>
      </c>
    </row>
    <row r="165" spans="31:31" x14ac:dyDescent="0.35">
      <c r="AE165" t="str">
        <f>IF(SW!J103="","",SW!J103)</f>
        <v/>
      </c>
    </row>
    <row r="166" spans="31:31" x14ac:dyDescent="0.35">
      <c r="AE166" t="str">
        <f>IF(SW!J104="","",SW!J104)</f>
        <v/>
      </c>
    </row>
    <row r="167" spans="31:31" x14ac:dyDescent="0.35">
      <c r="AE167" t="str">
        <f>IF(SW!J105="","",SW!J105)</f>
        <v/>
      </c>
    </row>
    <row r="168" spans="31:31" ht="6.75" customHeight="1" x14ac:dyDescent="0.35"/>
    <row r="177" ht="6.75" customHeight="1" x14ac:dyDescent="0.35"/>
    <row r="382" spans="24:30" ht="15" thickBot="1" x14ac:dyDescent="0.4"/>
    <row r="383" spans="24:30" ht="19" thickBot="1" x14ac:dyDescent="0.5">
      <c r="X383" s="812" t="str">
        <f>IF(SW!L67="","",SW!L67)</f>
        <v>ADDITIONAL PRODUCTS</v>
      </c>
      <c r="Y383" s="813"/>
      <c r="Z383" s="813"/>
      <c r="AA383" s="813"/>
      <c r="AB383" s="813"/>
      <c r="AC383" s="813"/>
      <c r="AD383" s="814"/>
    </row>
    <row r="384" spans="24:30" ht="15" thickBot="1" x14ac:dyDescent="0.4">
      <c r="X384" s="217" t="str">
        <f>IF(SW!M68="","",SW!M68)</f>
        <v>PRODUCT</v>
      </c>
      <c r="Y384" s="327" t="str">
        <f>IF(SW!N68="","",SW!N68)</f>
        <v>COLOR</v>
      </c>
      <c r="Z384" s="327" t="str">
        <f>IF(SW!O68="","",SW!O68)</f>
        <v>UOM</v>
      </c>
      <c r="AA384" s="328" t="str">
        <f>IF(SW!P68="","",SW!P68)</f>
        <v>QTY</v>
      </c>
      <c r="AB384" s="349" t="str">
        <f>IF(SW!Q68="","",SW!Q68)</f>
        <v>UNIT RATE</v>
      </c>
      <c r="AC384" s="75" t="str">
        <f>IF(SW!R68="","",SW!R68)</f>
        <v xml:space="preserve"> </v>
      </c>
      <c r="AD384" s="76" t="str">
        <f>IF(SW!S68="","",SW!S68)</f>
        <v>EXTENSION</v>
      </c>
    </row>
    <row r="385" spans="24:30" x14ac:dyDescent="0.35">
      <c r="X385" s="247" t="str">
        <f>IF(SW!M69="","",SW!M69)</f>
        <v>Rentals (Equipment, Sunbelt etc)</v>
      </c>
      <c r="Y385" s="234" t="str">
        <f>IF(SW!N69="","",SW!N69)</f>
        <v>&lt;--  Rentals Here</v>
      </c>
      <c r="Z385" s="235" t="str">
        <f>IF(SW!O69="","",SW!O69)</f>
        <v/>
      </c>
      <c r="AA385" s="235" t="str">
        <f>IF(SW!P69="","",SW!P69)</f>
        <v/>
      </c>
      <c r="AB385" s="211" t="str">
        <f>IF(SW!Q69="","",SW!Q69)</f>
        <v/>
      </c>
      <c r="AC385" s="235" t="str">
        <f>IF(SW!R69="","",SW!R69)</f>
        <v/>
      </c>
      <c r="AD385" s="291">
        <f>IF(SW!S69="","",SW!S69)</f>
        <v>0</v>
      </c>
    </row>
    <row r="386" spans="24:30" x14ac:dyDescent="0.35">
      <c r="X386" s="247" t="str">
        <f>IF(SW!M70="","",SW!M70)</f>
        <v>Rentals (Equipment, Sunbelt etc)</v>
      </c>
      <c r="Y386" s="234" t="str">
        <f>IF(SW!N70="","",SW!N70)</f>
        <v>&lt;--  Rentals Here</v>
      </c>
      <c r="Z386" s="235" t="str">
        <f>IF(SW!O70="","",SW!O70)</f>
        <v/>
      </c>
      <c r="AA386" s="235" t="str">
        <f>IF(SW!P70="","",SW!P70)</f>
        <v/>
      </c>
      <c r="AB386" s="212" t="str">
        <f>IF(SW!Q70="","",SW!Q70)</f>
        <v/>
      </c>
      <c r="AC386" s="235" t="str">
        <f>IF(SW!R70="","",SW!R70)</f>
        <v/>
      </c>
      <c r="AD386" s="291">
        <f>IF(SW!S70="","",SW!S70)</f>
        <v>0</v>
      </c>
    </row>
    <row r="387" spans="24:30" x14ac:dyDescent="0.35">
      <c r="X387" s="247" t="str">
        <f>IF(SW!M71="","",SW!M71)</f>
        <v>Rentals (Equipment, Sunbelt etc)</v>
      </c>
      <c r="Y387" s="234" t="str">
        <f>IF(SW!N71="","",SW!N71)</f>
        <v>&lt;--  Rentals Here</v>
      </c>
      <c r="Z387" s="235" t="str">
        <f>IF(SW!O71="","",SW!O71)</f>
        <v/>
      </c>
      <c r="AA387" s="235" t="str">
        <f>IF(SW!P71="","",SW!P71)</f>
        <v/>
      </c>
      <c r="AB387" s="212" t="str">
        <f>IF(SW!Q71="","",SW!Q71)</f>
        <v/>
      </c>
      <c r="AC387" s="235" t="str">
        <f>IF(SW!R71="","",SW!R71)</f>
        <v/>
      </c>
      <c r="AD387" s="291">
        <f>IF(SW!S71="","",SW!S71)</f>
        <v>0</v>
      </c>
    </row>
    <row r="388" spans="24:30" x14ac:dyDescent="0.35">
      <c r="X388" s="247" t="str">
        <f>IF(SW!M72="","",SW!M72)</f>
        <v>Contingency</v>
      </c>
      <c r="Y388" s="248" t="str">
        <f>IF(SW!N72="","",SW!N72)</f>
        <v/>
      </c>
      <c r="Z388" s="245" t="str">
        <f>IF(SW!O72="","",SW!O72)</f>
        <v/>
      </c>
      <c r="AA388" s="295" t="str">
        <f>IF(SW!P72="","",SW!P72)</f>
        <v/>
      </c>
      <c r="AB388" s="203">
        <f>IF(SW!Q72="","",SW!Q72)</f>
        <v>0</v>
      </c>
      <c r="AC388" s="235" t="str">
        <f>IF(SW!R72="","",SW!R72)</f>
        <v/>
      </c>
      <c r="AD388" s="291">
        <f>IF(SW!S72="","",SW!S72)</f>
        <v>0</v>
      </c>
    </row>
    <row r="389" spans="24:30" x14ac:dyDescent="0.35">
      <c r="X389" s="247" t="str">
        <f>IF(SW!M73="","",SW!M73)</f>
        <v>Box Truck Rental</v>
      </c>
      <c r="Y389" s="248" t="str">
        <f>IF(SW!N73="","",SW!N73)</f>
        <v/>
      </c>
      <c r="Z389" s="245" t="str">
        <f>IF(SW!O73="","",SW!O73)</f>
        <v/>
      </c>
      <c r="AA389" s="295" t="str">
        <f>IF(SW!P73="","",SW!P73)</f>
        <v/>
      </c>
      <c r="AB389" s="203">
        <f>IF(SW!Q73="","",SW!Q73)</f>
        <v>0</v>
      </c>
      <c r="AC389" s="235" t="str">
        <f>IF(SW!R73="","",SW!R73)</f>
        <v/>
      </c>
      <c r="AD389" s="291">
        <f>IF(SW!S73="","",SW!S73)</f>
        <v>0</v>
      </c>
    </row>
    <row r="390" spans="24:30" x14ac:dyDescent="0.35">
      <c r="X390" s="247" t="str">
        <f>IF(SW!M74="","",SW!M74)</f>
        <v>NP-1 TUBES (30 TUBE/CASE)</v>
      </c>
      <c r="Y390" s="248" t="str">
        <f>IF(SW!N74="","",SW!N74)</f>
        <v>N/A</v>
      </c>
      <c r="Z390" s="245" t="str">
        <f>IF(SW!O74="","",SW!O74)</f>
        <v>TUBE</v>
      </c>
      <c r="AA390" s="295" t="str">
        <f>IF(SW!P74="","",SW!P74)</f>
        <v/>
      </c>
      <c r="AB390" s="203">
        <f>IF(SW!Q74="","",SW!Q74)</f>
        <v>8.2899999999999991</v>
      </c>
      <c r="AC390" s="235" t="str">
        <f>IF(SW!R74="","",SW!R74)</f>
        <v/>
      </c>
      <c r="AD390" s="291">
        <f>IF(SW!S74="","",SW!S74)</f>
        <v>0</v>
      </c>
    </row>
    <row r="391" spans="24:30" x14ac:dyDescent="0.35">
      <c r="X391" s="247" t="str">
        <f>IF(SW!M75="","",SW!M75)</f>
        <v>600 UV (SSP JS-600 ALIPHATIC POLYUREA)</v>
      </c>
      <c r="Y391" s="248" t="str">
        <f>IF(SW!N75="","",SW!N75)</f>
        <v>STANDARD GRAY</v>
      </c>
      <c r="Z391" s="245" t="str">
        <f>IF(SW!O75="","",SW!O75)</f>
        <v>1 GAL BOX</v>
      </c>
      <c r="AA391" s="295" t="str">
        <f>IF(SW!P75="","",SW!P75)</f>
        <v/>
      </c>
      <c r="AB391" s="203">
        <f ca="1">IF(SW!Q75="","",SW!Q75)</f>
        <v>125.4</v>
      </c>
      <c r="AC391" s="235" t="str">
        <f>IF(SW!R75="","",SW!R75)</f>
        <v/>
      </c>
      <c r="AD391" s="291">
        <f ca="1">IF(SW!S75="","",SW!S75)</f>
        <v>0</v>
      </c>
    </row>
    <row r="392" spans="24:30" x14ac:dyDescent="0.35">
      <c r="X392" s="307" t="str">
        <f>IF(SW!M76="","",SW!M76)</f>
        <v>RS88 (12 TUBES / CASE)</v>
      </c>
      <c r="Y392" s="296" t="str">
        <f>IF(SW!N76="","",SW!N76)</f>
        <v>STANDARD GRAY</v>
      </c>
      <c r="Z392" s="295" t="str">
        <f>IF(SW!O76="","",SW!O76)</f>
        <v>TUBE</v>
      </c>
      <c r="AA392" s="295" t="str">
        <f>IF(SW!P76="","",SW!P76)</f>
        <v/>
      </c>
      <c r="AB392" s="212">
        <f>IF(SW!Q76="","",SW!Q76)</f>
        <v>38.5</v>
      </c>
      <c r="AC392" s="235" t="str">
        <f>IF(SW!R76="","",SW!R76)</f>
        <v/>
      </c>
      <c r="AD392" s="291">
        <f>IF(SW!S76="","",SW!S76)</f>
        <v>0</v>
      </c>
    </row>
    <row r="393" spans="24:30" x14ac:dyDescent="0.35">
      <c r="X393" s="307" t="str">
        <f>IF(SW!M77="","",SW!M77)</f>
        <v>RS65 (12 TUBES / CASE)</v>
      </c>
      <c r="Y393" s="296" t="str">
        <f>IF(SW!N77="","",SW!N77)</f>
        <v>GRAY</v>
      </c>
      <c r="Z393" s="295" t="str">
        <f>IF(SW!O77="","",SW!O77)</f>
        <v>TUBE</v>
      </c>
      <c r="AA393" s="295" t="str">
        <f>IF(SW!P77="","",SW!P77)</f>
        <v/>
      </c>
      <c r="AB393" s="212">
        <f>IF(SW!Q77="","",SW!Q77)</f>
        <v>38.5</v>
      </c>
      <c r="AC393" s="235" t="str">
        <f>IF(SW!R77="","",SW!R77)</f>
        <v/>
      </c>
      <c r="AD393" s="291">
        <f>IF(SW!S77="","",SW!S77)</f>
        <v>0</v>
      </c>
    </row>
    <row r="394" spans="24:30" x14ac:dyDescent="0.35">
      <c r="X394" s="307" t="str">
        <f>IF(SW!M78="","",SW!M78)</f>
        <v/>
      </c>
      <c r="Y394" s="296" t="str">
        <f>IF(SW!N78="","",SW!N78)</f>
        <v/>
      </c>
      <c r="Z394" s="295" t="str">
        <f>IF(SW!O78="","",SW!O78)</f>
        <v/>
      </c>
      <c r="AA394" s="295" t="str">
        <f>IF(SW!P78="","",SW!P78)</f>
        <v/>
      </c>
      <c r="AB394" s="212" t="str">
        <f>IF(SW!Q78="","",SW!Q78)</f>
        <v/>
      </c>
      <c r="AC394" s="235" t="str">
        <f>IF(SW!R78="","",SW!R78)</f>
        <v/>
      </c>
      <c r="AD394" s="291">
        <f>IF(SW!S78="","",SW!S78)</f>
        <v>0</v>
      </c>
    </row>
    <row r="395" spans="24:30" x14ac:dyDescent="0.35">
      <c r="X395" s="307" t="str">
        <f>IF(SW!M79="","",SW!M79)</f>
        <v/>
      </c>
      <c r="Y395" s="296" t="str">
        <f>IF(SW!N79="","",SW!N79)</f>
        <v/>
      </c>
      <c r="Z395" s="295" t="str">
        <f>IF(SW!O79="","",SW!O79)</f>
        <v/>
      </c>
      <c r="AA395" s="295" t="str">
        <f>IF(SW!P79="","",SW!P79)</f>
        <v/>
      </c>
      <c r="AB395" s="212" t="str">
        <f>IF(SW!Q79="","",SW!Q79)</f>
        <v/>
      </c>
      <c r="AC395" s="235" t="str">
        <f>IF(SW!R79="","",SW!R79)</f>
        <v/>
      </c>
      <c r="AD395" s="291">
        <f>IF(SW!S79="","",SW!S79)</f>
        <v>0</v>
      </c>
    </row>
    <row r="396" spans="24:30" x14ac:dyDescent="0.35">
      <c r="X396" s="307" t="str">
        <f>IF(SW!M80="","",SW!M80)</f>
        <v/>
      </c>
      <c r="Y396" s="296" t="str">
        <f>IF(SW!N80="","",SW!N80)</f>
        <v/>
      </c>
      <c r="Z396" s="295" t="str">
        <f>IF(SW!O80="","",SW!O80)</f>
        <v/>
      </c>
      <c r="AA396" s="295" t="str">
        <f>IF(SW!P80="","",SW!P80)</f>
        <v/>
      </c>
      <c r="AB396" s="212" t="str">
        <f>IF(SW!Q80="","",SW!Q80)</f>
        <v/>
      </c>
      <c r="AC396" s="235" t="str">
        <f>IF(SW!R80="","",SW!R80)</f>
        <v/>
      </c>
      <c r="AD396" s="291">
        <f>IF(SW!S80="","",SW!S80)</f>
        <v>0</v>
      </c>
    </row>
    <row r="397" spans="24:30" x14ac:dyDescent="0.35">
      <c r="X397" s="307" t="str">
        <f>IF(SW!M81="","",SW!M81)</f>
        <v/>
      </c>
      <c r="Y397" s="296" t="str">
        <f>IF(SW!N81="","",SW!N81)</f>
        <v/>
      </c>
      <c r="Z397" s="295" t="str">
        <f>IF(SW!O81="","",SW!O81)</f>
        <v/>
      </c>
      <c r="AA397" s="295" t="str">
        <f>IF(SW!P81="","",SW!P81)</f>
        <v/>
      </c>
      <c r="AB397" s="212" t="str">
        <f>IF(SW!Q81="","",SW!Q81)</f>
        <v/>
      </c>
      <c r="AC397" s="235" t="str">
        <f>IF(SW!R81="","",SW!R81)</f>
        <v/>
      </c>
      <c r="AD397" s="291">
        <f>IF(SW!S81="","",SW!S81)</f>
        <v>0</v>
      </c>
    </row>
    <row r="398" spans="24:30" x14ac:dyDescent="0.35">
      <c r="X398" s="307" t="str">
        <f>IF(SW!M82="","",SW!M82)</f>
        <v/>
      </c>
      <c r="Y398" s="296" t="str">
        <f>IF(SW!N82="","",SW!N82)</f>
        <v/>
      </c>
      <c r="Z398" s="295" t="str">
        <f>IF(SW!O82="","",SW!O82)</f>
        <v/>
      </c>
      <c r="AA398" s="295" t="str">
        <f>IF(SW!P82="","",SW!P82)</f>
        <v/>
      </c>
      <c r="AB398" s="212" t="str">
        <f>IF(SW!Q82="","",SW!Q82)</f>
        <v/>
      </c>
      <c r="AC398" s="235" t="str">
        <f>IF(SW!R82="","",SW!R82)</f>
        <v/>
      </c>
      <c r="AD398" s="291">
        <f>IF(SW!S82="","",SW!S82)</f>
        <v>0</v>
      </c>
    </row>
    <row r="399" spans="24:30" x14ac:dyDescent="0.35">
      <c r="X399" s="307" t="str">
        <f>IF(SW!M83="","",SW!M83)</f>
        <v/>
      </c>
      <c r="Y399" s="296" t="str">
        <f>IF(SW!N83="","",SW!N83)</f>
        <v/>
      </c>
      <c r="Z399" s="295" t="str">
        <f>IF(SW!O83="","",SW!O83)</f>
        <v/>
      </c>
      <c r="AA399" s="295" t="str">
        <f>IF(SW!P83="","",SW!P83)</f>
        <v/>
      </c>
      <c r="AB399" s="212" t="str">
        <f>IF(SW!Q83="","",SW!Q83)</f>
        <v/>
      </c>
      <c r="AC399" s="235" t="str">
        <f>IF(SW!R83="","",SW!R83)</f>
        <v/>
      </c>
      <c r="AD399" s="291">
        <f>IF(SW!S83="","",SW!S83)</f>
        <v>0</v>
      </c>
    </row>
    <row r="400" spans="24:30" x14ac:dyDescent="0.35">
      <c r="X400" s="307" t="str">
        <f>IF(SW!M84="","",SW!M84)</f>
        <v/>
      </c>
      <c r="Y400" s="296" t="str">
        <f>IF(SW!N84="","",SW!N84)</f>
        <v/>
      </c>
      <c r="Z400" s="295" t="str">
        <f>IF(SW!O84="","",SW!O84)</f>
        <v/>
      </c>
      <c r="AA400" s="295" t="str">
        <f>IF(SW!P84="","",SW!P84)</f>
        <v/>
      </c>
      <c r="AB400" s="212" t="str">
        <f>IF(SW!Q84="","",SW!Q84)</f>
        <v/>
      </c>
      <c r="AC400" s="235" t="str">
        <f>IF(SW!R84="","",SW!R84)</f>
        <v/>
      </c>
      <c r="AD400" s="291">
        <f>IF(SW!S84="","",SW!S84)</f>
        <v>0</v>
      </c>
    </row>
    <row r="401" spans="24:30" x14ac:dyDescent="0.35">
      <c r="X401" s="307" t="str">
        <f>IF(SW!M85="","",SW!M85)</f>
        <v/>
      </c>
      <c r="Y401" s="296" t="str">
        <f>IF(SW!N85="","",SW!N85)</f>
        <v/>
      </c>
      <c r="Z401" s="295" t="str">
        <f>IF(SW!O85="","",SW!O85)</f>
        <v/>
      </c>
      <c r="AA401" s="295" t="str">
        <f>IF(SW!P85="","",SW!P85)</f>
        <v/>
      </c>
      <c r="AB401" s="212" t="str">
        <f>IF(SW!Q85="","",SW!Q85)</f>
        <v/>
      </c>
      <c r="AC401" s="235" t="str">
        <f>IF(SW!R85="","",SW!R85)</f>
        <v/>
      </c>
      <c r="AD401" s="291">
        <f>IF(SW!S85="","",SW!S85)</f>
        <v>0</v>
      </c>
    </row>
    <row r="402" spans="24:30" ht="15" thickBot="1" x14ac:dyDescent="0.4">
      <c r="X402" s="307" t="str">
        <f>IF(SW!M86="","",SW!M86)</f>
        <v/>
      </c>
      <c r="Y402" s="296" t="str">
        <f>IF(SW!N86="","",SW!N86)</f>
        <v/>
      </c>
      <c r="Z402" s="295" t="str">
        <f>IF(SW!O86="","",SW!O86)</f>
        <v/>
      </c>
      <c r="AA402" s="295" t="str">
        <f>IF(SW!P86="","",SW!P86)</f>
        <v/>
      </c>
      <c r="AB402" s="212" t="str">
        <f>IF(SW!Q86="","",SW!Q86)</f>
        <v/>
      </c>
      <c r="AC402" s="235" t="str">
        <f>IF(SW!R86="","",SW!R86)</f>
        <v/>
      </c>
      <c r="AD402" s="291">
        <f>IF(SW!S86="","",SW!S86)</f>
        <v>0</v>
      </c>
    </row>
    <row r="403" spans="24:30" ht="15.5" thickTop="1" thickBot="1" x14ac:dyDescent="0.4">
      <c r="X403" s="230" t="str">
        <f>IF(SW!M87="","",SW!M87)</f>
        <v>Total</v>
      </c>
      <c r="Y403" s="228" t="str">
        <f>IF(SW!N87="","",SW!N87)</f>
        <v/>
      </c>
      <c r="Z403" s="228" t="str">
        <f>IF(SW!O87="","",SW!O87)</f>
        <v/>
      </c>
      <c r="AA403" s="228" t="str">
        <f>IF(SW!P87="","",SW!P87)</f>
        <v/>
      </c>
      <c r="AB403" s="228" t="str">
        <f>IF(SW!Q87="","",SW!Q87)</f>
        <v/>
      </c>
      <c r="AC403" s="228" t="str">
        <f>IF(SW!R87="","",SW!R87)</f>
        <v/>
      </c>
      <c r="AD403" s="229">
        <f ca="1">IF(SW!S87="","",SW!S87)</f>
        <v>0</v>
      </c>
    </row>
    <row r="404" spans="24:30" ht="7.5" customHeight="1" thickBot="1" x14ac:dyDescent="0.4"/>
    <row r="405" spans="24:30" ht="19" thickBot="1" x14ac:dyDescent="0.5">
      <c r="X405" s="812" t="str">
        <f>IF(SW!C67="","",SW!C67)</f>
        <v>LABOR - IN HOUSE INSTALLS</v>
      </c>
      <c r="Y405" s="813" t="str">
        <f>IF(SW!D67="","",SW!D67)</f>
        <v/>
      </c>
      <c r="Z405" s="813" t="str">
        <f>IF(SW!E67="","",SW!E67)</f>
        <v/>
      </c>
      <c r="AA405" s="813" t="str">
        <f>IF(SW!F67="","",SW!F67)</f>
        <v/>
      </c>
      <c r="AB405" s="813" t="str">
        <f>IF(SW!G67="","",SW!G67)</f>
        <v/>
      </c>
      <c r="AC405" s="813" t="str">
        <f>IF(SW!H67="","",SW!H67)</f>
        <v/>
      </c>
      <c r="AD405" s="814" t="str">
        <f>IF(SW!I67="","",SW!I67)</f>
        <v/>
      </c>
    </row>
    <row r="406" spans="24:30" ht="15" thickBot="1" x14ac:dyDescent="0.4">
      <c r="X406" s="284" t="str">
        <f>IF(SW!C68="","",SW!C68)</f>
        <v>ACTIVITY</v>
      </c>
      <c r="Y406" s="282" t="str">
        <f>IF(SW!D68="","",SW!D68)</f>
        <v xml:space="preserve"> </v>
      </c>
      <c r="Z406" s="283" t="str">
        <f>IF(SW!E68="","",SW!E68)</f>
        <v xml:space="preserve">  </v>
      </c>
      <c r="AA406" s="282" t="str">
        <f>IF(SW!F68="","",SW!F68)</f>
        <v>MEN</v>
      </c>
      <c r="AB406" s="82" t="str">
        <f>IF(SW!G68="","",SW!G68)</f>
        <v>DAYS / RATE</v>
      </c>
      <c r="AC406" s="82" t="str">
        <f>IF(SW!H68="","",SW!H68)</f>
        <v>COST / DAY</v>
      </c>
      <c r="AD406" s="286" t="str">
        <f>IF(SW!I68="","",SW!I68)</f>
        <v>EXTENSION</v>
      </c>
    </row>
    <row r="407" spans="24:30" x14ac:dyDescent="0.35">
      <c r="X407" s="350" t="str">
        <f>IF(SW!C69="","",SW!C69)</f>
        <v>Prep</v>
      </c>
      <c r="Y407" s="287" t="str">
        <f>IF(SW!D69="","",SW!D69)</f>
        <v/>
      </c>
      <c r="Z407" s="288" t="str">
        <f>IF(SW!E69="","",SW!E69)</f>
        <v/>
      </c>
      <c r="AA407" s="289" t="str">
        <f>IF(SW!F69="","",SW!F69)</f>
        <v/>
      </c>
      <c r="AB407" s="308" t="str">
        <f>IF(SW!G69="","",SW!G69)</f>
        <v/>
      </c>
      <c r="AC407" s="208">
        <f>IF(SW!H69="","",SW!H69)</f>
        <v>600</v>
      </c>
      <c r="AD407" s="70">
        <f>IF(SW!I69="","",SW!I69)</f>
        <v>0</v>
      </c>
    </row>
    <row r="408" spans="24:30" x14ac:dyDescent="0.35">
      <c r="X408" s="309" t="str">
        <f>IF(SW!C70="","",SW!C70)</f>
        <v>Cove</v>
      </c>
      <c r="Y408" s="292" t="str">
        <f>IF(SW!D70="","",SW!D70)</f>
        <v/>
      </c>
      <c r="Z408" s="293" t="str">
        <f>IF(SW!E70="","",SW!E70)</f>
        <v/>
      </c>
      <c r="AA408" s="289" t="str">
        <f>IF(SW!F70="","",SW!F70)</f>
        <v/>
      </c>
      <c r="AB408" s="308" t="str">
        <f>IF(SW!G70="","",SW!G70)</f>
        <v/>
      </c>
      <c r="AC408" s="208">
        <f>IF(SW!H70="","",SW!H70)</f>
        <v>600</v>
      </c>
      <c r="AD408" s="70">
        <f>IF(SW!I70="","",SW!I70)</f>
        <v>0</v>
      </c>
    </row>
    <row r="409" spans="24:30" x14ac:dyDescent="0.35">
      <c r="X409" s="309" t="str">
        <f>IF(SW!C71="","",SW!C71)</f>
        <v>Trowel</v>
      </c>
      <c r="Y409" s="292" t="str">
        <f>IF(SW!D71="","",SW!D71)</f>
        <v/>
      </c>
      <c r="Z409" s="293" t="str">
        <f>IF(SW!E71="","",SW!E71)</f>
        <v/>
      </c>
      <c r="AA409" s="289" t="str">
        <f>IF(SW!F71="","",SW!F71)</f>
        <v/>
      </c>
      <c r="AB409" s="308" t="str">
        <f>IF(SW!G71="","",SW!G71)</f>
        <v/>
      </c>
      <c r="AC409" s="208">
        <f>IF(SW!H71="","",SW!H71)</f>
        <v>600</v>
      </c>
      <c r="AD409" s="70">
        <f>IF(SW!I71="","",SW!I71)</f>
        <v>0</v>
      </c>
    </row>
    <row r="410" spans="24:30" x14ac:dyDescent="0.35">
      <c r="X410" s="309" t="str">
        <f>IF(SW!C72="","",SW!C72)</f>
        <v>Seal</v>
      </c>
      <c r="Y410" s="292" t="str">
        <f>IF(SW!D72="","",SW!D72)</f>
        <v/>
      </c>
      <c r="Z410" s="293" t="str">
        <f>IF(SW!E72="","",SW!E72)</f>
        <v/>
      </c>
      <c r="AA410" s="289" t="str">
        <f>IF(SW!F72="","",SW!F72)</f>
        <v/>
      </c>
      <c r="AB410" s="308" t="str">
        <f>IF(SW!G72="","",SW!G72)</f>
        <v/>
      </c>
      <c r="AC410" s="208">
        <f>IF(SW!H72="","",SW!H72)</f>
        <v>600</v>
      </c>
      <c r="AD410" s="70">
        <f>IF(SW!I72="","",SW!I72)</f>
        <v>0</v>
      </c>
    </row>
    <row r="411" spans="24:30" x14ac:dyDescent="0.35">
      <c r="X411" s="309" t="str">
        <f>IF(SW!C73="","",SW!C73)</f>
        <v>Joints</v>
      </c>
      <c r="Y411" s="292" t="str">
        <f>IF(SW!D73="","",SW!D73)</f>
        <v/>
      </c>
      <c r="Z411" s="293" t="str">
        <f>IF(SW!E73="","",SW!E73)</f>
        <v/>
      </c>
      <c r="AA411" s="289" t="str">
        <f>IF(SW!F73="","",SW!F73)</f>
        <v/>
      </c>
      <c r="AB411" s="308" t="str">
        <f>IF(SW!G73="","",SW!G73)</f>
        <v/>
      </c>
      <c r="AC411" s="208">
        <f>IF(SW!H73="","",SW!H73)</f>
        <v>600</v>
      </c>
      <c r="AD411" s="70">
        <f>IF(SW!I73="","",SW!I73)</f>
        <v>0</v>
      </c>
    </row>
    <row r="412" spans="24:30" x14ac:dyDescent="0.35">
      <c r="X412" s="309" t="str">
        <f>IF(SW!C74="","",SW!C74)</f>
        <v>Labor 1</v>
      </c>
      <c r="Y412" s="292" t="str">
        <f>IF(SW!D74="","",SW!D74)</f>
        <v/>
      </c>
      <c r="Z412" s="293" t="str">
        <f>IF(SW!E74="","",SW!E74)</f>
        <v/>
      </c>
      <c r="AA412" s="289" t="str">
        <f>IF(SW!F74="","",SW!F74)</f>
        <v/>
      </c>
      <c r="AB412" s="308" t="str">
        <f>IF(SW!G74="","",SW!G74)</f>
        <v/>
      </c>
      <c r="AC412" s="208">
        <f>IF(SW!H74="","",SW!H74)</f>
        <v>600</v>
      </c>
      <c r="AD412" s="70">
        <f>IF(SW!I74="","",SW!I74)</f>
        <v>0</v>
      </c>
    </row>
    <row r="413" spans="24:30" x14ac:dyDescent="0.35">
      <c r="X413" s="309" t="str">
        <f>IF(SW!C75="","",SW!C75)</f>
        <v>Labor 2</v>
      </c>
      <c r="Y413" s="292" t="str">
        <f>IF(SW!D75="","",SW!D75)</f>
        <v/>
      </c>
      <c r="Z413" s="293" t="str">
        <f>IF(SW!E75="","",SW!E75)</f>
        <v/>
      </c>
      <c r="AA413" s="289" t="str">
        <f>IF(SW!F75="","",SW!F75)</f>
        <v/>
      </c>
      <c r="AB413" s="308" t="str">
        <f>IF(SW!G75="","",SW!G75)</f>
        <v/>
      </c>
      <c r="AC413" s="208">
        <f>IF(SW!H75="","",SW!H75)</f>
        <v>600</v>
      </c>
      <c r="AD413" s="70">
        <f>IF(SW!I75="","",SW!I75)</f>
        <v>0</v>
      </c>
    </row>
    <row r="414" spans="24:30" x14ac:dyDescent="0.35">
      <c r="X414" s="309" t="str">
        <f>IF(SW!C76="","",SW!C76)</f>
        <v>Labor 3</v>
      </c>
      <c r="Y414" s="292" t="str">
        <f>IF(SW!D76="","",SW!D76)</f>
        <v/>
      </c>
      <c r="Z414" s="293" t="str">
        <f>IF(SW!E76="","",SW!E76)</f>
        <v/>
      </c>
      <c r="AA414" s="289" t="str">
        <f>IF(SW!F76="","",SW!F76)</f>
        <v/>
      </c>
      <c r="AB414" s="308" t="str">
        <f>IF(SW!G76="","",SW!G76)</f>
        <v/>
      </c>
      <c r="AC414" s="208">
        <f>IF(SW!H76="","",SW!H76)</f>
        <v>600</v>
      </c>
      <c r="AD414" s="70">
        <f>IF(SW!I76="","",SW!I76)</f>
        <v>0</v>
      </c>
    </row>
    <row r="415" spans="24:30" x14ac:dyDescent="0.35">
      <c r="X415" s="309" t="str">
        <f>IF(SW!C77="","",SW!C77)</f>
        <v>Labor 4</v>
      </c>
      <c r="Y415" s="292" t="str">
        <f>IF(SW!D77="","",SW!D77)</f>
        <v/>
      </c>
      <c r="Z415" s="293" t="str">
        <f>IF(SW!E77="","",SW!E77)</f>
        <v/>
      </c>
      <c r="AA415" s="289" t="str">
        <f>IF(SW!F77="","",SW!F77)</f>
        <v/>
      </c>
      <c r="AB415" s="308" t="str">
        <f>IF(SW!G77="","",SW!G77)</f>
        <v/>
      </c>
      <c r="AC415" s="208">
        <f>IF(SW!H77="","",SW!H77)</f>
        <v>600</v>
      </c>
      <c r="AD415" s="70">
        <f>IF(SW!I77="","",SW!I77)</f>
        <v>0</v>
      </c>
    </row>
    <row r="416" spans="24:30" x14ac:dyDescent="0.35">
      <c r="X416" s="310" t="str">
        <f>IF(SW!C78="","",SW!C78)</f>
        <v>Subcontractor Work Order</v>
      </c>
      <c r="Y416" s="240" t="str">
        <f>IF(SW!D78="","",SW!D78)</f>
        <v/>
      </c>
      <c r="Z416" s="241" t="str">
        <f>IF(SW!E78="","",SW!E78)</f>
        <v/>
      </c>
      <c r="AA416" s="242" t="str">
        <f>IF(SW!F78="","",SW!F78)</f>
        <v/>
      </c>
      <c r="AB416" s="238" t="str">
        <f>IF(SW!G78="","",SW!G78)</f>
        <v/>
      </c>
      <c r="AC416" s="208">
        <f>IF(SW!H78="","",SW!H78)</f>
        <v>0</v>
      </c>
      <c r="AD416" s="70">
        <f>IF(SW!I78="","",SW!I78)</f>
        <v>0</v>
      </c>
    </row>
    <row r="417" spans="24:30" x14ac:dyDescent="0.35">
      <c r="X417" s="310" t="str">
        <f>IF(SW!C79="","",SW!C79)</f>
        <v>Airline Expenses</v>
      </c>
      <c r="Y417" s="240" t="str">
        <f>IF(SW!D79="","",SW!D79)</f>
        <v/>
      </c>
      <c r="Z417" s="241" t="str">
        <f>IF(SW!E79="","",SW!E79)</f>
        <v/>
      </c>
      <c r="AA417" s="289" t="str">
        <f>IF(SW!F79="","",SW!F79)</f>
        <v/>
      </c>
      <c r="AB417" s="308" t="str">
        <f>IF(SW!G79="","",SW!G79)</f>
        <v/>
      </c>
      <c r="AC417" s="209">
        <f>IF(SW!H79="","",SW!H79)</f>
        <v>420</v>
      </c>
      <c r="AD417" s="70">
        <f>IF(SW!I79="","",SW!I79)</f>
        <v>0</v>
      </c>
    </row>
    <row r="418" spans="24:30" x14ac:dyDescent="0.35">
      <c r="X418" s="310" t="str">
        <f>IF(SW!C80="","",SW!C80)</f>
        <v>Hotel Expenses</v>
      </c>
      <c r="Y418" s="240" t="str">
        <f>IF(SW!D80="","",SW!D80)</f>
        <v/>
      </c>
      <c r="Z418" s="241" t="str">
        <f>IF(SW!E80="","",SW!E80)</f>
        <v/>
      </c>
      <c r="AA418" s="289" t="str">
        <f>IF(SW!F80="","",SW!F80)</f>
        <v/>
      </c>
      <c r="AB418" s="308" t="str">
        <f>IF(SW!G80="","",SW!G80)</f>
        <v/>
      </c>
      <c r="AC418" s="209">
        <f>IF(SW!H80="","",SW!H80)</f>
        <v>180</v>
      </c>
      <c r="AD418" s="70">
        <f>IF(SW!I80="","",SW!I80)</f>
        <v>0</v>
      </c>
    </row>
    <row r="419" spans="24:30" x14ac:dyDescent="0.35">
      <c r="X419" s="311" t="str">
        <f>IF(SW!C81="","",SW!C81)</f>
        <v>Auto Rental</v>
      </c>
      <c r="Y419" s="243" t="str">
        <f>IF(SW!D81="","",SW!D81)</f>
        <v/>
      </c>
      <c r="Z419" s="244" t="str">
        <f>IF(SW!E81="","",SW!E81)</f>
        <v/>
      </c>
      <c r="AA419" s="289" t="str">
        <f>IF(SW!F81="","",SW!F81)</f>
        <v/>
      </c>
      <c r="AB419" s="308" t="str">
        <f>IF(SW!G81="","",SW!G81)</f>
        <v/>
      </c>
      <c r="AC419" s="210">
        <f>IF(SW!H81="","",SW!H81)</f>
        <v>65</v>
      </c>
      <c r="AD419" s="70">
        <f>IF(SW!I81="","",SW!I81)</f>
        <v>0</v>
      </c>
    </row>
    <row r="420" spans="24:30" x14ac:dyDescent="0.35">
      <c r="X420" s="311" t="str">
        <f>IF(SW!C82="","",SW!C82)</f>
        <v>Mileage/Fuel Expense</v>
      </c>
      <c r="Y420" s="243" t="str">
        <f>IF(SW!D82="","",SW!D82)</f>
        <v/>
      </c>
      <c r="Z420" s="244" t="str">
        <f>IF(SW!E82="","",SW!E82)</f>
        <v/>
      </c>
      <c r="AA420" s="289" t="str">
        <f>IF(SW!F82="","",SW!F82)</f>
        <v/>
      </c>
      <c r="AB420" s="238" t="str">
        <f>IF(SW!G82="","",SW!G82)</f>
        <v/>
      </c>
      <c r="AC420" s="210">
        <f>IF(SW!H82="","",SW!H82)</f>
        <v>0.75</v>
      </c>
      <c r="AD420" s="70">
        <f>IF(SW!I82="","",SW!I82)</f>
        <v>0</v>
      </c>
    </row>
    <row r="421" spans="24:30" x14ac:dyDescent="0.35">
      <c r="X421" s="311" t="str">
        <f>IF(SW!C83="","",SW!C83)</f>
        <v>Parking / Tolls</v>
      </c>
      <c r="Y421" s="243" t="str">
        <f>IF(SW!D83="","",SW!D83)</f>
        <v/>
      </c>
      <c r="Z421" s="244" t="str">
        <f>IF(SW!E83="","",SW!E83)</f>
        <v/>
      </c>
      <c r="AA421" s="242" t="str">
        <f>IF(SW!F83="","",SW!F83)</f>
        <v/>
      </c>
      <c r="AB421" s="238" t="str">
        <f>IF(SW!G83="","",SW!G83)</f>
        <v/>
      </c>
      <c r="AC421" s="210" t="str">
        <f>IF(SW!H83="","",SW!H83)</f>
        <v/>
      </c>
      <c r="AD421" s="70">
        <f>IF(SW!I83="","",SW!I83)</f>
        <v>0</v>
      </c>
    </row>
    <row r="422" spans="24:30" x14ac:dyDescent="0.35">
      <c r="X422" s="311" t="str">
        <f>IF(SW!C84="","",SW!C84)</f>
        <v>Per Diem for Travel Days Only</v>
      </c>
      <c r="Y422" s="243" t="str">
        <f>IF(SW!D84="","",SW!D84)</f>
        <v/>
      </c>
      <c r="Z422" s="244" t="str">
        <f>IF(SW!E84="","",SW!E84)</f>
        <v/>
      </c>
      <c r="AA422" s="289" t="str">
        <f>IF(SW!F84="","",SW!F84)</f>
        <v/>
      </c>
      <c r="AB422" s="289" t="str">
        <f>IF(SW!G84="","",SW!G84)</f>
        <v/>
      </c>
      <c r="AC422" s="210">
        <f>IF(SW!H84="","",SW!H84)</f>
        <v>38.25</v>
      </c>
      <c r="AD422" s="70">
        <f>IF(SW!I84="","",SW!I84)</f>
        <v>0</v>
      </c>
    </row>
    <row r="423" spans="24:30" x14ac:dyDescent="0.35">
      <c r="X423" s="311" t="str">
        <f>IF(SW!C85="","",SW!C85)</f>
        <v>Per Diem for Work Days Only</v>
      </c>
      <c r="Y423" s="243" t="str">
        <f>IF(SW!D85="","",SW!D85)</f>
        <v/>
      </c>
      <c r="Z423" s="244" t="str">
        <f>IF(SW!E85="","",SW!E85)</f>
        <v/>
      </c>
      <c r="AA423" s="289" t="str">
        <f>IF(SW!F85="","",SW!F85)</f>
        <v/>
      </c>
      <c r="AB423" s="289" t="str">
        <f>IF(SW!G85="","",SW!G85)</f>
        <v/>
      </c>
      <c r="AC423" s="210">
        <f>IF(SW!H85="","",SW!H85)</f>
        <v>51</v>
      </c>
      <c r="AD423" s="70">
        <f>IF(SW!I85="","",SW!I85)</f>
        <v>0</v>
      </c>
    </row>
    <row r="424" spans="24:30" ht="15" thickBot="1" x14ac:dyDescent="0.4">
      <c r="X424" s="351" t="str">
        <f>IF(SW!C86="","",SW!C86)</f>
        <v>Travel Pay</v>
      </c>
      <c r="Y424" s="298" t="str">
        <f>IF(SW!D86="","",SW!D86)</f>
        <v/>
      </c>
      <c r="Z424" s="299" t="str">
        <f>IF(SW!E86="","",SW!E86)</f>
        <v/>
      </c>
      <c r="AA424" s="289" t="str">
        <f>IF(SW!F86="","",SW!F86)</f>
        <v/>
      </c>
      <c r="AB424" s="289" t="str">
        <f>IF(SW!G86="","",SW!G86)</f>
        <v/>
      </c>
      <c r="AC424" s="213">
        <f>IF(SW!H86="","",SW!H86)</f>
        <v>325</v>
      </c>
      <c r="AD424" s="70">
        <f>IF(SW!I86="","",SW!I86)</f>
        <v>0</v>
      </c>
    </row>
    <row r="425" spans="24:30" ht="15.5" thickTop="1" thickBot="1" x14ac:dyDescent="0.4">
      <c r="X425" s="230" t="str">
        <f>IF(SW!C87="","",SW!C87)</f>
        <v>Total</v>
      </c>
      <c r="Y425" s="228" t="str">
        <f>IF(SW!D87="","",SW!D87)</f>
        <v/>
      </c>
      <c r="Z425" s="228" t="str">
        <f>IF(SW!E87="","",SW!E87)</f>
        <v/>
      </c>
      <c r="AA425" s="228" t="str">
        <f>IF(SW!F87="","",SW!F87)</f>
        <v/>
      </c>
      <c r="AB425" s="228" t="str">
        <f>IF(SW!G87="","",SW!G87)</f>
        <v/>
      </c>
      <c r="AC425" s="228" t="str">
        <f>IF(SW!H87="","",SW!H87)</f>
        <v/>
      </c>
      <c r="AD425" s="229">
        <f>IF(SW!I87="","",SW!I87)</f>
        <v>0</v>
      </c>
    </row>
    <row r="426" spans="24:30" ht="7.5" customHeight="1" thickBot="1" x14ac:dyDescent="0.4">
      <c r="X426" s="254" t="str">
        <f>IF(SW!C88="","",SW!C88)</f>
        <v/>
      </c>
      <c r="Y426" s="254" t="str">
        <f>IF(SW!D88="","",SW!D88)</f>
        <v/>
      </c>
      <c r="Z426" s="254" t="str">
        <f>IF(SW!E88="","",SW!E88)</f>
        <v/>
      </c>
      <c r="AA426" s="254" t="str">
        <f>IF(SW!F88="","",SW!F88)</f>
        <v/>
      </c>
      <c r="AB426" s="254" t="str">
        <f>IF(SW!G88="","",SW!G88)</f>
        <v/>
      </c>
      <c r="AC426" s="254" t="str">
        <f>IF(SW!H88="","",SW!H88)</f>
        <v/>
      </c>
      <c r="AD426" s="254" t="str">
        <f>IF(SW!I88="","",SW!I88)</f>
        <v/>
      </c>
    </row>
    <row r="427" spans="24:30" ht="19" thickBot="1" x14ac:dyDescent="0.5">
      <c r="X427" s="812" t="str">
        <f>IF(SW!C89="","",SW!C89)</f>
        <v>COST ALLOCATION</v>
      </c>
      <c r="Y427" s="813" t="str">
        <f>IF(SW!D89="","",SW!D89)</f>
        <v/>
      </c>
      <c r="Z427" s="813" t="str">
        <f>IF(SW!E89="","",SW!E89)</f>
        <v/>
      </c>
      <c r="AA427" s="813" t="str">
        <f>IF(SW!F89="","",SW!F89)</f>
        <v/>
      </c>
      <c r="AB427" s="813" t="str">
        <f>IF(SW!G89="","",SW!G89)</f>
        <v/>
      </c>
      <c r="AC427" s="813" t="str">
        <f>IF(SW!H89="","",SW!H89)</f>
        <v/>
      </c>
      <c r="AD427" s="814" t="str">
        <f>IF(SW!I89="","",SW!I89)</f>
        <v/>
      </c>
    </row>
    <row r="428" spans="24:30" ht="15" thickBot="1" x14ac:dyDescent="0.4">
      <c r="X428" s="801" t="str">
        <f>IF(SW!C90="","",SW!C90)</f>
        <v>MATERIAL / LABOR</v>
      </c>
      <c r="Y428" s="802" t="str">
        <f>IF(SW!D90="","",SW!D90)</f>
        <v/>
      </c>
      <c r="Z428" s="802" t="str">
        <f>IF(SW!E90="","",SW!E90)</f>
        <v/>
      </c>
      <c r="AA428" s="802" t="str">
        <f>IF(SW!F90="","",SW!F90)</f>
        <v/>
      </c>
      <c r="AB428" s="802" t="str">
        <f>IF(SW!G90="","",SW!G90)</f>
        <v/>
      </c>
      <c r="AC428" s="802" t="str">
        <f>IF(SW!H90="","",SW!H90)</f>
        <v/>
      </c>
      <c r="AD428" s="803" t="str">
        <f>IF(SW!I90="","",SW!I90)</f>
        <v/>
      </c>
    </row>
    <row r="429" spans="24:30" x14ac:dyDescent="0.35">
      <c r="X429" s="302" t="str">
        <f>IF(SW!C91="","",SW!C91)</f>
        <v>1-100 MATERIALS</v>
      </c>
      <c r="Y429" s="789">
        <f ca="1">IF(SW!D91="","",SW!D91)</f>
        <v>0</v>
      </c>
      <c r="Z429" s="790" t="str">
        <f>IF(SW!E91="","",SW!E91)</f>
        <v/>
      </c>
      <c r="AA429" s="808" t="str">
        <f>IF(SW!F91="","",SW!F91)</f>
        <v>7-750 PER DIEM (TRAVEL DAYS)</v>
      </c>
      <c r="AB429" s="809" t="str">
        <f>IF(SW!G91="","",SW!G91)</f>
        <v/>
      </c>
      <c r="AC429" s="810">
        <f>IF(SW!H91="","",SW!H91)</f>
        <v>0</v>
      </c>
      <c r="AD429" s="811" t="str">
        <f>IF(SW!I91="","",SW!I91)</f>
        <v/>
      </c>
    </row>
    <row r="430" spans="24:30" x14ac:dyDescent="0.35">
      <c r="X430" s="304" t="str">
        <f>IF(SW!C92="","",SW!C92)</f>
        <v>2-100 LABOR</v>
      </c>
      <c r="Y430" s="789">
        <f>IF(SW!D92="","",SW!D92)</f>
        <v>0</v>
      </c>
      <c r="Z430" s="790" t="str">
        <f>IF(SW!E92="","",SW!E92)</f>
        <v/>
      </c>
      <c r="AA430" s="791" t="str">
        <f>IF(SW!F92="","",SW!F92)</f>
        <v>7-760 PER DIEM (WORK DAYS)</v>
      </c>
      <c r="AB430" s="792" t="str">
        <f>IF(SW!G92="","",SW!G92)</f>
        <v/>
      </c>
      <c r="AC430" s="795">
        <f>IF(SW!H92="","",SW!H92)</f>
        <v>0</v>
      </c>
      <c r="AD430" s="796" t="str">
        <f>IF(SW!I92="","",SW!I92)</f>
        <v/>
      </c>
    </row>
    <row r="431" spans="24:30" x14ac:dyDescent="0.35">
      <c r="X431" s="304" t="str">
        <f>IF(SW!C93="","",SW!C93)</f>
        <v>4-100 SUBCONTRACTOR</v>
      </c>
      <c r="Y431" s="789">
        <f>IF(SW!D93="","",SW!D93)</f>
        <v>0</v>
      </c>
      <c r="Z431" s="790" t="str">
        <f>IF(SW!E93="","",SW!E93)</f>
        <v/>
      </c>
      <c r="AA431" s="791" t="str">
        <f>IF(SW!F93="","",SW!F93)</f>
        <v>7-770 TRAVEL PAY</v>
      </c>
      <c r="AB431" s="792" t="str">
        <f>IF(SW!G93="","",SW!G93)</f>
        <v/>
      </c>
      <c r="AC431" s="795">
        <f>IF(SW!H93="","",SW!H93)</f>
        <v>0</v>
      </c>
      <c r="AD431" s="796" t="str">
        <f>IF(SW!I93="","",SW!I93)</f>
        <v/>
      </c>
    </row>
    <row r="432" spans="24:30" x14ac:dyDescent="0.35">
      <c r="X432" s="304" t="str">
        <f>IF(SW!C94="","",SW!C94)</f>
        <v>7-100 AIRLINE EXPENSES</v>
      </c>
      <c r="Y432" s="789">
        <f>IF(SW!D94="","",SW!D94)</f>
        <v>0</v>
      </c>
      <c r="Z432" s="790" t="str">
        <f>IF(SW!E94="","",SW!E94)</f>
        <v/>
      </c>
      <c r="AA432" s="791" t="str">
        <f>IF(SW!F94="","",SW!F94)</f>
        <v>5-000 OTHER COSTS</v>
      </c>
      <c r="AB432" s="792" t="str">
        <f>IF(SW!G94="","",SW!G94)</f>
        <v/>
      </c>
      <c r="AC432" s="843" t="str">
        <f>IF(SW!H94="","",SW!H94)</f>
        <v/>
      </c>
      <c r="AD432" s="844" t="str">
        <f>IF(SW!I94="","",SW!I94)</f>
        <v/>
      </c>
    </row>
    <row r="433" spans="24:30" x14ac:dyDescent="0.35">
      <c r="X433" s="304" t="str">
        <f>IF(SW!C95="","",SW!C95)</f>
        <v>7-200 HOTEL EXPENSES</v>
      </c>
      <c r="Y433" s="789">
        <f>IF(SW!D95="","",SW!D95)</f>
        <v>0</v>
      </c>
      <c r="Z433" s="790" t="str">
        <f>IF(SW!E95="","",SW!E95)</f>
        <v/>
      </c>
      <c r="AA433" s="791" t="str">
        <f>IF(SW!F95="","",SW!F95)</f>
        <v>5-100 FREIGHT</v>
      </c>
      <c r="AB433" s="792" t="str">
        <f>IF(SW!G95="","",SW!G95)</f>
        <v/>
      </c>
      <c r="AC433" s="843" t="str">
        <f>IF(SW!H95="","",SW!H95)</f>
        <v/>
      </c>
      <c r="AD433" s="844" t="str">
        <f>IF(SW!I95="","",SW!I95)</f>
        <v/>
      </c>
    </row>
    <row r="434" spans="24:30" x14ac:dyDescent="0.35">
      <c r="X434" s="304" t="str">
        <f>IF(SW!C96="","",SW!C96)</f>
        <v>7-300 AUTO RENTAL</v>
      </c>
      <c r="Y434" s="789">
        <f>IF(SW!D96="","",SW!D96)</f>
        <v>0</v>
      </c>
      <c r="Z434" s="790" t="str">
        <f>IF(SW!E96="","",SW!E96)</f>
        <v/>
      </c>
      <c r="AA434" s="791" t="str">
        <f>IF(SW!F96="","",SW!F96)</f>
        <v>5-100 RETURN FREIGHT</v>
      </c>
      <c r="AB434" s="792" t="str">
        <f>IF(SW!G96="","",SW!G96)</f>
        <v/>
      </c>
      <c r="AC434" s="843" t="str">
        <f>IF(SW!H96="","",SW!H96)</f>
        <v/>
      </c>
      <c r="AD434" s="844" t="str">
        <f>IF(SW!I96="","",SW!I96)</f>
        <v/>
      </c>
    </row>
    <row r="435" spans="24:30" x14ac:dyDescent="0.35">
      <c r="X435" s="304" t="str">
        <f>IF(SW!C97="","",SW!C97)</f>
        <v>7-400 MILEAGE/FUEL EXPENSE</v>
      </c>
      <c r="Y435" s="789">
        <f>IF(SW!D97="","",SW!D97)</f>
        <v>0</v>
      </c>
      <c r="Z435" s="790" t="str">
        <f>IF(SW!E97="","",SW!E97)</f>
        <v/>
      </c>
      <c r="AA435" s="791" t="str">
        <f>IF(SW!F97="","",SW!F97)</f>
        <v>5-300 RENTALS</v>
      </c>
      <c r="AB435" s="792" t="str">
        <f>IF(SW!G97="","",SW!G97)</f>
        <v/>
      </c>
      <c r="AC435" s="795">
        <f>IF(SW!H97="","",SW!H97)</f>
        <v>0</v>
      </c>
      <c r="AD435" s="796" t="str">
        <f>IF(SW!I97="","",SW!I97)</f>
        <v/>
      </c>
    </row>
    <row r="436" spans="24:30" x14ac:dyDescent="0.35">
      <c r="X436" s="304" t="str">
        <f>IF(SW!C98="","",SW!C98)</f>
        <v>7-600 PARKING / TOLLS</v>
      </c>
      <c r="Y436" s="789">
        <f>IF(SW!D98="","",SW!D98)</f>
        <v>0</v>
      </c>
      <c r="Z436" s="790" t="str">
        <f>IF(SW!E98="","",SW!E98)</f>
        <v/>
      </c>
      <c r="AA436" s="791" t="str">
        <f>IF(SW!F98="","",SW!F98)</f>
        <v>5-400 TOOLS &amp; SMALL EQUIPMENT</v>
      </c>
      <c r="AB436" s="792" t="str">
        <f>IF(SW!G98="","",SW!G98)</f>
        <v/>
      </c>
      <c r="AC436" s="843" t="str">
        <f>IF(SW!H98="","",SW!H98)</f>
        <v/>
      </c>
      <c r="AD436" s="844" t="str">
        <f>IF(SW!I98="","",SW!I98)</f>
        <v/>
      </c>
    </row>
    <row r="437" spans="24:30" x14ac:dyDescent="0.35">
      <c r="X437" s="304" t="str">
        <f>IF(SW!C99="","",SW!C99)</f>
        <v>5-500 CONSUMABLES SUPPLIES-BOX STORE</v>
      </c>
      <c r="Y437" s="843" t="str">
        <f>IF(SW!D99="","",SW!D99)</f>
        <v/>
      </c>
      <c r="Z437" s="844" t="str">
        <f>IF(SW!E99="","",SW!E99)</f>
        <v/>
      </c>
      <c r="AA437" s="791" t="str">
        <f>IF(SW!F99="","",SW!F99)</f>
        <v>5-600 IN-HOUSE EQUIPMENT COST</v>
      </c>
      <c r="AB437" s="792" t="str">
        <f>IF(SW!G99="","",SW!G99)</f>
        <v/>
      </c>
      <c r="AC437" s="843" t="str">
        <f>IF(SW!H99="","",SW!H99)</f>
        <v/>
      </c>
      <c r="AD437" s="844" t="str">
        <f>IF(SW!I99="","",SW!I99)</f>
        <v/>
      </c>
    </row>
    <row r="438" spans="24:30" ht="15" thickBot="1" x14ac:dyDescent="0.4">
      <c r="X438" s="306" t="str">
        <f>IF(SW!C100="","",SW!C100)</f>
        <v>5-550 PO CONSUMABLES SUPPLIES</v>
      </c>
      <c r="Y438" s="845" t="str">
        <f>IF(SW!D100="","",SW!D100)</f>
        <v/>
      </c>
      <c r="Z438" s="846" t="str">
        <f>IF(SW!E100="","",SW!E100)</f>
        <v/>
      </c>
      <c r="AA438" s="799" t="str">
        <f>IF(SW!F100="","",SW!F100)</f>
        <v>5-900 MISC. EXPENSES</v>
      </c>
      <c r="AB438" s="800" t="str">
        <f>IF(SW!G100="","",SW!G100)</f>
        <v/>
      </c>
      <c r="AC438" s="830">
        <f>IF(SW!H100="","",SW!H100)</f>
        <v>0</v>
      </c>
      <c r="AD438" s="831" t="str">
        <f>IF(SW!I100="","",SW!I100)</f>
        <v/>
      </c>
    </row>
    <row r="439" spans="24:30" ht="7.5" customHeight="1" thickBot="1" x14ac:dyDescent="0.4">
      <c r="X439" s="254" t="str">
        <f>IF(SW!C101="","",SW!C101)</f>
        <v/>
      </c>
      <c r="Y439" s="256" t="str">
        <f>IF(SW!D101="","",SW!D101)</f>
        <v/>
      </c>
      <c r="Z439" s="256" t="str">
        <f>IF(SW!E101="","",SW!E101)</f>
        <v/>
      </c>
      <c r="AA439" s="256" t="str">
        <f>IF(SW!F101="","",SW!F101)</f>
        <v>5-901 CONTINGENCY</v>
      </c>
      <c r="AB439" s="256" t="str">
        <f>IF(SW!G101="","",SW!G101)</f>
        <v/>
      </c>
      <c r="AC439" s="256">
        <f>IF(SW!H101="","",SW!H101)</f>
        <v>0</v>
      </c>
      <c r="AD439" s="256" t="str">
        <f>IF(SW!I101="","",SW!I101)</f>
        <v/>
      </c>
    </row>
    <row r="440" spans="24:30" ht="15" thickBot="1" x14ac:dyDescent="0.4">
      <c r="X440" s="801" t="str">
        <f>IF(SW!C103="","",SW!C103)</f>
        <v>PM COSTS</v>
      </c>
      <c r="Y440" s="802" t="str">
        <f>IF(SW!D103="","",SW!D103)</f>
        <v/>
      </c>
      <c r="Z440" s="802" t="str">
        <f>IF(SW!E103="","",SW!E103)</f>
        <v/>
      </c>
      <c r="AA440" s="802" t="str">
        <f>IF(SW!F103="","",SW!F103)</f>
        <v/>
      </c>
      <c r="AB440" s="802" t="str">
        <f>IF(SW!G103="","",SW!G103)</f>
        <v/>
      </c>
      <c r="AC440" s="802" t="str">
        <f>IF(SW!H103="","",SW!H103)</f>
        <v/>
      </c>
      <c r="AD440" s="803" t="str">
        <f>IF(SW!I103="","",SW!I103)</f>
        <v/>
      </c>
    </row>
    <row r="441" spans="24:30" x14ac:dyDescent="0.35">
      <c r="X441" s="302" t="str">
        <f>IF(SW!C104="","",SW!C104)</f>
        <v>7-910 PM AIRLINE EXPENSES</v>
      </c>
      <c r="Y441" s="847" t="str">
        <f>IF(SW!D104="","",SW!D104)</f>
        <v/>
      </c>
      <c r="Z441" s="848" t="str">
        <f>IF(SW!E104="","",SW!E104)</f>
        <v/>
      </c>
      <c r="AA441" s="808" t="str">
        <f>IF(SW!F104="","",SW!F104)</f>
        <v>7-940 PM MILEAGE/FUEL EXPENSE</v>
      </c>
      <c r="AB441" s="809" t="str">
        <f>IF(SW!G104="","",SW!G104)</f>
        <v/>
      </c>
      <c r="AC441" s="847" t="str">
        <f>IF(SW!H104="","",SW!H104)</f>
        <v/>
      </c>
      <c r="AD441" s="848" t="str">
        <f>IF(SW!I104="","",SW!I104)</f>
        <v/>
      </c>
    </row>
    <row r="442" spans="24:30" x14ac:dyDescent="0.35">
      <c r="X442" s="304" t="str">
        <f>IF(SW!C105="","",SW!C105)</f>
        <v>7-920 PM HOTEL EXPENSES</v>
      </c>
      <c r="Y442" s="843" t="str">
        <f>IF(SW!D105="","",SW!D105)</f>
        <v/>
      </c>
      <c r="Z442" s="844" t="str">
        <f>IF(SW!E105="","",SW!E105)</f>
        <v/>
      </c>
      <c r="AA442" s="791" t="str">
        <f>IF(SW!F105="","",SW!F105)</f>
        <v>7-950 PM MEALS</v>
      </c>
      <c r="AB442" s="792" t="str">
        <f>IF(SW!G105="","",SW!G105)</f>
        <v/>
      </c>
      <c r="AC442" s="843" t="str">
        <f>IF(SW!H105="","",SW!H105)</f>
        <v/>
      </c>
      <c r="AD442" s="844" t="str">
        <f>IF(SW!I105="","",SW!I105)</f>
        <v/>
      </c>
    </row>
    <row r="443" spans="24:30" ht="15" thickBot="1" x14ac:dyDescent="0.4">
      <c r="X443" s="306" t="str">
        <f>IF(SW!C106="","",SW!C106)</f>
        <v>7-930 PM AUTO RENTAL</v>
      </c>
      <c r="Y443" s="845" t="str">
        <f>IF(SW!D106="","",SW!D106)</f>
        <v/>
      </c>
      <c r="Z443" s="846" t="str">
        <f>IF(SW!E106="","",SW!E106)</f>
        <v/>
      </c>
      <c r="AA443" s="799" t="str">
        <f>IF(SW!F106="","",SW!F106)</f>
        <v>7-960 PM PARKING / TOLLS</v>
      </c>
      <c r="AB443" s="800" t="str">
        <f>IF(SW!G106="","",SW!G106)</f>
        <v/>
      </c>
      <c r="AC443" s="845" t="str">
        <f>IF(SW!H106="","",SW!H106)</f>
        <v/>
      </c>
      <c r="AD443" s="846" t="str">
        <f>IF(SW!I106="","",SW!I106)</f>
        <v/>
      </c>
    </row>
    <row r="444" spans="24:30" ht="7.5" customHeight="1" thickBot="1" x14ac:dyDescent="0.4">
      <c r="X444" t="e">
        <f>IF(SW!#REF!="","",SW!#REF!)</f>
        <v>#REF!</v>
      </c>
    </row>
    <row r="445" spans="24:30" ht="19" thickBot="1" x14ac:dyDescent="0.5">
      <c r="X445" s="812" t="str">
        <f>IF(SW!M89="","",SW!M89)</f>
        <v>SUMMARY</v>
      </c>
      <c r="Y445" s="813" t="str">
        <f>IF(SW!N89="","",SW!N89)</f>
        <v/>
      </c>
      <c r="Z445" s="813" t="str">
        <f>IF(SW!O89="","",SW!O89)</f>
        <v/>
      </c>
      <c r="AA445" s="813" t="str">
        <f>IF(SW!P89="","",SW!P89)</f>
        <v/>
      </c>
      <c r="AB445" s="813" t="str">
        <f>IF(SW!Q89="","",SW!Q89)</f>
        <v/>
      </c>
      <c r="AC445" s="813" t="str">
        <f>IF(SW!R89="","",SW!R89)</f>
        <v/>
      </c>
      <c r="AD445" s="814" t="str">
        <f>IF(SW!S89="","",SW!S89)</f>
        <v/>
      </c>
    </row>
    <row r="446" spans="24:30" ht="15" thickBot="1" x14ac:dyDescent="0.4">
      <c r="X446" s="801" t="str">
        <f>IF(SW!M90="","",SW!M90)</f>
        <v xml:space="preserve">TAX AND TOTAL </v>
      </c>
      <c r="Y446" s="802" t="str">
        <f>IF(SW!N90="","",SW!N90)</f>
        <v/>
      </c>
      <c r="Z446" s="802" t="str">
        <f>IF(SW!O90="","",SW!O90)</f>
        <v/>
      </c>
      <c r="AA446" s="802" t="str">
        <f>IF(SW!P90="","",SW!P90)</f>
        <v>MARK UP</v>
      </c>
      <c r="AB446" s="802" t="str">
        <f>IF(SW!Q90="","",SW!Q90)</f>
        <v/>
      </c>
      <c r="AC446" s="802" t="str">
        <f>IF(SW!R90="","",SW!R90)</f>
        <v/>
      </c>
      <c r="AD446" s="803" t="str">
        <f>IF(SW!S90="","",SW!S90)</f>
        <v/>
      </c>
    </row>
    <row r="447" spans="24:30" x14ac:dyDescent="0.35">
      <c r="X447" s="303" t="str">
        <f>IF(SW!M91="","",SW!M91)</f>
        <v>SUBTOTAL</v>
      </c>
      <c r="Y447" s="870">
        <f ca="1">IF(SW!N91="","",SW!N91)</f>
        <v>0</v>
      </c>
      <c r="Z447" s="871" t="str">
        <f>IF(SW!O91="","",SW!O91)</f>
        <v/>
      </c>
      <c r="AA447" s="826" t="str">
        <f>IF(SW!P91="","",SW!P91)</f>
        <v>TAX - M|R|F</v>
      </c>
      <c r="AB447" s="827">
        <f>IF(SW!Q91="","",SW!Q91)</f>
        <v>0.1</v>
      </c>
      <c r="AC447" s="821">
        <f>IF(SW!R91="","",SW!R91)</f>
        <v>0.1</v>
      </c>
      <c r="AD447" s="822">
        <f>IF(SW!S91="","",SW!S91)</f>
        <v>0.1</v>
      </c>
    </row>
    <row r="448" spans="24:30" x14ac:dyDescent="0.35">
      <c r="X448" s="303" t="str">
        <f>IF(SW!M92="","",SW!M92)</f>
        <v>TAX ON MATERIALS</v>
      </c>
      <c r="Y448" s="789">
        <f ca="1">IF(SW!N92="","",SW!N92)</f>
        <v>0</v>
      </c>
      <c r="Z448" s="790" t="str">
        <f>IF(SW!O92="","",SW!O92)</f>
        <v/>
      </c>
      <c r="AA448" s="817" t="str">
        <f>IF(SW!P92="","",SW!P92)</f>
        <v>MARK UP %</v>
      </c>
      <c r="AB448" s="818" t="str">
        <f>IF(SW!Q92="","",SW!Q92)</f>
        <v/>
      </c>
      <c r="AC448" s="819">
        <f ca="1">IF(SW!R92="","",SW!R92)</f>
        <v>0</v>
      </c>
      <c r="AD448" s="820" t="str">
        <f>IF(SW!S92="","",SW!S92)</f>
        <v/>
      </c>
    </row>
    <row r="449" spans="24:30" x14ac:dyDescent="0.35">
      <c r="X449" s="303" t="str">
        <f>IF(SW!M93="","",SW!M93)</f>
        <v>TAX ON RENTALS</v>
      </c>
      <c r="Y449" s="789">
        <f>IF(SW!N93="","",SW!N93)</f>
        <v>0</v>
      </c>
      <c r="Z449" s="790" t="str">
        <f>IF(SW!O93="","",SW!O93)</f>
        <v/>
      </c>
      <c r="AA449" s="826" t="str">
        <f>IF(SW!P93="","",SW!P93)</f>
        <v>GROSS PROFIT %</v>
      </c>
      <c r="AB449" s="827" t="str">
        <f>IF(SW!Q93="","",SW!Q93)</f>
        <v/>
      </c>
      <c r="AC449" s="821">
        <f ca="1">IF(SW!R93="","",SW!R93)</f>
        <v>0</v>
      </c>
      <c r="AD449" s="822" t="str">
        <f>IF(SW!S93="","",SW!S93)</f>
        <v/>
      </c>
    </row>
    <row r="450" spans="24:30" x14ac:dyDescent="0.35">
      <c r="X450" s="303" t="str">
        <f>IF(SW!M94="","",SW!M94)</f>
        <v>TAX ON FREIGHT</v>
      </c>
      <c r="Y450" s="789">
        <f>IF(SW!N94="","",SW!N94)</f>
        <v>0</v>
      </c>
      <c r="Z450" s="790" t="str">
        <f>IF(SW!O94="","",SW!O94)</f>
        <v/>
      </c>
      <c r="AA450" s="826" t="str">
        <f>IF(SW!P94="","",SW!P94)</f>
        <v>MARK UP $</v>
      </c>
      <c r="AB450" s="827" t="str">
        <f>IF(SW!Q94="","",SW!Q94)</f>
        <v/>
      </c>
      <c r="AC450" s="795">
        <f ca="1">IF(SW!R94="","",SW!R94)</f>
        <v>0</v>
      </c>
      <c r="AD450" s="796" t="str">
        <f>IF(SW!S94="","",SW!S94)</f>
        <v/>
      </c>
    </row>
    <row r="451" spans="24:30" ht="15" thickBot="1" x14ac:dyDescent="0.4">
      <c r="X451" s="303" t="str">
        <f>IF(SW!M95="","",SW!M95)</f>
        <v>WARRANTY MARKUP ( 0.7% )</v>
      </c>
      <c r="Y451" s="828">
        <f>IF(SW!N95="","",SW!N95)</f>
        <v>0</v>
      </c>
      <c r="Z451" s="829" t="str">
        <f>IF(SW!O95="","",SW!O95)</f>
        <v/>
      </c>
      <c r="AA451" s="839" t="str">
        <f>IF(SW!P95="","",SW!P95)</f>
        <v/>
      </c>
      <c r="AB451" s="840" t="str">
        <f>IF(SW!Q95="","",SW!Q95)</f>
        <v/>
      </c>
      <c r="AC451" s="868" t="str">
        <f>IF(SW!R95="","",SW!R95)</f>
        <v/>
      </c>
      <c r="AD451" s="869" t="str">
        <f>IF(SW!S95="","",SW!S95)</f>
        <v/>
      </c>
    </row>
    <row r="452" spans="24:30" ht="15" thickBot="1" x14ac:dyDescent="0.4">
      <c r="X452" s="833" t="str">
        <f ca="1">IF(SW!M97="","",SW!M97)</f>
        <v>CUSTOMER BID AMOUNT ($0.00 Recommended)</v>
      </c>
      <c r="Y452" s="834" t="str">
        <f>IF(SW!N97="","",SW!N97)</f>
        <v/>
      </c>
      <c r="Z452" s="834" t="str">
        <f>IF(SW!O97="","",SW!O97)</f>
        <v/>
      </c>
      <c r="AA452" s="835" t="str">
        <f>IF(SW!P97="","",SW!P97)</f>
        <v/>
      </c>
      <c r="AB452" s="859" t="str">
        <f>IF(SW!Q97="","",SW!Q97)</f>
        <v/>
      </c>
      <c r="AC452" s="860" t="str">
        <f>IF(SW!R97="","",SW!R97)</f>
        <v/>
      </c>
      <c r="AD452" s="861" t="str">
        <f>IF(SW!S97="","",SW!S97)</f>
        <v/>
      </c>
    </row>
    <row r="453" spans="24:30" ht="7.5" customHeight="1" thickBot="1" x14ac:dyDescent="0.4">
      <c r="X453" s="254" t="str">
        <f>IF(SW!M98="","",SW!M98)</f>
        <v/>
      </c>
      <c r="Y453" s="256" t="str">
        <f>IF(SW!N98="","",SW!N98)</f>
        <v/>
      </c>
      <c r="Z453" s="256" t="str">
        <f>IF(SW!O98="","",SW!O98)</f>
        <v/>
      </c>
      <c r="AA453" s="256" t="str">
        <f>IF(SW!P107="","",SW!P107)</f>
        <v>Total Sq. Ft.</v>
      </c>
      <c r="AB453" s="256">
        <f>IF(SW!Q107="","",SW!Q107)</f>
        <v>0</v>
      </c>
      <c r="AC453" s="256" t="str">
        <f>IF(SW!R107="","",SW!R107)</f>
        <v>Cost Per Sq. Ft.</v>
      </c>
      <c r="AD453" s="256" t="str">
        <f>IF(SW!S107="","",SW!S107)</f>
        <v/>
      </c>
    </row>
    <row r="454" spans="24:30" ht="15" thickBot="1" x14ac:dyDescent="0.4">
      <c r="X454" s="823" t="str">
        <f>IF(SW!M99="","",SW!M99)</f>
        <v>NOTES</v>
      </c>
      <c r="Y454" s="824" t="str">
        <f>IF(SW!N99="","",SW!N99)</f>
        <v/>
      </c>
      <c r="Z454" s="824" t="str">
        <f>IF(SW!O99="","",SW!O99)</f>
        <v/>
      </c>
      <c r="AA454" s="824" t="str">
        <f>IF(SW!P99="","",SW!P99)</f>
        <v/>
      </c>
      <c r="AB454" s="824" t="str">
        <f>IF(SW!Q99="","",SW!Q99)</f>
        <v/>
      </c>
      <c r="AC454" s="824" t="str">
        <f>IF(SW!R99="","",SW!R99)</f>
        <v/>
      </c>
      <c r="AD454" s="825" t="str">
        <f>IF(SW!S99="","",SW!S99)</f>
        <v/>
      </c>
    </row>
    <row r="455" spans="24:30" x14ac:dyDescent="0.35">
      <c r="X455" s="862" t="str">
        <f>IF(SW!M100="","",SW!M100)</f>
        <v/>
      </c>
      <c r="Y455" s="863" t="str">
        <f>IF(SW!N100="","",SW!N100)</f>
        <v/>
      </c>
      <c r="Z455" s="863" t="str">
        <f>IF(SW!O100="","",SW!O100)</f>
        <v/>
      </c>
      <c r="AA455" s="863" t="str">
        <f>IF(SW!P100="","",SW!P100)</f>
        <v/>
      </c>
      <c r="AB455" s="863" t="str">
        <f>IF(SW!Q100="","",SW!Q100)</f>
        <v/>
      </c>
      <c r="AC455" s="863" t="str">
        <f>IF(SW!R100="","",SW!R100)</f>
        <v/>
      </c>
      <c r="AD455" s="864" t="str">
        <f>IF(SW!S100="","",SW!S100)</f>
        <v/>
      </c>
    </row>
    <row r="456" spans="24:30" x14ac:dyDescent="0.35">
      <c r="X456" s="862" t="str">
        <f>IF(SW!M101="","",SW!M101)</f>
        <v/>
      </c>
      <c r="Y456" s="863" t="str">
        <f>IF(SW!N101="","",SW!N101)</f>
        <v/>
      </c>
      <c r="Z456" s="863" t="str">
        <f>IF(SW!O101="","",SW!O101)</f>
        <v/>
      </c>
      <c r="AA456" s="863" t="str">
        <f>IF(SW!P101="","",SW!P101)</f>
        <v/>
      </c>
      <c r="AB456" s="863" t="str">
        <f>IF(SW!Q101="","",SW!Q101)</f>
        <v/>
      </c>
      <c r="AC456" s="863" t="str">
        <f>IF(SW!R101="","",SW!R101)</f>
        <v/>
      </c>
      <c r="AD456" s="864" t="str">
        <f>IF(SW!S101="","",SW!S101)</f>
        <v/>
      </c>
    </row>
    <row r="457" spans="24:30" x14ac:dyDescent="0.35">
      <c r="X457" s="862" t="str">
        <f>IF(SW!M102="","",SW!M102)</f>
        <v/>
      </c>
      <c r="Y457" s="863" t="str">
        <f>IF(SW!N102="","",SW!N102)</f>
        <v/>
      </c>
      <c r="Z457" s="863" t="str">
        <f>IF(SW!O102="","",SW!O102)</f>
        <v/>
      </c>
      <c r="AA457" s="863" t="str">
        <f>IF(SW!P102="","",SW!P102)</f>
        <v/>
      </c>
      <c r="AB457" s="863" t="str">
        <f>IF(SW!Q102="","",SW!Q102)</f>
        <v/>
      </c>
      <c r="AC457" s="863" t="str">
        <f>IF(SW!R102="","",SW!R102)</f>
        <v/>
      </c>
      <c r="AD457" s="864" t="str">
        <f>IF(SW!S102="","",SW!S102)</f>
        <v/>
      </c>
    </row>
    <row r="458" spans="24:30" ht="7.5" customHeight="1" x14ac:dyDescent="0.35">
      <c r="X458" s="862" t="str">
        <f>IF(SW!M103="","",SW!M103)</f>
        <v/>
      </c>
      <c r="Y458" s="863" t="str">
        <f>IF(SW!N103="","",SW!N103)</f>
        <v/>
      </c>
      <c r="Z458" s="863" t="str">
        <f>IF(SW!O103="","",SW!O103)</f>
        <v/>
      </c>
      <c r="AA458" s="863" t="str">
        <f>IF(SW!P103="","",SW!P103)</f>
        <v/>
      </c>
      <c r="AB458" s="863" t="str">
        <f>IF(SW!Q103="","",SW!Q103)</f>
        <v/>
      </c>
      <c r="AC458" s="863" t="str">
        <f>IF(SW!R103="","",SW!R103)</f>
        <v/>
      </c>
      <c r="AD458" s="864" t="str">
        <f>IF(SW!S103="","",SW!S103)</f>
        <v/>
      </c>
    </row>
    <row r="459" spans="24:30" x14ac:dyDescent="0.35">
      <c r="X459" s="862" t="str">
        <f>IF(SW!M104="","",SW!M104)</f>
        <v/>
      </c>
      <c r="Y459" s="863" t="str">
        <f>IF(SW!N104="","",SW!N104)</f>
        <v/>
      </c>
      <c r="Z459" s="863" t="str">
        <f>IF(SW!O104="","",SW!O104)</f>
        <v/>
      </c>
      <c r="AA459" s="863" t="str">
        <f>IF(SW!P104="","",SW!P104)</f>
        <v/>
      </c>
      <c r="AB459" s="863" t="str">
        <f>IF(SW!Q104="","",SW!Q104)</f>
        <v/>
      </c>
      <c r="AC459" s="863" t="str">
        <f>IF(SW!R104="","",SW!R104)</f>
        <v/>
      </c>
      <c r="AD459" s="864" t="str">
        <f>IF(SW!S104="","",SW!S104)</f>
        <v/>
      </c>
    </row>
    <row r="460" spans="24:30" x14ac:dyDescent="0.35">
      <c r="X460" s="862" t="str">
        <f>IF(SW!M105="","",SW!M105)</f>
        <v/>
      </c>
      <c r="Y460" s="863" t="str">
        <f>IF(SW!N105="","",SW!N105)</f>
        <v/>
      </c>
      <c r="Z460" s="863" t="str">
        <f>IF(SW!O105="","",SW!O105)</f>
        <v/>
      </c>
      <c r="AA460" s="863" t="str">
        <f>IF(SW!P105="","",SW!P105)</f>
        <v/>
      </c>
      <c r="AB460" s="863" t="str">
        <f>IF(SW!Q105="","",SW!Q105)</f>
        <v/>
      </c>
      <c r="AC460" s="863" t="str">
        <f>IF(SW!R105="","",SW!R105)</f>
        <v/>
      </c>
      <c r="AD460" s="864" t="str">
        <f>IF(SW!S105="","",SW!S105)</f>
        <v/>
      </c>
    </row>
    <row r="461" spans="24:30" x14ac:dyDescent="0.35">
      <c r="X461" s="862" t="e">
        <f>IF(SW!#REF!="","",SW!#REF!)</f>
        <v>#REF!</v>
      </c>
      <c r="Y461" s="863" t="e">
        <f>IF(SW!#REF!="","",SW!#REF!)</f>
        <v>#REF!</v>
      </c>
      <c r="Z461" s="863" t="e">
        <f>IF(SW!#REF!="","",SW!#REF!)</f>
        <v>#REF!</v>
      </c>
      <c r="AA461" s="863" t="e">
        <f>IF(SW!#REF!="","",SW!#REF!)</f>
        <v>#REF!</v>
      </c>
      <c r="AB461" s="863" t="e">
        <f>IF(SW!#REF!="","",SW!#REF!)</f>
        <v>#REF!</v>
      </c>
      <c r="AC461" s="863" t="e">
        <f>IF(SW!#REF!="","",SW!#REF!)</f>
        <v>#REF!</v>
      </c>
      <c r="AD461" s="864" t="e">
        <f>IF(SW!#REF!="","",SW!#REF!)</f>
        <v>#REF!</v>
      </c>
    </row>
    <row r="462" spans="24:30" ht="15" thickBot="1" x14ac:dyDescent="0.4">
      <c r="X462" s="865" t="str">
        <f>IF(SW!M106="","",SW!M106)</f>
        <v/>
      </c>
      <c r="Y462" s="866" t="str">
        <f>IF(SW!N106="","",SW!N106)</f>
        <v/>
      </c>
      <c r="Z462" s="866" t="str">
        <f>IF(SW!O106="","",SW!O106)</f>
        <v/>
      </c>
      <c r="AA462" s="866" t="str">
        <f>IF(SW!P106="","",SW!P106)</f>
        <v/>
      </c>
      <c r="AB462" s="866" t="str">
        <f>IF(SW!Q106="","",SW!Q106)</f>
        <v/>
      </c>
      <c r="AC462" s="866" t="str">
        <f>IF(SW!R106="","",SW!R106)</f>
        <v/>
      </c>
      <c r="AD462" s="867" t="str">
        <f>IF(SW!S106="","",SW!S106)</f>
        <v/>
      </c>
    </row>
  </sheetData>
  <sheetProtection sheet="1" selectLockedCells="1"/>
  <mergeCells count="146">
    <mergeCell ref="C1:S1"/>
    <mergeCell ref="M100:S106"/>
    <mergeCell ref="X452:AA452"/>
    <mergeCell ref="AB452:AD452"/>
    <mergeCell ref="X454:AD454"/>
    <mergeCell ref="X455:AD462"/>
    <mergeCell ref="X383:AD383"/>
    <mergeCell ref="Y450:Z450"/>
    <mergeCell ref="AA450:AB450"/>
    <mergeCell ref="AC450:AD450"/>
    <mergeCell ref="Y451:Z451"/>
    <mergeCell ref="AA451:AB451"/>
    <mergeCell ref="AC451:AD451"/>
    <mergeCell ref="Y448:Z448"/>
    <mergeCell ref="AA448:AB448"/>
    <mergeCell ref="AC448:AD448"/>
    <mergeCell ref="Y449:Z449"/>
    <mergeCell ref="AA449:AB449"/>
    <mergeCell ref="AC449:AD449"/>
    <mergeCell ref="X445:AD445"/>
    <mergeCell ref="X446:Z446"/>
    <mergeCell ref="AA446:AD446"/>
    <mergeCell ref="Y447:Z447"/>
    <mergeCell ref="AA447:AB447"/>
    <mergeCell ref="AC447:AD447"/>
    <mergeCell ref="Y442:Z442"/>
    <mergeCell ref="AA442:AB442"/>
    <mergeCell ref="AC442:AD442"/>
    <mergeCell ref="Y443:Z443"/>
    <mergeCell ref="AA443:AB443"/>
    <mergeCell ref="AC443:AD443"/>
    <mergeCell ref="Y438:Z438"/>
    <mergeCell ref="AA438:AB438"/>
    <mergeCell ref="AC438:AD438"/>
    <mergeCell ref="X440:AD440"/>
    <mergeCell ref="Y441:Z441"/>
    <mergeCell ref="AA441:AB441"/>
    <mergeCell ref="AC441:AD441"/>
    <mergeCell ref="Y436:Z436"/>
    <mergeCell ref="AA436:AB436"/>
    <mergeCell ref="AC436:AD436"/>
    <mergeCell ref="Y437:Z437"/>
    <mergeCell ref="AA437:AB437"/>
    <mergeCell ref="AC437:AD437"/>
    <mergeCell ref="Y434:Z434"/>
    <mergeCell ref="AA434:AB434"/>
    <mergeCell ref="AC434:AD434"/>
    <mergeCell ref="Y435:Z435"/>
    <mergeCell ref="AA435:AB435"/>
    <mergeCell ref="AC435:AD435"/>
    <mergeCell ref="Y432:Z432"/>
    <mergeCell ref="AA432:AB432"/>
    <mergeCell ref="AC432:AD432"/>
    <mergeCell ref="Y433:Z433"/>
    <mergeCell ref="AA433:AB433"/>
    <mergeCell ref="AC433:AD433"/>
    <mergeCell ref="Y430:Z430"/>
    <mergeCell ref="AA430:AB430"/>
    <mergeCell ref="AC430:AD430"/>
    <mergeCell ref="Y431:Z431"/>
    <mergeCell ref="AA431:AB431"/>
    <mergeCell ref="AC431:AD431"/>
    <mergeCell ref="X405:AD405"/>
    <mergeCell ref="X427:AD427"/>
    <mergeCell ref="X428:AD428"/>
    <mergeCell ref="Y429:Z429"/>
    <mergeCell ref="AA429:AB429"/>
    <mergeCell ref="AC429:AD429"/>
    <mergeCell ref="M97:P97"/>
    <mergeCell ref="Q97:S97"/>
    <mergeCell ref="N94:O94"/>
    <mergeCell ref="P94:Q94"/>
    <mergeCell ref="R94:S94"/>
    <mergeCell ref="N95:O95"/>
    <mergeCell ref="P95:Q95"/>
    <mergeCell ref="R95:S95"/>
    <mergeCell ref="N96:O96"/>
    <mergeCell ref="P96:Q96"/>
    <mergeCell ref="R96:S96"/>
    <mergeCell ref="C2:S2"/>
    <mergeCell ref="C3:S3"/>
    <mergeCell ref="M4:S4"/>
    <mergeCell ref="C4:I4"/>
    <mergeCell ref="C22:I22"/>
    <mergeCell ref="C34:I34"/>
    <mergeCell ref="M34:S34"/>
    <mergeCell ref="M22:S22"/>
    <mergeCell ref="C67:I67"/>
    <mergeCell ref="M67:S67"/>
    <mergeCell ref="M51:S51"/>
    <mergeCell ref="C51:I51"/>
    <mergeCell ref="H91:I91"/>
    <mergeCell ref="F91:G91"/>
    <mergeCell ref="M89:S89"/>
    <mergeCell ref="M90:O90"/>
    <mergeCell ref="P90:S90"/>
    <mergeCell ref="N91:O91"/>
    <mergeCell ref="H92:I92"/>
    <mergeCell ref="H106:I106"/>
    <mergeCell ref="F98:G98"/>
    <mergeCell ref="H98:I98"/>
    <mergeCell ref="H99:I99"/>
    <mergeCell ref="F99:G99"/>
    <mergeCell ref="P92:Q92"/>
    <mergeCell ref="R92:S92"/>
    <mergeCell ref="R93:S93"/>
    <mergeCell ref="N92:O92"/>
    <mergeCell ref="M99:S99"/>
    <mergeCell ref="C89:I89"/>
    <mergeCell ref="C90:I90"/>
    <mergeCell ref="P93:Q93"/>
    <mergeCell ref="D101:E101"/>
    <mergeCell ref="F101:G101"/>
    <mergeCell ref="H101:I101"/>
    <mergeCell ref="D91:E91"/>
    <mergeCell ref="D106:E106"/>
    <mergeCell ref="F106:G106"/>
    <mergeCell ref="C103:I103"/>
    <mergeCell ref="D98:E98"/>
    <mergeCell ref="D96:E96"/>
    <mergeCell ref="H97:I97"/>
    <mergeCell ref="D105:E105"/>
    <mergeCell ref="F105:G105"/>
    <mergeCell ref="H105:I105"/>
    <mergeCell ref="H100:I100"/>
    <mergeCell ref="D104:E104"/>
    <mergeCell ref="F104:G104"/>
    <mergeCell ref="H104:I104"/>
    <mergeCell ref="D97:E97"/>
    <mergeCell ref="D92:E92"/>
    <mergeCell ref="D93:E93"/>
    <mergeCell ref="D94:E94"/>
    <mergeCell ref="F92:G92"/>
    <mergeCell ref="F93:G93"/>
    <mergeCell ref="D99:E99"/>
    <mergeCell ref="D100:E100"/>
    <mergeCell ref="N93:O93"/>
    <mergeCell ref="F94:G94"/>
    <mergeCell ref="D95:E95"/>
    <mergeCell ref="H96:I96"/>
    <mergeCell ref="F96:G96"/>
    <mergeCell ref="F97:G97"/>
    <mergeCell ref="H93:I93"/>
    <mergeCell ref="H94:I94"/>
    <mergeCell ref="H95:I95"/>
    <mergeCell ref="F95:G95"/>
  </mergeCells>
  <phoneticPr fontId="29" type="noConversion"/>
  <conditionalFormatting sqref="I69:I86">
    <cfRule type="expression" dxfId="27" priority="13">
      <formula>NOT(_xlfn.ISFORMULA(INDIRECT("rc",FALSE)))</formula>
    </cfRule>
  </conditionalFormatting>
  <conditionalFormatting sqref="P92 R92">
    <cfRule type="expression" dxfId="26" priority="1">
      <formula>$I$91&lt;=0.4</formula>
    </cfRule>
  </conditionalFormatting>
  <conditionalFormatting sqref="AA448 AC448">
    <cfRule type="expression" dxfId="25" priority="3">
      <formula>$I$87&lt;=0.4</formula>
    </cfRule>
  </conditionalFormatting>
  <dataValidations count="3">
    <dataValidation type="list" allowBlank="1" showInputMessage="1" showErrorMessage="1" sqref="E53:E56" xr:uid="{A4145644-3BD0-47A8-9366-6E029A4772B8}">
      <formula1>"5 GAL KIT,50 GAL KIT"</formula1>
    </dataValidation>
    <dataValidation type="list" allowBlank="1" showInputMessage="1" showErrorMessage="1" sqref="E57" xr:uid="{D812C1EE-22FF-4D45-A624-8A1479B23D50}">
      <formula1>"1 GAL KIT,5 GAL KIT"</formula1>
    </dataValidation>
    <dataValidation type="list" allowBlank="1" showInputMessage="1" showErrorMessage="1" sqref="E58" xr:uid="{C7ECA9CE-9305-4551-9249-F24A299FAC42}">
      <formula1>"5 LB KIT,55 LB KIT"</formula1>
    </dataValidation>
  </dataValidations>
  <printOptions horizontalCentered="1"/>
  <pageMargins left="0.2" right="0.2" top="0.2" bottom="0.2" header="0.05" footer="0.05"/>
  <pageSetup scale="66" fitToWidth="2" fitToHeight="0" orientation="portrait" r:id="rId1"/>
  <rowBreaks count="1" manualBreakCount="1">
    <brk id="66" max="19" man="1"/>
  </rowBreaks>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26">
        <x14:dataValidation type="list" allowBlank="1" showInputMessage="1" showErrorMessage="1" xr:uid="{AF742D21-237E-4453-A057-40118C73CA98}">
          <x14:formula1>
            <xm:f>P!$BJ$2:$BJ$16</xm:f>
          </x14:formula1>
          <xm:sqref>M24:M31</xm:sqref>
        </x14:dataValidation>
        <x14:dataValidation type="list" allowBlank="1" showInputMessage="1" showErrorMessage="1" xr:uid="{3486FE25-EEC7-4EE1-A5EC-5B072A57FA53}">
          <x14:formula1>
            <xm:f>P!$BL$2:$BL$16</xm:f>
          </x14:formula1>
          <xm:sqref>C6:C19</xm:sqref>
        </x14:dataValidation>
        <x14:dataValidation type="list" allowBlank="1" showInputMessage="1" showErrorMessage="1" xr:uid="{06D3E32A-17DE-47D0-BED9-F32E53DAFFF2}">
          <x14:formula1>
            <xm:f>P!$BN$17:$BN$35</xm:f>
          </x14:formula1>
          <xm:sqref>M6:M19</xm:sqref>
        </x14:dataValidation>
        <x14:dataValidation type="list" allowBlank="1" showInputMessage="1" showErrorMessage="1" xr:uid="{566D7210-D24A-4191-87A9-DFC4FE13326D}">
          <x14:formula1>
            <xm:f>IF(OR(M24=P!$BJ$2,M24=P!$BJ$4),P!$BH$157:$BH$175,P!$BH$157)</xm:f>
          </x14:formula1>
          <xm:sqref>N24:N31</xm:sqref>
        </x14:dataValidation>
        <x14:dataValidation type="list" allowBlank="1" showInputMessage="1" showErrorMessage="1" xr:uid="{878E9C0E-B051-4E52-B890-7DE3D33C1C84}">
          <x14:formula1>
            <xm:f>_xlfn.SWITCH(M24,P!$BJ$2,P!$BH$177:$BH$178,P!$BJ$3,P!$BH$176,P!$BJ$4,P!$BH$179:$BH$181,P!$BJ$5,P!$BH$182,P!$BJ$6,P!$BH$183,P!$BJ$7,P!$BH$184:$BH$185)</xm:f>
          </x14:formula1>
          <xm:sqref>O24:O31</xm:sqref>
        </x14:dataValidation>
        <x14:dataValidation type="list" allowBlank="1" showInputMessage="1" showErrorMessage="1" xr:uid="{6DE07602-14F6-44DD-A6DF-268679F5F2D9}">
          <x14:formula1>
            <xm:f>P!$BL$36:$BL$53</xm:f>
          </x14:formula1>
          <xm:sqref>M53:M64</xm:sqref>
        </x14:dataValidation>
        <x14:dataValidation type="list" allowBlank="1" showInputMessage="1" showErrorMessage="1" xr:uid="{EFC61F8C-AEA1-42BD-8B80-59E2B6B5172E}">
          <x14:formula1>
            <xm:f>P!$BN$2:$BN$16</xm:f>
          </x14:formula1>
          <xm:sqref>M36:M48</xm:sqref>
        </x14:dataValidation>
        <x14:dataValidation type="list" allowBlank="1" showInputMessage="1" showErrorMessage="1" xr:uid="{EACD39FC-8AB9-44D4-97AC-E0FEE8DCCD28}">
          <x14:formula1>
            <xm:f>P!$BJ$36:$BJ$55</xm:f>
          </x14:formula1>
          <xm:sqref>C36:C48</xm:sqref>
        </x14:dataValidation>
        <x14:dataValidation type="list" allowBlank="1" showInputMessage="1" showErrorMessage="1" xr:uid="{17B05D24-5EC8-4AC3-83E7-7D1D594D2817}">
          <x14:formula1>
            <xm:f>IF(C36="","",IF(OR(C36=P!$BJ$41,C36=P!$BJ$37),P!$BH$35,P!$BH$27:$BH$34))</xm:f>
          </x14:formula1>
          <xm:sqref>D36:D48</xm:sqref>
        </x14:dataValidation>
        <x14:dataValidation type="list" allowBlank="1" showInputMessage="1" showErrorMessage="1" xr:uid="{125F3654-42F0-4C2A-B581-0E97F67833FC}">
          <x14:formula1>
            <xm:f>P!$BL$17:$BL$35</xm:f>
          </x14:formula1>
          <xm:sqref>C53:C64</xm:sqref>
        </x14:dataValidation>
        <x14:dataValidation type="list" allowBlank="1" showInputMessage="1" showErrorMessage="1" xr:uid="{1D956AB6-04CE-4C36-AF64-271F81512A09}">
          <x14:formula1>
            <xm:f>IF(C53="","",_xlfn.SWITCH(C53,P!$BL$17,P!$BE$91:$BE$98,P!$BL$18,P!$BE$99:$BE$111,P!$BL$19,P!$BE$112:$BE$125,P!$BL$20,P!$BE$126:$BE$139,P!$BL$21,P!$BE$140:$BE$145,P!$BL$22,P!$BE$146,P!$BL$23,P!$BE$147:$BE$152,P!$BE$153))</xm:f>
          </x14:formula1>
          <xm:sqref>D53:D64</xm:sqref>
        </x14:dataValidation>
        <x14:dataValidation type="list" allowBlank="1" showInputMessage="1" showErrorMessage="1" xr:uid="{55A8DCBA-093D-461D-80E3-B0EF88955251}">
          <x14:formula1>
            <xm:f>P!$BJ$17:$BJ$35</xm:f>
          </x14:formula1>
          <xm:sqref>C24:C31</xm:sqref>
        </x14:dataValidation>
        <x14:dataValidation type="list" allowBlank="1" showInputMessage="1" showErrorMessage="1" xr:uid="{784042B2-5DDE-40A4-A79F-BAE926F18737}">
          <x14:formula1>
            <xm:f>IF(M74=P!$E$15,P!$M$38,P!$E$31:$E$32)</xm:f>
          </x14:formula1>
          <xm:sqref>O74:O77</xm:sqref>
        </x14:dataValidation>
        <x14:dataValidation type="list" allowBlank="1" showInputMessage="1" showErrorMessage="1" xr:uid="{AF79FD2D-5C34-4B3E-8594-0E786A4489D6}">
          <x14:formula1>
            <xm:f>P!$E$14:$E$27</xm:f>
          </x14:formula1>
          <xm:sqref>M74:M77</xm:sqref>
        </x14:dataValidation>
        <x14:dataValidation type="list" allowBlank="1" showInputMessage="1" showErrorMessage="1" xr:uid="{C3D6074E-BA28-42C3-B6F2-7C1E06CC1F7A}">
          <x14:formula1>
            <xm:f>IF(C36="","",IF(C36=P!$BD$89,P!$BF$89,P!$BF$88))</xm:f>
          </x14:formula1>
          <xm:sqref>E36:E48</xm:sqref>
        </x14:dataValidation>
        <x14:dataValidation type="list" allowBlank="1" showInputMessage="1" showErrorMessage="1" xr:uid="{ACD37FB3-A766-423D-A535-FDE9B5776003}">
          <x14:formula1>
            <xm:f>_xlfn.SWITCH(M36,P!$BN$5,P!$BE$280:$BE$299,P!$BE$273)</xm:f>
          </x14:formula1>
          <xm:sqref>N36:N48</xm:sqref>
        </x14:dataValidation>
        <x14:dataValidation type="list" allowBlank="1" showInputMessage="1" showErrorMessage="1" xr:uid="{7896E9AF-81A0-44D3-8A9C-AD842062A0C9}">
          <x14:formula1>
            <xm:f>IF(M53="","",_xlfn.SWITCH(M53,P!$BL$40,P!$BI$195,P!$BL$41,P!$BI$195,P!$BL$39,P!$BI$195,P!$BL$47,P!$BF$469:$BF$470,P!$BL$42,P!$BI$197,P!$BI$196))</xm:f>
          </x14:formula1>
          <xm:sqref>O53:O64</xm:sqref>
        </x14:dataValidation>
        <x14:dataValidation type="list" allowBlank="1" showInputMessage="1" showErrorMessage="1" xr:uid="{396F989E-F67C-429F-9969-3A9929137FF5}">
          <x14:formula1>
            <xm:f>_xlfn.SWITCH(M53,P!$BL$44,P!$BH$197,P!$BL$45,P!$BH$198,P!$BL$46,P!$BH$199,P!$BL$47,P!$BE$453:$BE$469,P!$BL$41,P!$BE$384:$BE$416,P!$BL$40,P!$BE$384:$BE$416,P!$BL$39,P!$BE$384:$BE$416,P!$BE$200)</xm:f>
          </x14:formula1>
          <xm:sqref>N53:N64</xm:sqref>
        </x14:dataValidation>
        <x14:dataValidation type="list" allowBlank="1" showInputMessage="1" showErrorMessage="1" xr:uid="{F76AED3E-BE93-4DB1-BEBA-9A8581958FEB}">
          <x14:formula1>
            <xm:f>IF( C6="", "", _xlfn.SWITCH( C6, P!$BL$4, P!$BE$14:$BE$17, P!$BL$3, P!$BE$8:$BE$10, P!$BL$8, P!$BE$536:$BE$537, P!$BE$6 ) )</xm:f>
          </x14:formula1>
          <xm:sqref>D6:D19</xm:sqref>
        </x14:dataValidation>
        <x14:dataValidation type="list" allowBlank="1" showInputMessage="1" showErrorMessage="1" xr:uid="{7C8F586C-1A13-4FB1-9F0E-E41FC0344B96}">
          <x14:formula1>
            <xm:f>_xlfn.SWITCH(     M36,     P!$BN$2, P!$BF$269:$BF$270,     P!$BN$3, P!$BF$551:$BF$553,     P!$BN$4, P!$BF$273:$BF$275,              P!$BF$278:$BF$279 )</xm:f>
          </x14:formula1>
          <xm:sqref>O36:O48</xm:sqref>
        </x14:dataValidation>
        <x14:dataValidation type="list" allowBlank="1" showInputMessage="1" showErrorMessage="1" xr:uid="{4376B13C-4D19-4CA0-BD10-BFEF05D1D8CD}">
          <x14:formula1>
            <xm:f>IF(   C24 = "",    "",   _xlfn.SWITCH(     C24,      P!$BJ$17, P!$BF$2,      P!$BJ$19, P!$BF$3,      P!$BJ$20, P!$BF$563:$BF$566,      P!$BJ$18, P!$BF$4    ) )</xm:f>
          </x14:formula1>
          <xm:sqref>E24:E31</xm:sqref>
        </x14:dataValidation>
        <x14:dataValidation type="list" allowBlank="1" showInputMessage="1" showErrorMessage="1" xr:uid="{9BF970F4-F0E6-40B7-8DA0-F7AB3AF5ECE9}">
          <x14:formula1>
            <xm:f>IF(   C24 = "",     "",   _xlfn.SWITCH(     C24,       P!$BJ$17, P!$BE$2,      P!$BJ$18, P!$BE$4:$BE$5,      P!$BJ$19, P!$BE$3,      P!$BJ$20, P!$BE$554:$BE$565    ) )</xm:f>
          </x14:formula1>
          <xm:sqref>D24:D31</xm:sqref>
        </x14:dataValidation>
        <x14:dataValidation type="list" allowBlank="1" showInputMessage="1" showErrorMessage="1" xr:uid="{1FE71D5B-79A4-4444-8202-853B4D2A93F8}">
          <x14:formula1>
            <xm:f>_xlfn.SWITCH(     M74,     P!$E$14, P!$L$37,     P!$E$15, P!$L$88:$L$91,      P!$E$16, P!$L$80:$L$84,      P!$E$17, P!$BE$531 )</xm:f>
          </x14:formula1>
          <xm:sqref>N74:N77</xm:sqref>
        </x14:dataValidation>
        <x14:dataValidation type="list" allowBlank="1" showInputMessage="1" showErrorMessage="1" xr:uid="{A0594535-455E-4BF0-A28B-377B06737163}">
          <x14:formula1>
            <xm:f>IF( C6="", "",_xlfn.SWITCH(C6,P!$BL$2,P!$BF$6:$BF$7,P!$BL$3,P!$BF$10:$BF$11,P!$BL$4,P!$BF$17:$BF$18,P!$BL$5,P!$BF$533:$BF$535,P!$BL$6,P!$BF$25:$BF$26,P!$BL$7,P!$BF$23:$BF$24,P!$BL$8,P!$BF$536:$BF$537))</xm:f>
          </x14:formula1>
          <xm:sqref>E6:E19</xm:sqref>
        </x14:dataValidation>
        <x14:dataValidation type="list" allowBlank="1" showInputMessage="1" showErrorMessage="1" xr:uid="{2878FAEC-0045-4E11-95E1-A4C8FDC6E3F8}">
          <x14:formula1>
            <xm:f>_xlfn.SWITCH(     M6,     P!$BN$21, P!$BE$206:$BE$207,     P!$BN$19, P!$BE$214:$BE$233,     P!$BN$18, P!$BE$254:$BE$257,     P!$BN$17, P!$BE$262:$BE$264,     P!$BN$23, P!$BE$267:$BE$270,     P!$BN$24, P!$BH$207,        P!$BN$25, P!$BE$4,      P!$BE$90  )</xm:f>
          </x14:formula1>
          <xm:sqref>N6:N19</xm:sqref>
        </x14:dataValidation>
        <x14:dataValidation type="list" allowBlank="1" showInputMessage="1" showErrorMessage="1" xr:uid="{21E12F66-F753-4DD2-9162-937B90ED983E}">
          <x14:formula1>
            <xm:f>_xlfn.SWITCH(     M6,     P!$BN$21, P!$BF$207:$BF$208,     P!$BN$20, P!$BF$538:$BF$540,     P!$BN$24, P!$BF$213,     P!$BN$25, P!$BF$536:$BF$537,     P!$BN$26, P!$BF$628:$BF$629,P!$BN$19, P!$BI$221:$BI$223,      P!$BF$233:$BF$234 )</xm:f>
          </x14:formula1>
          <xm:sqref>O6:O19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57D9-9BF2-438E-BAAB-43ADD8830649}">
  <sheetPr codeName="Sheet9">
    <tabColor rgb="FF75DBFF"/>
    <pageSetUpPr fitToPage="1"/>
  </sheetPr>
  <dimension ref="A1:AC688"/>
  <sheetViews>
    <sheetView showGridLines="0" zoomScale="70" zoomScaleNormal="70" workbookViewId="0">
      <pane ySplit="3" topLeftCell="A37" activePane="bottomLeft" state="frozen"/>
      <selection activeCell="D12" sqref="D12"/>
      <selection pane="bottomLeft" activeCell="O66" sqref="O66"/>
    </sheetView>
  </sheetViews>
  <sheetFormatPr defaultColWidth="16.54296875" defaultRowHeight="15" customHeight="1" x14ac:dyDescent="0.35"/>
  <cols>
    <col min="1" max="1" width="5" customWidth="1"/>
    <col min="2" max="2" width="20" hidden="1" customWidth="1"/>
    <col min="3" max="3" width="57.26953125" customWidth="1"/>
    <col min="4" max="4" width="17.26953125" customWidth="1"/>
    <col min="5" max="5" width="14.453125" customWidth="1"/>
    <col min="6" max="9" width="16.453125" customWidth="1"/>
    <col min="10" max="10" width="2.7265625" hidden="1" customWidth="1"/>
    <col min="11" max="11" width="5" customWidth="1"/>
    <col min="12" max="12" width="1.26953125" hidden="1" customWidth="1"/>
    <col min="13" max="13" width="57.26953125" customWidth="1"/>
    <col min="14" max="14" width="17.26953125" customWidth="1"/>
    <col min="15" max="15" width="14.453125" customWidth="1"/>
    <col min="16" max="18" width="16.453125" customWidth="1"/>
    <col min="19" max="19" width="16.453125" style="13" customWidth="1"/>
    <col min="20" max="20" width="16.54296875" hidden="1" customWidth="1"/>
    <col min="23" max="23" width="50" customWidth="1"/>
    <col min="24" max="24" width="17.26953125" customWidth="1"/>
    <col min="25" max="25" width="14.453125" customWidth="1"/>
    <col min="26" max="26" width="14.26953125" customWidth="1"/>
    <col min="27" max="28" width="18.54296875" customWidth="1"/>
  </cols>
  <sheetData>
    <row r="1" spans="1:22" s="254" customFormat="1" ht="26" x14ac:dyDescent="0.6">
      <c r="B1" s="255"/>
      <c r="C1" s="894" t="str">
        <f>"Tax Rate on PO Tab: "&amp;TEXT(PO!$Q$2,"##0.00#%")&amp;" Material / "&amp;TEXT(PO!$Q$4,"##0.00#%")&amp;" Rental / "&amp;TEXT(PO!$Q$6,"##0.00#%")&amp;" Freight"</f>
        <v>Tax Rate on PO Tab: 10.00% Material / 10.00% Rental / 10.00% Freight</v>
      </c>
      <c r="D1" s="894"/>
      <c r="E1" s="894"/>
      <c r="F1" s="894"/>
      <c r="G1" s="894"/>
      <c r="H1" s="894"/>
      <c r="I1" s="894"/>
      <c r="J1" s="894"/>
      <c r="K1" s="894"/>
      <c r="L1" s="894"/>
      <c r="M1" s="894"/>
      <c r="N1" s="894"/>
      <c r="O1" s="894"/>
      <c r="P1" s="894"/>
      <c r="Q1" s="894"/>
      <c r="R1" s="894"/>
      <c r="S1" s="894"/>
      <c r="T1" s="256"/>
    </row>
    <row r="2" spans="1:22" s="254" customFormat="1" ht="23.5" x14ac:dyDescent="0.55000000000000004">
      <c r="B2" s="255"/>
      <c r="C2" s="832" t="s">
        <v>764</v>
      </c>
      <c r="D2" s="832"/>
      <c r="E2" s="832"/>
      <c r="F2" s="832"/>
      <c r="G2" s="832"/>
      <c r="H2" s="832"/>
      <c r="I2" s="832"/>
      <c r="J2" s="832"/>
      <c r="K2" s="832"/>
      <c r="L2" s="832"/>
      <c r="M2" s="832"/>
      <c r="N2" s="832"/>
      <c r="O2" s="832"/>
      <c r="P2" s="832"/>
      <c r="Q2" s="832"/>
      <c r="R2" s="832"/>
      <c r="S2" s="832"/>
      <c r="T2" s="256"/>
    </row>
    <row r="3" spans="1:22" s="254" customFormat="1" ht="24" thickBot="1" x14ac:dyDescent="0.6">
      <c r="B3" s="255"/>
      <c r="C3" s="832" t="s">
        <v>765</v>
      </c>
      <c r="D3" s="832"/>
      <c r="E3" s="832"/>
      <c r="F3" s="832"/>
      <c r="G3" s="832"/>
      <c r="H3" s="832"/>
      <c r="I3" s="832"/>
      <c r="J3" s="832"/>
      <c r="K3" s="832"/>
      <c r="L3" s="832"/>
      <c r="M3" s="832"/>
      <c r="N3" s="832"/>
      <c r="O3" s="832"/>
      <c r="P3" s="832"/>
      <c r="Q3" s="832"/>
      <c r="R3" s="832"/>
      <c r="S3" s="832"/>
      <c r="T3" s="256"/>
    </row>
    <row r="4" spans="1:22" s="254" customFormat="1" ht="19" thickBot="1" x14ac:dyDescent="0.5">
      <c r="A4" s="67"/>
      <c r="B4" s="257" t="s">
        <v>470</v>
      </c>
      <c r="C4" s="812" t="s">
        <v>470</v>
      </c>
      <c r="D4" s="813"/>
      <c r="E4" s="813"/>
      <c r="F4" s="813"/>
      <c r="G4" s="813"/>
      <c r="H4" s="813"/>
      <c r="I4" s="814"/>
      <c r="J4" s="259"/>
      <c r="K4" s="67"/>
      <c r="L4" s="257" t="s">
        <v>368</v>
      </c>
      <c r="M4" s="812" t="s">
        <v>368</v>
      </c>
      <c r="N4" s="813"/>
      <c r="O4" s="813"/>
      <c r="P4" s="813"/>
      <c r="Q4" s="813"/>
      <c r="R4" s="813"/>
      <c r="S4" s="814"/>
      <c r="T4" s="259"/>
      <c r="U4" s="67"/>
    </row>
    <row r="5" spans="1:22" ht="15" customHeight="1" thickBot="1" x14ac:dyDescent="0.4">
      <c r="B5" s="260" t="s">
        <v>185</v>
      </c>
      <c r="C5" s="261" t="s">
        <v>181</v>
      </c>
      <c r="D5" s="262" t="s">
        <v>334</v>
      </c>
      <c r="E5" s="262" t="s">
        <v>182</v>
      </c>
      <c r="F5" s="263" t="s">
        <v>183</v>
      </c>
      <c r="G5" s="263" t="s">
        <v>184</v>
      </c>
      <c r="H5" s="264" t="s">
        <v>196</v>
      </c>
      <c r="I5" s="265" t="s">
        <v>156</v>
      </c>
      <c r="J5" s="266"/>
      <c r="L5" s="267" t="s">
        <v>185</v>
      </c>
      <c r="M5" s="261" t="s">
        <v>181</v>
      </c>
      <c r="N5" s="262" t="s">
        <v>334</v>
      </c>
      <c r="O5" s="262" t="s">
        <v>182</v>
      </c>
      <c r="P5" s="263" t="s">
        <v>183</v>
      </c>
      <c r="Q5" s="263" t="s">
        <v>184</v>
      </c>
      <c r="R5" s="264" t="s">
        <v>196</v>
      </c>
      <c r="S5" s="214" t="s">
        <v>156</v>
      </c>
      <c r="U5" s="67"/>
      <c r="V5" s="68"/>
    </row>
    <row r="6" spans="1:22" ht="15" customHeight="1" x14ac:dyDescent="0.35">
      <c r="B6" s="268" t="str">
        <f ca="1">IF(C6="","",_xlfn.XLOOKUP(_xlfn.CONCAT(C6:E6),P!$J:$J,P!$I:$I,"UNAVAILABLE"))</f>
        <v>S-DEB-5</v>
      </c>
      <c r="C6" s="426" t="s">
        <v>490</v>
      </c>
      <c r="D6" s="269" t="str">
        <f t="shared" ref="D6:D18" si="0">IFERROR(IF(C6="","","N/A"),"")</f>
        <v>N/A</v>
      </c>
      <c r="E6" s="422" t="s">
        <v>412</v>
      </c>
      <c r="F6" s="405"/>
      <c r="G6" s="16">
        <f ca="1">IFERROR(VLOOKUP(B6,P!$X:$Z,3,FALSE),0)</f>
        <v>396.00000000000006</v>
      </c>
      <c r="H6" s="5"/>
      <c r="I6" s="44">
        <f ca="1">IF(RIOEPOXY[[#This Row],[QUOTED RATE]]="",RIOEPOXY[[#This Row],[UNIT RATE]]*RIOEPOXY[[#This Row],[QTY]],RIOEPOXY[[#This Row],[QUOTED RATE]]*RIOEPOXY[[#This Row],[QTY]])</f>
        <v>0</v>
      </c>
      <c r="J6" s="78"/>
      <c r="L6" s="268" t="str">
        <f ca="1">IF(M6="","",_xlfn.XLOOKUP(_xlfn.CONCAT(M6:O6),P!$J:$J,P!$I:$I,"UNAVAILABLE"))</f>
        <v>S-GCA-5</v>
      </c>
      <c r="M6" s="247" t="s">
        <v>474</v>
      </c>
      <c r="N6" s="245" t="s">
        <v>398</v>
      </c>
      <c r="O6" s="245" t="s">
        <v>412</v>
      </c>
      <c r="P6" s="431">
        <f>IF($V$6&gt;0,$V$6,0)</f>
        <v>0</v>
      </c>
      <c r="Q6" s="16">
        <f ca="1">IFERROR(VLOOKUP(L6,P!$X:$Z,3,FALSE),0)</f>
        <v>231.00000000000003</v>
      </c>
      <c r="R6" s="5"/>
      <c r="S6" s="44">
        <f ca="1">IF(Table21[[#This Row],[QUOTED RATE]]="",Table21[[#This Row],[UNIT RATE]]*Table21[[#This Row],[QTY]],Table21[[#This Row],[QUOTED RATE]]*Table21[[#This Row],[QTY]])</f>
        <v>0</v>
      </c>
      <c r="U6" s="67">
        <f ca="1">ROUNDUP(SUM(U10:U18),0)</f>
        <v>0</v>
      </c>
      <c r="V6" s="67">
        <f>MOD(_xlfn.CEILING.MATH(SUM(V10:V18),5)/5,10)</f>
        <v>0</v>
      </c>
    </row>
    <row r="7" spans="1:22" ht="15" customHeight="1" x14ac:dyDescent="0.35">
      <c r="B7" s="268" t="str">
        <f ca="1">IF(C7="","",_xlfn.XLOOKUP(_xlfn.CONCAT(C7:E7),P!$J:$J,P!$I:$I,"UNAVAILABLE"))</f>
        <v>S-GPR-3</v>
      </c>
      <c r="C7" s="426" t="s">
        <v>491</v>
      </c>
      <c r="D7" s="245" t="str">
        <f t="shared" si="0"/>
        <v>N/A</v>
      </c>
      <c r="E7" s="422" t="s">
        <v>407</v>
      </c>
      <c r="F7" s="406"/>
      <c r="G7" s="16">
        <f ca="1">IFERROR(VLOOKUP(B7,P!$X:$Z,3,FALSE),0)</f>
        <v>178.11199999999999</v>
      </c>
      <c r="H7" s="6"/>
      <c r="I7" s="45">
        <f ca="1">IF(RIOEPOXY[[#This Row],[QUOTED RATE]]="",RIOEPOXY[[#This Row],[UNIT RATE]]*RIOEPOXY[[#This Row],[QTY]],RIOEPOXY[[#This Row],[QUOTED RATE]]*RIOEPOXY[[#This Row],[QTY]])</f>
        <v>0</v>
      </c>
      <c r="J7" s="78"/>
      <c r="L7" s="268" t="str">
        <f ca="1">IF(M7="","",_xlfn.XLOOKUP(_xlfn.CONCAT(M7:O7),P!$J:$J,P!$I:$I,"UNAVAILABLE"))</f>
        <v>S-GCB-5</v>
      </c>
      <c r="M7" s="247" t="s">
        <v>475</v>
      </c>
      <c r="N7" s="245" t="s">
        <v>398</v>
      </c>
      <c r="O7" s="245" t="s">
        <v>412</v>
      </c>
      <c r="P7" s="431">
        <f>IF($V$6&gt;0,$V$6,0)</f>
        <v>0</v>
      </c>
      <c r="Q7" s="16">
        <f ca="1">IFERROR(VLOOKUP(L7,P!$X:$Z,3,FALSE),0)</f>
        <v>231.00000000000003</v>
      </c>
      <c r="R7" s="6"/>
      <c r="S7" s="45">
        <f ca="1">IF(Table21[[#This Row],[QUOTED RATE]]="",Table21[[#This Row],[UNIT RATE]]*Table21[[#This Row],[QTY]],Table21[[#This Row],[QUOTED RATE]]*Table21[[#This Row],[QTY]])</f>
        <v>0</v>
      </c>
      <c r="U7" s="67">
        <f ca="1">(SUM(U10:U18))</f>
        <v>0</v>
      </c>
      <c r="V7" s="67">
        <f>QUOTIENT(_xlfn.CEILING.MATH(SUM(V10:V18),5)/5,10)</f>
        <v>0</v>
      </c>
    </row>
    <row r="8" spans="1:22" ht="15" customHeight="1" x14ac:dyDescent="0.35">
      <c r="B8" s="268" t="str">
        <f ca="1">IF(C8="","",_xlfn.XLOOKUP(_xlfn.CONCAT(C8:E8),P!$J:$J,P!$I:$I,"UNAVAILABLE"))</f>
        <v>FIBERTAPE</v>
      </c>
      <c r="C8" s="426" t="s">
        <v>492</v>
      </c>
      <c r="D8" s="245" t="str">
        <f t="shared" si="0"/>
        <v>N/A</v>
      </c>
      <c r="E8" s="422" t="s">
        <v>495</v>
      </c>
      <c r="F8" s="405"/>
      <c r="G8" s="16">
        <f ca="1">IFERROR(VLOOKUP(B8,P!$X:$Z,3,FALSE),0)</f>
        <v>33.178200000000004</v>
      </c>
      <c r="H8" s="6"/>
      <c r="I8" s="45">
        <f ca="1">IF(RIOEPOXY[[#This Row],[QUOTED RATE]]="",RIOEPOXY[[#This Row],[UNIT RATE]]*RIOEPOXY[[#This Row],[QTY]],RIOEPOXY[[#This Row],[QUOTED RATE]]*RIOEPOXY[[#This Row],[QTY]])</f>
        <v>0</v>
      </c>
      <c r="J8" s="78"/>
      <c r="L8" s="268" t="str">
        <f ca="1">IF(M8="","",_xlfn.XLOOKUP(_xlfn.CONCAT(M8:O8),P!$J:$J,P!$I:$I,"UNAVAILABLE"))</f>
        <v>S-GCA-50</v>
      </c>
      <c r="M8" s="247" t="s">
        <v>474</v>
      </c>
      <c r="N8" s="245" t="s">
        <v>398</v>
      </c>
      <c r="O8" s="245" t="s">
        <v>501</v>
      </c>
      <c r="P8" s="431">
        <f>IF($V$7&gt;0,$V$7,0)</f>
        <v>0</v>
      </c>
      <c r="Q8" s="16">
        <f ca="1">IFERROR(VLOOKUP(L8,P!$X:$Z,3,FALSE),0)</f>
        <v>2211</v>
      </c>
      <c r="R8" s="6"/>
      <c r="S8" s="45">
        <f ca="1">IF(Table21[[#This Row],[QUOTED RATE]]="",Table21[[#This Row],[UNIT RATE]]*Table21[[#This Row],[QTY]],Table21[[#This Row],[QUOTED RATE]]*Table21[[#This Row],[QTY]])</f>
        <v>0</v>
      </c>
      <c r="U8" s="67">
        <f ca="1">COUNTIF($U$10:$U$18,"&gt;0")</f>
        <v>0</v>
      </c>
      <c r="V8" s="67">
        <f>SUM(V10:V18)/5</f>
        <v>0</v>
      </c>
    </row>
    <row r="9" spans="1:22" ht="15" customHeight="1" x14ac:dyDescent="0.35">
      <c r="B9" s="268" t="str">
        <f ca="1">IF(C9="","",_xlfn.XLOOKUP(_xlfn.CONCAT(C9:E9),P!$J:$J,P!$I:$I,"UNAVAILABLE"))</f>
        <v>R-EPT-15</v>
      </c>
      <c r="C9" s="426" t="s">
        <v>493</v>
      </c>
      <c r="D9" s="245" t="str">
        <f t="shared" si="0"/>
        <v>N/A</v>
      </c>
      <c r="E9" s="422" t="s">
        <v>408</v>
      </c>
      <c r="F9" s="406"/>
      <c r="G9" s="16">
        <f ca="1">IFERROR(VLOOKUP(B9,P!$X:$Z,3,FALSE),0)</f>
        <v>825.00000000000011</v>
      </c>
      <c r="H9" s="6"/>
      <c r="I9" s="45">
        <f ca="1">IF(RIOEPOXY[[#This Row],[QUOTED RATE]]="",RIOEPOXY[[#This Row],[UNIT RATE]]*RIOEPOXY[[#This Row],[QTY]],RIOEPOXY[[#This Row],[QUOTED RATE]]*RIOEPOXY[[#This Row],[QTY]])</f>
        <v>0</v>
      </c>
      <c r="J9" s="78"/>
      <c r="L9" s="268" t="str">
        <f ca="1">IF(M9="","",_xlfn.XLOOKUP(_xlfn.CONCAT(M9:O9),P!$J:$J,P!$I:$I,"UNAVAILABLE"))</f>
        <v>S-GCB-50</v>
      </c>
      <c r="M9" s="247" t="s">
        <v>475</v>
      </c>
      <c r="N9" s="245" t="s">
        <v>398</v>
      </c>
      <c r="O9" s="245" t="s">
        <v>501</v>
      </c>
      <c r="P9" s="431">
        <f>IF($V$7&gt;0,$V$7,0)</f>
        <v>0</v>
      </c>
      <c r="Q9" s="16">
        <f ca="1">IFERROR(VLOOKUP(L9,P!$X:$Z,3,FALSE),0)</f>
        <v>2211</v>
      </c>
      <c r="R9" s="6"/>
      <c r="S9" s="45">
        <f ca="1">IF(Table21[[#This Row],[QUOTED RATE]]="",Table21[[#This Row],[UNIT RATE]]*Table21[[#This Row],[QTY]],Table21[[#This Row],[QUOTED RATE]]*Table21[[#This Row],[QTY]])</f>
        <v>0</v>
      </c>
      <c r="U9" s="67"/>
      <c r="V9" s="67"/>
    </row>
    <row r="10" spans="1:22" ht="15" customHeight="1" x14ac:dyDescent="0.35">
      <c r="B10" s="268" t="str">
        <f ca="1">IF(C10="","",_xlfn.XLOOKUP(_xlfn.CONCAT(C10:E10),P!$J:$J,P!$I:$I,"UNAVAILABLE"))</f>
        <v>ROAD10600</v>
      </c>
      <c r="C10" s="426" t="s">
        <v>494</v>
      </c>
      <c r="D10" s="245" t="str">
        <f t="shared" si="0"/>
        <v>N/A</v>
      </c>
      <c r="E10" s="422" t="s">
        <v>496</v>
      </c>
      <c r="F10" s="405"/>
      <c r="G10" s="16">
        <f ca="1">IFERROR(VLOOKUP(B10,P!$X:$Z,3,FALSE),0)</f>
        <v>65.219000000000008</v>
      </c>
      <c r="H10" s="6"/>
      <c r="I10" s="45">
        <f ca="1">IF(RIOEPOXY[[#This Row],[QUOTED RATE]]="",RIOEPOXY[[#This Row],[UNIT RATE]]*RIOEPOXY[[#This Row],[QTY]],RIOEPOXY[[#This Row],[QUOTED RATE]]*RIOEPOXY[[#This Row],[QTY]])</f>
        <v>0</v>
      </c>
      <c r="J10" s="78"/>
      <c r="L10" s="268" t="str">
        <f ca="1">IF(M10="","",_xlfn.XLOOKUP(_xlfn.CONCAT(M10:O10),P!$J:$J,P!$I:$I,"UNAVAILABLE"))</f>
        <v>R-CSL-1</v>
      </c>
      <c r="M10" s="426" t="s">
        <v>476</v>
      </c>
      <c r="N10" s="422" t="s">
        <v>315</v>
      </c>
      <c r="O10" s="422" t="s">
        <v>397</v>
      </c>
      <c r="P10" s="405"/>
      <c r="Q10" s="16">
        <f ca="1">ROUND(IF(AND(U10&lt;&gt;"",U10&gt;0),IFERROR(VLOOKUP(L10,P!$X:$Z,3,FALSE),0)+(IF(OR(U5=1,$U$6=SUM($U$10:$U$18)),$U$6,($U$6-SUM($U$10:$U$18))/$U$8)+$U10)/$P10*28.05,IFERROR(VLOOKUP(L10,P!$X:$Z,3,FALSE),0)),2)</f>
        <v>8.34</v>
      </c>
      <c r="R10" s="6"/>
      <c r="S10" s="45">
        <f ca="1">IF(Table21[[#This Row],[QUOTED RATE]]="",Table21[[#This Row],[UNIT RATE]]*Table21[[#This Row],[QTY]],Table21[[#This Row],[QUOTED RATE]]*Table21[[#This Row],[QTY]])</f>
        <v>0</v>
      </c>
      <c r="U10" s="67" t="str">
        <f ca="1">IF(AND(N10="PIGMENTED",IFERROR(FIND("SL",M10),FALSE),IFERROR(VLOOKUP(L10,P!$X:$Z,3,FALSE),0)&lt;&gt;0),(1/12*P10),IF(AND(N10="PIGMENTED",IFERROR(FIND("SL",M10),TRUE),IFERROR(VLOOKUP(L10,P!$X:$Z,3,FALSE),0)&lt;&gt;0),(1/4*P10),""))</f>
        <v/>
      </c>
      <c r="V10" s="67" t="str">
        <f>IF(P10="","",IF(IFERROR(FIND("CB",M10),FALSE),P10*0.25,P10*0.5))</f>
        <v/>
      </c>
    </row>
    <row r="11" spans="1:22" ht="15" customHeight="1" x14ac:dyDescent="0.35">
      <c r="B11" s="268" t="str">
        <f ca="1">IF(C11="","",_xlfn.XLOOKUP(_xlfn.CONCAT(C11:E11),P!$J:$J,P!$I:$I,"UNAVAILABLE"))</f>
        <v>R-EMP-15</v>
      </c>
      <c r="C11" s="426" t="s">
        <v>890</v>
      </c>
      <c r="D11" s="245" t="str">
        <f t="shared" si="0"/>
        <v>N/A</v>
      </c>
      <c r="E11" s="422" t="s">
        <v>408</v>
      </c>
      <c r="F11" s="406"/>
      <c r="G11" s="16">
        <f ca="1">IFERROR(VLOOKUP(B11,P!$X:$Z,3,FALSE),0)</f>
        <v>973.50000000000011</v>
      </c>
      <c r="H11" s="6"/>
      <c r="I11" s="45">
        <f ca="1">IF(RIOEPOXY[[#This Row],[QUOTED RATE]]="",RIOEPOXY[[#This Row],[UNIT RATE]]*RIOEPOXY[[#This Row],[QTY]],RIOEPOXY[[#This Row],[QUOTED RATE]]*RIOEPOXY[[#This Row],[QTY]])</f>
        <v>0</v>
      </c>
      <c r="J11" s="78"/>
      <c r="L11" s="268" t="str">
        <f ca="1">IF(M11="","",_xlfn.XLOOKUP(_xlfn.CONCAT(M11:O11),P!$J:$J,P!$I:$I,"UNAVAILABLE"))</f>
        <v>S-CSL-SB</v>
      </c>
      <c r="M11" s="426" t="s">
        <v>476</v>
      </c>
      <c r="N11" s="422" t="s">
        <v>982</v>
      </c>
      <c r="O11" s="422" t="s">
        <v>397</v>
      </c>
      <c r="P11" s="405"/>
      <c r="Q11" s="16">
        <f ca="1">ROUND(IF(AND(U11&lt;&gt;"",U11&gt;0),IFERROR(VLOOKUP(L11,P!$X:$Z,3,FALSE),0)+(IF(OR(U6=1,$U$6=SUM($U$10:$U$18)),$U$6,($U$6-SUM($U$10:$U$18))/U8)+U11)/P11*28.05,IFERROR(VLOOKUP(L11,P!$X:$Z,3,FALSE),0)),2)</f>
        <v>8.34</v>
      </c>
      <c r="R11" s="6"/>
      <c r="S11" s="45">
        <f ca="1">IF(Table21[[#This Row],[QUOTED RATE]]="",Table21[[#This Row],[UNIT RATE]]*Table21[[#This Row],[QTY]],Table21[[#This Row],[QUOTED RATE]]*Table21[[#This Row],[QTY]])</f>
        <v>0</v>
      </c>
      <c r="U11" s="67">
        <f ca="1">IF(AND(N11="PIGMENTED",IFERROR(FIND("SL",M11),FALSE),IFERROR(VLOOKUP(L11,P!$X:$Z,3,FALSE),0)&lt;&gt;0),(1/12*P11),IF(AND(N11="PIGMENTED",IFERROR(FIND("SL",M11),TRUE),IFERROR(VLOOKUP(L11,P!$X:$Z,3,FALSE),0)&lt;&gt;0),(1/4*P11),""))</f>
        <v>0</v>
      </c>
      <c r="V11" s="67" t="str">
        <f t="shared" ref="V11:V18" si="1">IF(P11="","",IF(IFERROR(FIND("CB",M11),FALSE),P11*0.25,P11*0.5))</f>
        <v/>
      </c>
    </row>
    <row r="12" spans="1:22" ht="15" customHeight="1" x14ac:dyDescent="0.35">
      <c r="B12" s="268" t="str">
        <f>IF(C12="","",_xlfn.XLOOKUP(_xlfn.CONCAT(C12:E12),P!$J:$J,P!$I:$I,"UNAVAILABLE"))</f>
        <v/>
      </c>
      <c r="C12" s="426"/>
      <c r="D12" s="245" t="str">
        <f t="shared" si="0"/>
        <v/>
      </c>
      <c r="E12" s="422"/>
      <c r="F12" s="406"/>
      <c r="G12" s="16">
        <f>IFERROR(VLOOKUP(B12,P!$X:$Z,3,FALSE),0)</f>
        <v>0</v>
      </c>
      <c r="H12" s="6"/>
      <c r="I12" s="45">
        <f>IF(RIOEPOXY[[#This Row],[QUOTED RATE]]="",RIOEPOXY[[#This Row],[UNIT RATE]]*RIOEPOXY[[#This Row],[QTY]],RIOEPOXY[[#This Row],[QUOTED RATE]]*RIOEPOXY[[#This Row],[QTY]])</f>
        <v>0</v>
      </c>
      <c r="J12" s="78"/>
      <c r="L12" s="268" t="str">
        <f ca="1">IF(M12="","",_xlfn.XLOOKUP(_xlfn.CONCAT(M12:O12),P!$J:$J,P!$I:$I,"UNAVAILABLE"))</f>
        <v>R-CSF-1</v>
      </c>
      <c r="M12" s="426" t="s">
        <v>477</v>
      </c>
      <c r="N12" s="422" t="s">
        <v>398</v>
      </c>
      <c r="O12" s="422" t="s">
        <v>397</v>
      </c>
      <c r="P12" s="405"/>
      <c r="Q12" s="16">
        <f ca="1">ROUND(IF(AND(U12&lt;&gt;"",U12&gt;0),IFERROR(VLOOKUP(L12,P!$X:$Z,3,FALSE),0)+(IF(OR(U7=1,$U$6=SUM($U$10:$U$18)),$U$6,($U$6-SUM($U$10:$U$18))/$U$8)+$U12)/$P12*28.05,IFERROR(VLOOKUP(L12,P!$X:$Z,3,FALSE),0)),2)</f>
        <v>11.83</v>
      </c>
      <c r="R12" s="6"/>
      <c r="S12" s="45">
        <f ca="1">IF(Table21[[#This Row],[QUOTED RATE]]="",Table21[[#This Row],[UNIT RATE]]*Table21[[#This Row],[QTY]],Table21[[#This Row],[QUOTED RATE]]*Table21[[#This Row],[QTY]])</f>
        <v>0</v>
      </c>
      <c r="U12" s="67" t="str">
        <f ca="1">IF(AND(N12="PIGMENTED",IFERROR(FIND("SL",M12),FALSE),IFERROR(VLOOKUP(L12,P!$X:$Z,3,FALSE),0)&lt;&gt;0),(1/12*P12),IF(AND(N12="PIGMENTED",IFERROR(FIND("SL",M12),TRUE),IFERROR(VLOOKUP(L12,P!$X:$Z,3,FALSE),0)&lt;&gt;0),(1/4*P12),""))</f>
        <v/>
      </c>
      <c r="V12" s="67" t="str">
        <f t="shared" si="1"/>
        <v/>
      </c>
    </row>
    <row r="13" spans="1:22" ht="15" customHeight="1" x14ac:dyDescent="0.35">
      <c r="B13" s="268" t="str">
        <f>IF(C13="","",_xlfn.XLOOKUP(_xlfn.CONCAT(C13:E13),P!$J:$J,P!$I:$I,"UNAVAILABLE"))</f>
        <v/>
      </c>
      <c r="C13" s="426"/>
      <c r="D13" s="245" t="str">
        <f t="shared" si="0"/>
        <v/>
      </c>
      <c r="E13" s="422"/>
      <c r="F13" s="406"/>
      <c r="G13" s="16">
        <f>IFERROR(VLOOKUP(B13,P!$X:$Z,3,FALSE),0)</f>
        <v>0</v>
      </c>
      <c r="H13" s="6"/>
      <c r="I13" s="45">
        <f>IF(RIOEPOXY[[#This Row],[QUOTED RATE]]="",RIOEPOXY[[#This Row],[UNIT RATE]]*RIOEPOXY[[#This Row],[QTY]],RIOEPOXY[[#This Row],[QUOTED RATE]]*RIOEPOXY[[#This Row],[QTY]])</f>
        <v>0</v>
      </c>
      <c r="J13" s="78"/>
      <c r="L13" s="268" t="str">
        <f ca="1">IF(M13="","",_xlfn.XLOOKUP(_xlfn.CONCAT(M13:O13),P!$J:$J,P!$I:$I,"UNAVAILABLE"))</f>
        <v>R-CCB-1</v>
      </c>
      <c r="M13" s="426" t="s">
        <v>478</v>
      </c>
      <c r="N13" s="422" t="s">
        <v>982</v>
      </c>
      <c r="O13" s="422" t="s">
        <v>397</v>
      </c>
      <c r="P13" s="406"/>
      <c r="Q13" s="16">
        <f ca="1">ROUND(IF(AND(U13&lt;&gt;"",U13&gt;0),IFERROR(VLOOKUP(L13,P!$X:$Z,3,FALSE),0)+(IF(OR(U8=1,$U$6=SUM($U$10:$U$18)),$U$6,($U$6-SUM($U$10:$U$18))/$U$8)+$U13)/$P13*28.05,IFERROR(VLOOKUP(L13,P!$X:$Z,3,FALSE),0)),2)</f>
        <v>18.36</v>
      </c>
      <c r="R13" s="6"/>
      <c r="S13" s="45">
        <f ca="1">IF(Table21[[#This Row],[QUOTED RATE]]="",Table21[[#This Row],[UNIT RATE]]*Table21[[#This Row],[QTY]],Table21[[#This Row],[QUOTED RATE]]*Table21[[#This Row],[QTY]])</f>
        <v>0</v>
      </c>
      <c r="U13" s="67">
        <f ca="1">IF(AND(N13="PIGMENTED",IFERROR(FIND("SL",M13),FALSE),IFERROR(VLOOKUP(L13,P!$X:$Z,3,FALSE),0)&lt;&gt;0),(1/12*P13),IF(AND(N13="PIGMENTED",IFERROR(FIND("SL",M13),TRUE),IFERROR(VLOOKUP(L13,P!$X:$Z,3,FALSE),0)&lt;&gt;0),(1/4*P13),""))</f>
        <v>0</v>
      </c>
      <c r="V13" s="67" t="str">
        <f t="shared" si="1"/>
        <v/>
      </c>
    </row>
    <row r="14" spans="1:22" ht="15" customHeight="1" x14ac:dyDescent="0.35">
      <c r="B14" s="268" t="str">
        <f>IF(C14="","",_xlfn.XLOOKUP(_xlfn.CONCAT(C14:E14),P!$J:$J,P!$I:$I,"UNAVAILABLE"))</f>
        <v/>
      </c>
      <c r="C14" s="426"/>
      <c r="D14" s="245" t="str">
        <f t="shared" si="0"/>
        <v/>
      </c>
      <c r="E14" s="422"/>
      <c r="F14" s="406"/>
      <c r="G14" s="16">
        <f>IFERROR(VLOOKUP(B14,P!$X:$Z,3,FALSE),0)</f>
        <v>0</v>
      </c>
      <c r="H14" s="6"/>
      <c r="I14" s="45">
        <f>IF(RIOEPOXY[[#This Row],[QUOTED RATE]]="",RIOEPOXY[[#This Row],[UNIT RATE]]*RIOEPOXY[[#This Row],[QTY]],RIOEPOXY[[#This Row],[QUOTED RATE]]*RIOEPOXY[[#This Row],[QTY]])</f>
        <v>0</v>
      </c>
      <c r="J14" s="78"/>
      <c r="L14" s="268" t="str">
        <f ca="1">IF(M14="","",_xlfn.XLOOKUP(_xlfn.CONCAT(M14:O14),P!$J:$J,P!$I:$I,"UNAVAILABLE"))</f>
        <v>R-CTC-1</v>
      </c>
      <c r="M14" s="426" t="s">
        <v>479</v>
      </c>
      <c r="N14" s="422" t="s">
        <v>982</v>
      </c>
      <c r="O14" s="422" t="s">
        <v>397</v>
      </c>
      <c r="P14" s="406"/>
      <c r="Q14" s="16">
        <f ca="1">ROUND(IF(AND(U14&lt;&gt;"",U14&gt;0),IFERROR(VLOOKUP(L14,P!$X:$Z,3,FALSE),0)+(IF(OR(U9=1,$U$6=SUM($U$10:$U$18)),$U$6,($U$6-SUM($U$10:$U$18))/$U$8)+$U14)/$P14*28.05,IFERROR(VLOOKUP(L14,P!$X:$Z,3,FALSE),0)),2)</f>
        <v>11.22</v>
      </c>
      <c r="R14" s="6"/>
      <c r="S14" s="45">
        <f ca="1">IF(Table21[[#This Row],[QUOTED RATE]]="",Table21[[#This Row],[UNIT RATE]]*Table21[[#This Row],[QTY]],Table21[[#This Row],[QUOTED RATE]]*Table21[[#This Row],[QTY]])</f>
        <v>0</v>
      </c>
      <c r="U14" s="67">
        <f ca="1">IF(AND(N14="PIGMENTED",IFERROR(FIND("SL",M14),FALSE),IFERROR(VLOOKUP(L14,P!$X:$Z,3,FALSE),0)&lt;&gt;0),(1/12*P14),IF(AND(N14="PIGMENTED",IFERROR(FIND("SL",M14),TRUE),IFERROR(VLOOKUP(L14,P!$X:$Z,3,FALSE),0)&lt;&gt;0),(1/4*P14),""))</f>
        <v>0</v>
      </c>
      <c r="V14" s="67" t="str">
        <f t="shared" si="1"/>
        <v/>
      </c>
    </row>
    <row r="15" spans="1:22" ht="15" customHeight="1" x14ac:dyDescent="0.35">
      <c r="B15" s="268" t="str">
        <f>IF(C15="","",_xlfn.XLOOKUP(_xlfn.CONCAT(C15:E15),P!$J:$J,P!$I:$I,"UNAVAILABLE"))</f>
        <v/>
      </c>
      <c r="C15" s="426"/>
      <c r="D15" s="245" t="str">
        <f t="shared" si="0"/>
        <v/>
      </c>
      <c r="E15" s="422"/>
      <c r="F15" s="406"/>
      <c r="G15" s="16">
        <f>IFERROR(VLOOKUP(B15,P!$X:$Z,3,FALSE),0)</f>
        <v>0</v>
      </c>
      <c r="H15" s="6"/>
      <c r="I15" s="45">
        <f>IF(RIOEPOXY[[#This Row],[QUOTED RATE]]="",RIOEPOXY[[#This Row],[UNIT RATE]]*RIOEPOXY[[#This Row],[QTY]],RIOEPOXY[[#This Row],[QUOTED RATE]]*RIOEPOXY[[#This Row],[QTY]])</f>
        <v>0</v>
      </c>
      <c r="J15" s="78"/>
      <c r="L15" s="268" t="str">
        <f ca="1">IF(M15="","",_xlfn.XLOOKUP(_xlfn.CONCAT(M15:O15),P!$J:$J,P!$I:$I,"UNAVAILABLE"))</f>
        <v>S-SCS-1</v>
      </c>
      <c r="M15" s="426" t="s">
        <v>480</v>
      </c>
      <c r="N15" s="422" t="s">
        <v>398</v>
      </c>
      <c r="O15" s="422" t="s">
        <v>508</v>
      </c>
      <c r="P15" s="406"/>
      <c r="Q15" s="16">
        <f ca="1">ROUND(IF(AND(U15&lt;&gt;"",U15&gt;0),IFERROR(VLOOKUP(L15,P!$X:$Z,3,FALSE),0)+(IF(OR(U10=1,$U$6=SUM($U$10:$U$18)),$U$6,($U$6-SUM($U$10:$U$18))/$U$8)+$U15)/$P15*28.05,IFERROR(VLOOKUP(L15,P!$X:$Z,3,FALSE),0)),2)</f>
        <v>55</v>
      </c>
      <c r="R15" s="6"/>
      <c r="S15" s="45">
        <f ca="1">IF(Table21[[#This Row],[QUOTED RATE]]="",Table21[[#This Row],[UNIT RATE]]*Table21[[#This Row],[QTY]],Table21[[#This Row],[QUOTED RATE]]*Table21[[#This Row],[QTY]])</f>
        <v>0</v>
      </c>
      <c r="U15" s="67" t="str">
        <f ca="1">IF(AND(N15="PIGMENTED",IFERROR(FIND("SL",M15),FALSE),IFERROR(VLOOKUP(L15,P!$X:$Z,3,FALSE),0)&lt;&gt;0),(1/12*P15),IF(AND(N15="PIGMENTED",IFERROR(FIND("SL",M15),TRUE),IFERROR(VLOOKUP(L15,P!$X:$Z,3,FALSE),0)&lt;&gt;0),(1/4*P15),""))</f>
        <v/>
      </c>
      <c r="V15" s="67" t="str">
        <f t="shared" si="1"/>
        <v/>
      </c>
    </row>
    <row r="16" spans="1:22" ht="15" customHeight="1" x14ac:dyDescent="0.35">
      <c r="B16" s="268" t="str">
        <f>IF(C16="","",_xlfn.XLOOKUP(_xlfn.CONCAT(C16:E16),P!$J:$J,P!$I:$I,"UNAVAILABLE"))</f>
        <v/>
      </c>
      <c r="C16" s="426"/>
      <c r="D16" s="245" t="str">
        <f t="shared" si="0"/>
        <v/>
      </c>
      <c r="E16" s="422"/>
      <c r="F16" s="406"/>
      <c r="G16" s="16">
        <f>IFERROR(VLOOKUP(B16,P!$X:$Z,3,FALSE),0)</f>
        <v>0</v>
      </c>
      <c r="H16" s="6"/>
      <c r="I16" s="45">
        <f>IF(RIOEPOXY[[#This Row],[QUOTED RATE]]="",RIOEPOXY[[#This Row],[UNIT RATE]]*RIOEPOXY[[#This Row],[QTY]],RIOEPOXY[[#This Row],[QUOTED RATE]]*RIOEPOXY[[#This Row],[QTY]])</f>
        <v>0</v>
      </c>
      <c r="J16" s="78"/>
      <c r="L16" s="268" t="str">
        <f>IF(M16="","",_xlfn.XLOOKUP(_xlfn.CONCAT(M16:O16),P!$J:$J,P!$I:$I,"UNAVAILABLE"))</f>
        <v/>
      </c>
      <c r="M16" s="426"/>
      <c r="N16" s="422"/>
      <c r="O16" s="422"/>
      <c r="P16" s="406"/>
      <c r="Q16" s="16">
        <f>ROUND(IF(AND(U16&lt;&gt;"",U16&gt;0),IFERROR(VLOOKUP(L16,P!$X:$Z,3,FALSE),0)+(IF(OR(U11=1,$U$6=SUM($U$10:$U$18)),$U$6,($U$6-SUM($U$10:$U$18))/$U$8)+$U16)/$P16*28.05,IFERROR(VLOOKUP(L16,P!$X:$Z,3,FALSE),0)),2)</f>
        <v>0</v>
      </c>
      <c r="R16" s="6"/>
      <c r="S16" s="45">
        <f>IF(Table21[[#This Row],[QUOTED RATE]]="",Table21[[#This Row],[UNIT RATE]]*Table21[[#This Row],[QTY]],Table21[[#This Row],[QUOTED RATE]]*Table21[[#This Row],[QTY]])</f>
        <v>0</v>
      </c>
      <c r="U16" s="67" t="str">
        <f>IF(AND(N16="PIGMENTED",IFERROR(FIND("SL",M16),FALSE),IFERROR(VLOOKUP(L16,P!$X:$Z,3,FALSE),0)&lt;&gt;0),(1/12*P16),IF(AND(N16="PIGMENTED",IFERROR(FIND("SL",M16),TRUE),IFERROR(VLOOKUP(L16,P!$X:$Z,3,FALSE),0)&lt;&gt;0),(1/4*P16),""))</f>
        <v/>
      </c>
      <c r="V16" s="67" t="str">
        <f t="shared" si="1"/>
        <v/>
      </c>
    </row>
    <row r="17" spans="1:22" ht="15" customHeight="1" x14ac:dyDescent="0.35">
      <c r="B17" s="268" t="str">
        <f>IF(C17="","",_xlfn.XLOOKUP(_xlfn.CONCAT(C17:E17),P!$J:$J,P!$I:$I,"UNAVAILABLE"))</f>
        <v/>
      </c>
      <c r="C17" s="426"/>
      <c r="D17" s="245" t="str">
        <f t="shared" si="0"/>
        <v/>
      </c>
      <c r="E17" s="422"/>
      <c r="F17" s="406"/>
      <c r="G17" s="16">
        <f>IFERROR(VLOOKUP(B17,P!$X:$Z,3,FALSE),0)</f>
        <v>0</v>
      </c>
      <c r="H17" s="6"/>
      <c r="I17" s="45">
        <f>IF(RIOEPOXY[[#This Row],[QUOTED RATE]]="",RIOEPOXY[[#This Row],[UNIT RATE]]*RIOEPOXY[[#This Row],[QTY]],RIOEPOXY[[#This Row],[QUOTED RATE]]*RIOEPOXY[[#This Row],[QTY]])</f>
        <v>0</v>
      </c>
      <c r="J17" s="78"/>
      <c r="L17" s="268" t="str">
        <f ca="1">IF(M17="","",_xlfn.XLOOKUP(_xlfn.CONCAT(M17:O17),P!$J:$J,P!$I:$I,"UNAVAILABLE"))</f>
        <v>R-CSF-1</v>
      </c>
      <c r="M17" s="426" t="s">
        <v>477</v>
      </c>
      <c r="N17" s="422" t="s">
        <v>398</v>
      </c>
      <c r="O17" s="422" t="s">
        <v>397</v>
      </c>
      <c r="P17" s="406"/>
      <c r="Q17" s="16">
        <f ca="1">ROUND(IF(AND(U17&lt;&gt;"",U17&gt;0),IFERROR(VLOOKUP(L17,P!$X:$Z,3,FALSE),0)+(IF(OR(U12=1,$U$6=SUM($U$10:$U$18)),$U$6,($U$6-SUM($U$10:$U$18))/$U$8)+$U17)/$P17*28.05,IFERROR(VLOOKUP(L17,P!$X:$Z,3,FALSE),0)),2)</f>
        <v>11.83</v>
      </c>
      <c r="R17" s="6"/>
      <c r="S17" s="45">
        <f ca="1">IF(Table21[[#This Row],[QUOTED RATE]]="",Table21[[#This Row],[UNIT RATE]]*Table21[[#This Row],[QTY]],Table21[[#This Row],[QUOTED RATE]]*Table21[[#This Row],[QTY]])</f>
        <v>0</v>
      </c>
      <c r="U17" s="67" t="str">
        <f ca="1">IF(AND(N17="PIGMENTED",IFERROR(FIND("SL",M17),FALSE),IFERROR(VLOOKUP(L17,P!$X:$Z,3,FALSE),0)&lt;&gt;0),(1/12*P17),IF(AND(N17="PIGMENTED",IFERROR(FIND("SL",M17),TRUE),IFERROR(VLOOKUP(L17,P!$X:$Z,3,FALSE),0)&lt;&gt;0),(1/4*P17),""))</f>
        <v/>
      </c>
      <c r="V17" s="67" t="str">
        <f t="shared" si="1"/>
        <v/>
      </c>
    </row>
    <row r="18" spans="1:22" ht="15" customHeight="1" thickBot="1" x14ac:dyDescent="0.4">
      <c r="B18" s="268" t="str">
        <f>IF(C18="","",_xlfn.XLOOKUP(_xlfn.CONCAT(C18:E18),P!$J:$J,P!$I:$I,"UNAVAILABLE"))</f>
        <v/>
      </c>
      <c r="C18" s="427"/>
      <c r="D18" s="270" t="str">
        <f t="shared" si="0"/>
        <v/>
      </c>
      <c r="E18" s="423"/>
      <c r="F18" s="407"/>
      <c r="G18" s="43">
        <f>IFERROR(VLOOKUP(B18,P!$X:$Z,3,FALSE),0)</f>
        <v>0</v>
      </c>
      <c r="H18" s="42"/>
      <c r="I18" s="46">
        <f>IF(RIOEPOXY[[#This Row],[QUOTED RATE]]="",RIOEPOXY[[#This Row],[UNIT RATE]]*RIOEPOXY[[#This Row],[QTY]],RIOEPOXY[[#This Row],[QUOTED RATE]]*RIOEPOXY[[#This Row],[QTY]])</f>
        <v>0</v>
      </c>
      <c r="J18" s="78"/>
      <c r="L18" s="268" t="str">
        <f>IF(M18="","",_xlfn.XLOOKUP(_xlfn.CONCAT(M18:O18),P!$J:$J,P!$I:$I,"UNAVAILABLE"))</f>
        <v/>
      </c>
      <c r="M18" s="427"/>
      <c r="N18" s="423"/>
      <c r="O18" s="423"/>
      <c r="P18" s="407"/>
      <c r="Q18" s="43">
        <f>ROUND(IF(AND(U18&lt;&gt;"",U18&gt;0),IFERROR(VLOOKUP(L18,P!$X:$Z,3,FALSE),0)+(IF(OR(U13=1,$U$6=SUM($U$10:$U$18)),$U$6,($U$6-SUM($U$10:$U$18))/$U$8)+$U18)/$P18*28.05,IFERROR(VLOOKUP(L18,P!$X:$Z,3,FALSE),0)),2)</f>
        <v>0</v>
      </c>
      <c r="R18" s="42"/>
      <c r="S18" s="46">
        <f>IF(Table21[[#This Row],[QUOTED RATE]]="",Table21[[#This Row],[UNIT RATE]]*Table21[[#This Row],[QTY]],Table21[[#This Row],[QUOTED RATE]]*Table21[[#This Row],[QTY]])</f>
        <v>0</v>
      </c>
      <c r="U18" s="67" t="str">
        <f>IF(AND(N18="PIGMENTED",IFERROR(FIND("SL",M18),FALSE),IFERROR(VLOOKUP(L18,P!$X:$Z,3,FALSE),0)&lt;&gt;0),(1/12*P18),IF(AND(N18="PIGMENTED",IFERROR(FIND("SL",M18),TRUE),IFERROR(VLOOKUP(L18,P!$X:$Z,3,FALSE),0)&lt;&gt;0),(1/4*P18),""))</f>
        <v/>
      </c>
      <c r="V18" s="67" t="str">
        <f t="shared" si="1"/>
        <v/>
      </c>
    </row>
    <row r="19" spans="1:22" ht="15" customHeight="1" thickTop="1" thickBot="1" x14ac:dyDescent="0.4">
      <c r="B19" s="271" t="s">
        <v>16</v>
      </c>
      <c r="C19" s="272" t="s">
        <v>16</v>
      </c>
      <c r="D19" s="273"/>
      <c r="E19" s="273"/>
      <c r="F19" s="273"/>
      <c r="G19" s="273"/>
      <c r="H19" s="273"/>
      <c r="I19" s="274">
        <f ca="1">SUBTOTAL(109,RIOEPOXY[EXTENSION])</f>
        <v>0</v>
      </c>
      <c r="J19" s="275"/>
      <c r="L19" s="271" t="s">
        <v>16</v>
      </c>
      <c r="M19" s="272" t="s">
        <v>16</v>
      </c>
      <c r="N19" s="273"/>
      <c r="O19" s="273"/>
      <c r="P19" s="273"/>
      <c r="Q19" s="273"/>
      <c r="R19" s="273"/>
      <c r="S19" s="274">
        <f ca="1">SUBTOTAL(109,Table21[EXTENSION])</f>
        <v>0</v>
      </c>
    </row>
    <row r="20" spans="1:22" ht="7.5" customHeight="1" thickBot="1" x14ac:dyDescent="0.4"/>
    <row r="21" spans="1:22" s="254" customFormat="1" ht="19" thickBot="1" x14ac:dyDescent="0.5">
      <c r="A21" s="67"/>
      <c r="B21" s="257" t="s">
        <v>471</v>
      </c>
      <c r="C21" s="812" t="s">
        <v>471</v>
      </c>
      <c r="D21" s="813"/>
      <c r="E21" s="813"/>
      <c r="F21" s="813"/>
      <c r="G21" s="813"/>
      <c r="H21" s="813"/>
      <c r="I21" s="814"/>
      <c r="J21" s="259"/>
      <c r="K21" s="67"/>
      <c r="L21" s="257" t="s">
        <v>420</v>
      </c>
      <c r="M21" s="812" t="s">
        <v>420</v>
      </c>
      <c r="N21" s="813"/>
      <c r="O21" s="813"/>
      <c r="P21" s="813"/>
      <c r="Q21" s="813"/>
      <c r="R21" s="813"/>
      <c r="S21" s="814"/>
      <c r="T21" s="259"/>
      <c r="U21" s="67"/>
    </row>
    <row r="22" spans="1:22" ht="15" customHeight="1" thickBot="1" x14ac:dyDescent="0.4">
      <c r="B22" s="260" t="s">
        <v>185</v>
      </c>
      <c r="C22" s="261" t="s">
        <v>181</v>
      </c>
      <c r="D22" s="262" t="s">
        <v>334</v>
      </c>
      <c r="E22" s="262" t="s">
        <v>182</v>
      </c>
      <c r="F22" s="263" t="s">
        <v>183</v>
      </c>
      <c r="G22" s="79" t="s">
        <v>184</v>
      </c>
      <c r="H22" s="77" t="s">
        <v>196</v>
      </c>
      <c r="I22" s="214" t="s">
        <v>156</v>
      </c>
      <c r="J22" s="266"/>
      <c r="L22" s="267" t="s">
        <v>185</v>
      </c>
      <c r="M22" s="261" t="s">
        <v>181</v>
      </c>
      <c r="N22" s="262" t="s">
        <v>334</v>
      </c>
      <c r="O22" s="262" t="s">
        <v>182</v>
      </c>
      <c r="P22" s="263" t="s">
        <v>183</v>
      </c>
      <c r="Q22" s="79" t="s">
        <v>184</v>
      </c>
      <c r="R22" s="77" t="s">
        <v>196</v>
      </c>
      <c r="S22" s="214" t="s">
        <v>156</v>
      </c>
    </row>
    <row r="23" spans="1:22" ht="15" customHeight="1" x14ac:dyDescent="0.35">
      <c r="B23" s="268" t="str">
        <f ca="1">IF(C23="","",_xlfn.XLOOKUP(_xlfn.CONCAT(C23:E23),P!$J:$J,P!$I:$I,"UNAVAILABLE"))</f>
        <v>S-CBG-1</v>
      </c>
      <c r="C23" s="426" t="s">
        <v>472</v>
      </c>
      <c r="D23" s="425" t="s">
        <v>524</v>
      </c>
      <c r="E23" s="422" t="s">
        <v>509</v>
      </c>
      <c r="F23" s="405"/>
      <c r="G23" s="16">
        <f ca="1">IFERROR(VLOOKUP(B23,P!$X:$Z,3,FALSE),0)</f>
        <v>56.43</v>
      </c>
      <c r="H23" s="5"/>
      <c r="I23" s="44">
        <f ca="1">IF(RIOCOLOR[[#This Row],[QUOTED RATE]]="",RIOCOLOR[[#This Row],[UNIT RATE]]*RIOCOLOR[[#This Row],[QTY]],RIOCOLOR[[#This Row],[QUOTED RATE]]*RIOCOLOR[[#This Row],[QTY]])</f>
        <v>0</v>
      </c>
      <c r="J23" s="78"/>
      <c r="L23" s="268" t="str">
        <f ca="1">IF(M23="","",_xlfn.XLOOKUP(_xlfn.CONCAT(M23:O23),P!$J:$J,P!$I:$I,"UNAVAILABLE"))</f>
        <v>S-QBS-1</v>
      </c>
      <c r="M23" s="426" t="s">
        <v>486</v>
      </c>
      <c r="N23" s="425" t="s">
        <v>417</v>
      </c>
      <c r="O23" s="422" t="s">
        <v>498</v>
      </c>
      <c r="P23" s="405"/>
      <c r="Q23" s="16">
        <f ca="1">IFERROR(VLOOKUP(L23,P!$X:$Z,3,FALSE),0)</f>
        <v>198.00000000000003</v>
      </c>
      <c r="R23" s="5"/>
      <c r="S23" s="44">
        <f ca="1">IF(Table22[[#This Row],[QUOTED RATE]]="",Table22[[#This Row],[UNIT RATE]]*Table22[[#This Row],[QTY]],Table22[[#This Row],[QUOTED RATE]]*Table22[[#This Row],[QTY]])</f>
        <v>0</v>
      </c>
    </row>
    <row r="24" spans="1:22" ht="15" customHeight="1" x14ac:dyDescent="0.35">
      <c r="B24" s="268" t="str">
        <f ca="1">IF(C24="","",_xlfn.XLOOKUP(_xlfn.CONCAT(C24:E24),P!$J:$J,P!$I:$I,"UNAVAILABLE"))</f>
        <v>R-CMG-1</v>
      </c>
      <c r="C24" s="426" t="s">
        <v>473</v>
      </c>
      <c r="D24" s="422" t="s">
        <v>333</v>
      </c>
      <c r="E24" s="422" t="s">
        <v>509</v>
      </c>
      <c r="F24" s="406"/>
      <c r="G24" s="16">
        <f ca="1">IFERROR(VLOOKUP(B24,P!$X:$Z,3,FALSE),0)</f>
        <v>28.05</v>
      </c>
      <c r="H24" s="6"/>
      <c r="I24" s="45">
        <f ca="1">IF(RIOCOLOR[[#This Row],[QUOTED RATE]]="",RIOCOLOR[[#This Row],[UNIT RATE]]*RIOCOLOR[[#This Row],[QTY]],RIOCOLOR[[#This Row],[QUOTED RATE]]*RIOCOLOR[[#This Row],[QTY]])</f>
        <v>0</v>
      </c>
      <c r="J24" s="78"/>
      <c r="L24" s="268" t="str">
        <f ca="1">IF(M24="","",_xlfn.XLOOKUP(_xlfn.CONCAT(M24:O24),P!$J:$J,P!$I:$I,"UNAVAILABLE"))</f>
        <v>S-QMT-1</v>
      </c>
      <c r="M24" s="426" t="s">
        <v>487</v>
      </c>
      <c r="N24" s="422" t="s">
        <v>520</v>
      </c>
      <c r="O24" s="422" t="s">
        <v>499</v>
      </c>
      <c r="P24" s="405"/>
      <c r="Q24" s="16">
        <f ca="1">IFERROR(VLOOKUP(L24,P!$X:$Z,3,FALSE),0)</f>
        <v>33</v>
      </c>
      <c r="R24" s="6"/>
      <c r="S24" s="45">
        <f ca="1">IF(Table22[[#This Row],[QUOTED RATE]]="",Table22[[#This Row],[UNIT RATE]]*Table22[[#This Row],[QTY]],Table22[[#This Row],[QUOTED RATE]]*Table22[[#This Row],[QTY]])</f>
        <v>0</v>
      </c>
    </row>
    <row r="25" spans="1:22" ht="15" customHeight="1" x14ac:dyDescent="0.35">
      <c r="B25" s="268" t="str">
        <f ca="1">IF(C25="","",_xlfn.XLOOKUP(_xlfn.CONCAT(C25:E25),P!$J:$J,P!$I:$I,"UNAVAILABLE"))</f>
        <v>R-CSB-25</v>
      </c>
      <c r="C25" s="426" t="s">
        <v>518</v>
      </c>
      <c r="D25" s="422" t="s">
        <v>386</v>
      </c>
      <c r="E25" s="422" t="s">
        <v>510</v>
      </c>
      <c r="F25" s="406"/>
      <c r="G25" s="16">
        <f ca="1">IFERROR(VLOOKUP(B25,P!$X:$Z,3,FALSE),0)</f>
        <v>440.00000000000006</v>
      </c>
      <c r="H25" s="6"/>
      <c r="I25" s="45">
        <f ca="1">IF(RIOCOLOR[[#This Row],[QUOTED RATE]]="",RIOCOLOR[[#This Row],[UNIT RATE]]*RIOCOLOR[[#This Row],[QTY]],RIOCOLOR[[#This Row],[QUOTED RATE]]*RIOCOLOR[[#This Row],[QTY]])</f>
        <v>0</v>
      </c>
      <c r="J25" s="78"/>
      <c r="L25" s="268" t="str">
        <f ca="1">IF(M25="","",_xlfn.XLOOKUP(_xlfn.CONCAT(M25:O25),P!$J:$J,P!$I:$I,"UNAVAILABLE"))</f>
        <v>S-AST-1</v>
      </c>
      <c r="M25" s="426" t="s">
        <v>488</v>
      </c>
      <c r="N25" s="422" t="s">
        <v>417</v>
      </c>
      <c r="O25" s="422" t="s">
        <v>499</v>
      </c>
      <c r="P25" s="405"/>
      <c r="Q25" s="16">
        <f ca="1">IFERROR(VLOOKUP(L25,P!$X:$Z,3,FALSE),0)</f>
        <v>33</v>
      </c>
      <c r="R25" s="6"/>
      <c r="S25" s="45">
        <f ca="1">IF(Table22[[#This Row],[QUOTED RATE]]="",Table22[[#This Row],[UNIT RATE]]*Table22[[#This Row],[QTY]],Table22[[#This Row],[QUOTED RATE]]*Table22[[#This Row],[QTY]])</f>
        <v>0</v>
      </c>
    </row>
    <row r="26" spans="1:22" ht="15" customHeight="1" x14ac:dyDescent="0.35">
      <c r="B26" s="268" t="str">
        <f>IF(C26="","",_xlfn.XLOOKUP(_xlfn.CONCAT(C26:E26),P!$J:$J,P!$I:$I,"UNAVAILABLE"))</f>
        <v/>
      </c>
      <c r="C26" s="426"/>
      <c r="D26" s="422"/>
      <c r="E26" s="422"/>
      <c r="F26" s="406"/>
      <c r="G26" s="16">
        <f>IFERROR(VLOOKUP(B26,P!$X:$Z,3,FALSE),0)</f>
        <v>0</v>
      </c>
      <c r="H26" s="6"/>
      <c r="I26" s="45">
        <f>IF(RIOCOLOR[[#This Row],[QUOTED RATE]]="",RIOCOLOR[[#This Row],[UNIT RATE]]*RIOCOLOR[[#This Row],[QTY]],RIOCOLOR[[#This Row],[QUOTED RATE]]*RIOCOLOR[[#This Row],[QTY]])</f>
        <v>0</v>
      </c>
      <c r="J26" s="78"/>
      <c r="L26" s="268" t="str">
        <f ca="1">IF(M26="","",_xlfn.XLOOKUP(_xlfn.CONCAT(M26:O26),P!$J:$J,P!$I:$I,"UNAVAILABLE"))</f>
        <v>R-A60-1</v>
      </c>
      <c r="M26" s="426" t="s">
        <v>489</v>
      </c>
      <c r="N26" s="422" t="s">
        <v>913</v>
      </c>
      <c r="O26" s="422" t="s">
        <v>499</v>
      </c>
      <c r="P26" s="405"/>
      <c r="Q26" s="16">
        <f ca="1">IFERROR(VLOOKUP(L26,P!$X:$Z,3,FALSE),0)</f>
        <v>198.00000000000003</v>
      </c>
      <c r="R26" s="6"/>
      <c r="S26" s="45">
        <f ca="1">IF(Table22[[#This Row],[QUOTED RATE]]="",Table22[[#This Row],[UNIT RATE]]*Table22[[#This Row],[QTY]],Table22[[#This Row],[QUOTED RATE]]*Table22[[#This Row],[QTY]])</f>
        <v>0</v>
      </c>
    </row>
    <row r="27" spans="1:22" ht="15" customHeight="1" x14ac:dyDescent="0.35">
      <c r="B27" s="268" t="str">
        <f>IF(C27="","",_xlfn.XLOOKUP(_xlfn.CONCAT(C27:E27),P!$J:$J,P!$I:$I,"UNAVAILABLE"))</f>
        <v/>
      </c>
      <c r="C27" s="426"/>
      <c r="D27" s="422"/>
      <c r="E27" s="422"/>
      <c r="F27" s="406"/>
      <c r="G27" s="16">
        <f>IFERROR(VLOOKUP(B27,P!$X:$Z,3,FALSE),0)</f>
        <v>0</v>
      </c>
      <c r="H27" s="6"/>
      <c r="I27" s="45">
        <f>IF(RIOCOLOR[[#This Row],[QUOTED RATE]]="",RIOCOLOR[[#This Row],[UNIT RATE]]*RIOCOLOR[[#This Row],[QTY]],RIOCOLOR[[#This Row],[QUOTED RATE]]*RIOCOLOR[[#This Row],[QTY]])</f>
        <v>0</v>
      </c>
      <c r="J27" s="78"/>
      <c r="L27" s="268" t="str">
        <f>IF(M27="","",_xlfn.XLOOKUP(_xlfn.CONCAT(M27:O27),P!$J:$J,P!$I:$I,"UNAVAILABLE"))</f>
        <v/>
      </c>
      <c r="M27" s="426"/>
      <c r="N27" s="422"/>
      <c r="O27" s="422"/>
      <c r="P27" s="405"/>
      <c r="Q27" s="16">
        <f>IFERROR(VLOOKUP(L27,P!$X:$Z,3,FALSE),0)</f>
        <v>0</v>
      </c>
      <c r="R27" s="6"/>
      <c r="S27" s="45">
        <f>IF(Table22[[#This Row],[QUOTED RATE]]="",Table22[[#This Row],[UNIT RATE]]*Table22[[#This Row],[QTY]],Table22[[#This Row],[QUOTED RATE]]*Table22[[#This Row],[QTY]])</f>
        <v>0</v>
      </c>
    </row>
    <row r="28" spans="1:22" ht="15" customHeight="1" x14ac:dyDescent="0.35">
      <c r="B28" s="268" t="str">
        <f>IF(C28="","",_xlfn.XLOOKUP(_xlfn.CONCAT(C28:E28),P!$J:$J,P!$I:$I,"UNAVAILABLE"))</f>
        <v/>
      </c>
      <c r="C28" s="426"/>
      <c r="D28" s="422"/>
      <c r="E28" s="422"/>
      <c r="F28" s="406"/>
      <c r="G28" s="16">
        <f>IFERROR(VLOOKUP(B28,P!$X:$Z,3,FALSE),0)</f>
        <v>0</v>
      </c>
      <c r="H28" s="6"/>
      <c r="I28" s="45">
        <f>IF(RIOCOLOR[[#This Row],[QUOTED RATE]]="",RIOCOLOR[[#This Row],[UNIT RATE]]*RIOCOLOR[[#This Row],[QTY]],RIOCOLOR[[#This Row],[QUOTED RATE]]*RIOCOLOR[[#This Row],[QTY]])</f>
        <v>0</v>
      </c>
      <c r="J28" s="78"/>
      <c r="L28" s="268" t="str">
        <f ca="1">IF(M28="","",_xlfn.XLOOKUP(_xlfn.CONCAT(M28:O28),P!$J:$J,P!$I:$I,"UNAVAILABLE"))</f>
        <v>R-ETM-C50</v>
      </c>
      <c r="M28" s="426" t="s">
        <v>888</v>
      </c>
      <c r="N28" s="422" t="s">
        <v>398</v>
      </c>
      <c r="O28" s="422" t="s">
        <v>499</v>
      </c>
      <c r="P28" s="405"/>
      <c r="Q28" s="16">
        <f ca="1">IFERROR(VLOOKUP(L28,P!$X:$Z,3,FALSE),0)</f>
        <v>19.8</v>
      </c>
      <c r="R28" s="6"/>
      <c r="S28" s="45">
        <f ca="1">IF(Table22[[#This Row],[QUOTED RATE]]="",Table22[[#This Row],[UNIT RATE]]*Table22[[#This Row],[QTY]],Table22[[#This Row],[QUOTED RATE]]*Table22[[#This Row],[QTY]])</f>
        <v>0</v>
      </c>
    </row>
    <row r="29" spans="1:22" ht="15" customHeight="1" x14ac:dyDescent="0.35">
      <c r="B29" s="268" t="str">
        <f>IF(C29="","",_xlfn.XLOOKUP(_xlfn.CONCAT(C29:E29),P!$J:$J,P!$I:$I,"UNAVAILABLE"))</f>
        <v/>
      </c>
      <c r="C29" s="426"/>
      <c r="D29" s="422"/>
      <c r="E29" s="422"/>
      <c r="F29" s="406"/>
      <c r="G29" s="16">
        <f>IFERROR(VLOOKUP(B29,P!$X:$Z,3,FALSE),0)</f>
        <v>0</v>
      </c>
      <c r="H29" s="6"/>
      <c r="I29" s="45">
        <f>IF(RIOCOLOR[[#This Row],[QUOTED RATE]]="",RIOCOLOR[[#This Row],[UNIT RATE]]*RIOCOLOR[[#This Row],[QTY]],RIOCOLOR[[#This Row],[QUOTED RATE]]*RIOCOLOR[[#This Row],[QTY]])</f>
        <v>0</v>
      </c>
      <c r="J29" s="78"/>
      <c r="L29" s="268" t="str">
        <f>IF(M29="","",_xlfn.XLOOKUP(_xlfn.CONCAT(M29:O29),P!$J:$J,P!$I:$I,"UNAVAILABLE"))</f>
        <v/>
      </c>
      <c r="M29" s="426"/>
      <c r="N29" s="422"/>
      <c r="O29" s="422"/>
      <c r="P29" s="406"/>
      <c r="Q29" s="16">
        <f>IFERROR(VLOOKUP(L29,P!$X:$Z,3,FALSE),0)</f>
        <v>0</v>
      </c>
      <c r="R29" s="6"/>
      <c r="S29" s="45">
        <f>IF(Table22[[#This Row],[QUOTED RATE]]="",Table22[[#This Row],[UNIT RATE]]*Table22[[#This Row],[QTY]],Table22[[#This Row],[QUOTED RATE]]*Table22[[#This Row],[QTY]])</f>
        <v>0</v>
      </c>
    </row>
    <row r="30" spans="1:22" ht="15" customHeight="1" x14ac:dyDescent="0.35">
      <c r="B30" s="268" t="str">
        <f>IF(C30="","",_xlfn.XLOOKUP(_xlfn.CONCAT(C30:E30),P!$J:$J,P!$I:$I,"UNAVAILABLE"))</f>
        <v/>
      </c>
      <c r="C30" s="426"/>
      <c r="D30" s="422"/>
      <c r="E30" s="422"/>
      <c r="F30" s="406"/>
      <c r="G30" s="16">
        <f>IFERROR(VLOOKUP(B30,P!$X:$Z,3,FALSE),0)</f>
        <v>0</v>
      </c>
      <c r="H30" s="6"/>
      <c r="I30" s="45">
        <f>IF(RIOCOLOR[[#This Row],[QUOTED RATE]]="",RIOCOLOR[[#This Row],[UNIT RATE]]*RIOCOLOR[[#This Row],[QTY]],RIOCOLOR[[#This Row],[QUOTED RATE]]*RIOCOLOR[[#This Row],[QTY]])</f>
        <v>0</v>
      </c>
      <c r="J30" s="78"/>
      <c r="L30" s="268" t="str">
        <f>IF(M30="","",_xlfn.XLOOKUP(_xlfn.CONCAT(M30:O30),P!$J:$J,P!$I:$I,"UNAVAILABLE"))</f>
        <v/>
      </c>
      <c r="M30" s="426"/>
      <c r="N30" s="422"/>
      <c r="O30" s="422"/>
      <c r="P30" s="406"/>
      <c r="Q30" s="16">
        <f>IFERROR(VLOOKUP(L30,P!$X:$Z,3,FALSE),0)</f>
        <v>0</v>
      </c>
      <c r="R30" s="6"/>
      <c r="S30" s="45">
        <f>IF(Table22[[#This Row],[QUOTED RATE]]="",Table22[[#This Row],[UNIT RATE]]*Table22[[#This Row],[QTY]],Table22[[#This Row],[QUOTED RATE]]*Table22[[#This Row],[QTY]])</f>
        <v>0</v>
      </c>
    </row>
    <row r="31" spans="1:22" ht="15" customHeight="1" x14ac:dyDescent="0.35">
      <c r="B31" s="268" t="str">
        <f>IF(C31="","",_xlfn.XLOOKUP(_xlfn.CONCAT(C31:E31),P!$J:$J,P!$I:$I,"UNAVAILABLE"))</f>
        <v/>
      </c>
      <c r="C31" s="426"/>
      <c r="D31" s="422"/>
      <c r="E31" s="422"/>
      <c r="F31" s="406"/>
      <c r="G31" s="16">
        <f>IFERROR(VLOOKUP(B31,P!$X:$Z,3,FALSE),0)</f>
        <v>0</v>
      </c>
      <c r="H31" s="6"/>
      <c r="I31" s="45">
        <f>IF(RIOCOLOR[[#This Row],[QUOTED RATE]]="",RIOCOLOR[[#This Row],[UNIT RATE]]*RIOCOLOR[[#This Row],[QTY]],RIOCOLOR[[#This Row],[QUOTED RATE]]*RIOCOLOR[[#This Row],[QTY]])</f>
        <v>0</v>
      </c>
      <c r="J31" s="78"/>
      <c r="L31" s="268" t="str">
        <f>IF(M31="","",_xlfn.XLOOKUP(_xlfn.CONCAT(M31:O31),P!$J:$J,P!$I:$I,"UNAVAILABLE"))</f>
        <v/>
      </c>
      <c r="M31" s="426"/>
      <c r="N31" s="422"/>
      <c r="O31" s="422"/>
      <c r="P31" s="406"/>
      <c r="Q31" s="16">
        <f>IFERROR(VLOOKUP(L31,P!$X:$Z,3,FALSE),0)</f>
        <v>0</v>
      </c>
      <c r="R31" s="6"/>
      <c r="S31" s="45">
        <f>IF(Table22[[#This Row],[QUOTED RATE]]="",Table22[[#This Row],[UNIT RATE]]*Table22[[#This Row],[QTY]],Table22[[#This Row],[QUOTED RATE]]*Table22[[#This Row],[QTY]])</f>
        <v>0</v>
      </c>
    </row>
    <row r="32" spans="1:22" ht="15" customHeight="1" x14ac:dyDescent="0.35">
      <c r="B32" s="268" t="str">
        <f>IF(C32="","",_xlfn.XLOOKUP(_xlfn.CONCAT(C32:E32),P!$J:$J,P!$I:$I,"UNAVAILABLE"))</f>
        <v/>
      </c>
      <c r="C32" s="426"/>
      <c r="D32" s="422"/>
      <c r="E32" s="422"/>
      <c r="F32" s="406"/>
      <c r="G32" s="16">
        <f>IFERROR(VLOOKUP(B32,P!$X:$Z,3,FALSE),0)</f>
        <v>0</v>
      </c>
      <c r="H32" s="6"/>
      <c r="I32" s="45">
        <f>IF(RIOCOLOR[[#This Row],[QUOTED RATE]]="",RIOCOLOR[[#This Row],[UNIT RATE]]*RIOCOLOR[[#This Row],[QTY]],RIOCOLOR[[#This Row],[QUOTED RATE]]*RIOCOLOR[[#This Row],[QTY]])</f>
        <v>0</v>
      </c>
      <c r="J32" s="78"/>
      <c r="L32" s="268" t="str">
        <f>IF(M32="","",_xlfn.XLOOKUP(_xlfn.CONCAT(M32:O32),P!$J:$J,P!$I:$I,"UNAVAILABLE"))</f>
        <v/>
      </c>
      <c r="M32" s="426"/>
      <c r="N32" s="422"/>
      <c r="O32" s="422"/>
      <c r="P32" s="406"/>
      <c r="Q32" s="16">
        <f>IFERROR(VLOOKUP(L32,P!$X:$Z,3,FALSE),0)</f>
        <v>0</v>
      </c>
      <c r="R32" s="6"/>
      <c r="S32" s="45">
        <f>IF(Table22[[#This Row],[QUOTED RATE]]="",Table22[[#This Row],[UNIT RATE]]*Table22[[#This Row],[QTY]],Table22[[#This Row],[QUOTED RATE]]*Table22[[#This Row],[QTY]])</f>
        <v>0</v>
      </c>
    </row>
    <row r="33" spans="1:21" ht="15" customHeight="1" thickBot="1" x14ac:dyDescent="0.4">
      <c r="B33" s="268" t="str">
        <f>IF(C33="","",_xlfn.XLOOKUP(_xlfn.CONCAT(C33:E33),P!$J:$J,P!$I:$I,"UNAVAILABLE"))</f>
        <v/>
      </c>
      <c r="C33" s="427"/>
      <c r="D33" s="423"/>
      <c r="E33" s="423"/>
      <c r="F33" s="407"/>
      <c r="G33" s="43">
        <f>IFERROR(VLOOKUP(B33,P!$X:$Z,3,FALSE),0)</f>
        <v>0</v>
      </c>
      <c r="H33" s="42"/>
      <c r="I33" s="46">
        <f>IF(RIOCOLOR[[#This Row],[QUOTED RATE]]="",RIOCOLOR[[#This Row],[UNIT RATE]]*RIOCOLOR[[#This Row],[QTY]],RIOCOLOR[[#This Row],[QUOTED RATE]]*RIOCOLOR[[#This Row],[QTY]])</f>
        <v>0</v>
      </c>
      <c r="J33" s="78"/>
      <c r="L33" s="268" t="str">
        <f>IF(M33="","",_xlfn.XLOOKUP(_xlfn.CONCAT(M33:O33),P!$J:$J,P!$I:$I,"UNAVAILABLE"))</f>
        <v/>
      </c>
      <c r="M33" s="427"/>
      <c r="N33" s="423"/>
      <c r="O33" s="423"/>
      <c r="P33" s="407"/>
      <c r="Q33" s="43">
        <f>IFERROR(VLOOKUP(L33,P!$X:$Z,3,FALSE),0)</f>
        <v>0</v>
      </c>
      <c r="R33" s="42"/>
      <c r="S33" s="46">
        <f>IF(Table22[[#This Row],[QUOTED RATE]]="",Table22[[#This Row],[UNIT RATE]]*Table22[[#This Row],[QTY]],Table22[[#This Row],[QUOTED RATE]]*Table22[[#This Row],[QTY]])</f>
        <v>0</v>
      </c>
    </row>
    <row r="34" spans="1:21" ht="15" customHeight="1" thickTop="1" thickBot="1" x14ac:dyDescent="0.4">
      <c r="B34" s="271" t="s">
        <v>16</v>
      </c>
      <c r="C34" s="272" t="s">
        <v>16</v>
      </c>
      <c r="D34" s="273"/>
      <c r="E34" s="273"/>
      <c r="F34" s="273"/>
      <c r="G34" s="273"/>
      <c r="H34" s="273"/>
      <c r="I34" s="274">
        <f ca="1">SUBTOTAL(109,RIOCOLOR[EXTENSION])</f>
        <v>0</v>
      </c>
      <c r="J34" s="78"/>
      <c r="L34" s="271" t="s">
        <v>16</v>
      </c>
      <c r="M34" s="272" t="s">
        <v>16</v>
      </c>
      <c r="N34" s="273"/>
      <c r="O34" s="273"/>
      <c r="P34" s="273"/>
      <c r="Q34" s="276"/>
      <c r="R34" s="276"/>
      <c r="S34" s="274">
        <f ca="1">SUBTOTAL(109,Table22[EXTENSION])</f>
        <v>0</v>
      </c>
    </row>
    <row r="35" spans="1:21" ht="7.5" customHeight="1" thickBot="1" x14ac:dyDescent="0.4">
      <c r="B35" s="271"/>
      <c r="C35" s="277"/>
      <c r="D35" s="278"/>
      <c r="E35" s="278"/>
      <c r="F35" s="278"/>
      <c r="G35" s="278"/>
      <c r="H35" s="278"/>
      <c r="I35" s="279"/>
      <c r="J35" s="78"/>
    </row>
    <row r="36" spans="1:21" s="254" customFormat="1" ht="19" thickBot="1" x14ac:dyDescent="0.5">
      <c r="A36" s="67"/>
      <c r="B36" s="257" t="s">
        <v>314</v>
      </c>
      <c r="C36" s="812" t="s">
        <v>314</v>
      </c>
      <c r="D36" s="813"/>
      <c r="E36" s="813"/>
      <c r="F36" s="813"/>
      <c r="G36" s="813"/>
      <c r="H36" s="813"/>
      <c r="I36" s="814"/>
      <c r="J36" s="259"/>
      <c r="K36" s="67"/>
      <c r="L36" s="257" t="s">
        <v>309</v>
      </c>
      <c r="M36" s="812" t="s">
        <v>309</v>
      </c>
      <c r="N36" s="813"/>
      <c r="O36" s="813"/>
      <c r="P36" s="813"/>
      <c r="Q36" s="813"/>
      <c r="R36" s="813"/>
      <c r="S36" s="814"/>
      <c r="T36" s="259"/>
      <c r="U36" s="67"/>
    </row>
    <row r="37" spans="1:21" ht="15" customHeight="1" thickBot="1" x14ac:dyDescent="0.4">
      <c r="B37" s="260" t="s">
        <v>185</v>
      </c>
      <c r="C37" s="261" t="s">
        <v>181</v>
      </c>
      <c r="D37" s="262" t="s">
        <v>334</v>
      </c>
      <c r="E37" s="262" t="s">
        <v>182</v>
      </c>
      <c r="F37" s="263" t="s">
        <v>183</v>
      </c>
      <c r="G37" s="263" t="s">
        <v>184</v>
      </c>
      <c r="H37" s="264" t="s">
        <v>196</v>
      </c>
      <c r="I37" s="265" t="s">
        <v>156</v>
      </c>
      <c r="L37" s="260" t="s">
        <v>185</v>
      </c>
      <c r="M37" s="261" t="s">
        <v>181</v>
      </c>
      <c r="N37" s="262" t="s">
        <v>334</v>
      </c>
      <c r="O37" s="262" t="s">
        <v>182</v>
      </c>
      <c r="P37" s="263" t="s">
        <v>183</v>
      </c>
      <c r="Q37" s="263" t="s">
        <v>184</v>
      </c>
      <c r="R37" s="264" t="s">
        <v>196</v>
      </c>
      <c r="S37" s="265" t="s">
        <v>156</v>
      </c>
    </row>
    <row r="38" spans="1:21" ht="15" customHeight="1" x14ac:dyDescent="0.35">
      <c r="B38" s="268" t="str">
        <f ca="1">IF(C38="","",_xlfn.XLOOKUP(_xlfn.CONCAT(C38:E38),P!$J:$J,P!$I:$I,"UNAVAILABLE"))</f>
        <v>S-SPS-25</v>
      </c>
      <c r="C38" s="426" t="s">
        <v>740</v>
      </c>
      <c r="D38" s="269" t="str">
        <f t="shared" ref="D38:D50" si="2">IFERROR(IF(C38="","","N/A"),"")</f>
        <v>N/A</v>
      </c>
      <c r="E38" s="422" t="s">
        <v>422</v>
      </c>
      <c r="F38" s="405"/>
      <c r="G38" s="16">
        <f ca="1">IFERROR(VLOOKUP(B38,P!$X:$Z,3,FALSE),0)</f>
        <v>3190.0000000000005</v>
      </c>
      <c r="H38" s="5">
        <v>1</v>
      </c>
      <c r="I38" s="44">
        <f>IF(RIOPOLY[[#This Row],[QUOTED RATE]]="",RIOPOLY[[#This Row],[UNIT RATE]]*RIOPOLY[[#This Row],[QTY]],RIOPOLY[[#This Row],[QUOTED RATE]]*RIOPOLY[[#This Row],[QTY]])</f>
        <v>0</v>
      </c>
      <c r="L38" s="268" t="str">
        <f ca="1">IF(M38="","",_xlfn.XLOOKUP(_xlfn.CONCAT(M38:O38),P!$J:$J,P!$I:$I,"UNAVAILABLE"))</f>
        <v>R-MMB-50</v>
      </c>
      <c r="M38" s="426" t="s">
        <v>481</v>
      </c>
      <c r="N38" s="245" t="str">
        <f t="shared" ref="N38:N50" si="3">IFERROR(IF(M38="","","N/A"),"")</f>
        <v>N/A</v>
      </c>
      <c r="O38" s="422" t="s">
        <v>501</v>
      </c>
      <c r="P38" s="405"/>
      <c r="Q38" s="16">
        <f ca="1">IFERROR(VLOOKUP(L38,P!$X:$Z,3,FALSE),0)</f>
        <v>2915.0000000000005</v>
      </c>
      <c r="R38" s="5"/>
      <c r="S38" s="44">
        <f ca="1">IF(RIOMMA[[#This Row],[QUOTED RATE]]="",RIOMMA[[#This Row],[UNIT RATE]]*RIOMMA[[#This Row],[QTY]],RIOMMA[[#This Row],[QUOTED RATE]]*RIOMMA[[#This Row],[QTY]])</f>
        <v>0</v>
      </c>
    </row>
    <row r="39" spans="1:21" ht="15" customHeight="1" x14ac:dyDescent="0.35">
      <c r="B39" s="268" t="str">
        <f ca="1">IF(C39="","",_xlfn.XLOOKUP(_xlfn.CONCAT(C39:E39),P!$J:$J,P!$I:$I,"UNAVAILABLE"))</f>
        <v>S-SPS-2.5</v>
      </c>
      <c r="C39" s="426" t="s">
        <v>740</v>
      </c>
      <c r="D39" s="245" t="str">
        <f t="shared" si="2"/>
        <v>N/A</v>
      </c>
      <c r="E39" s="422" t="s">
        <v>497</v>
      </c>
      <c r="F39" s="406"/>
      <c r="G39" s="16">
        <f ca="1">IFERROR(VLOOKUP(B39,P!$X:$Z,3,FALSE),0)</f>
        <v>330</v>
      </c>
      <c r="H39" s="6">
        <v>1</v>
      </c>
      <c r="I39" s="45">
        <f>IF(RIOPOLY[[#This Row],[QUOTED RATE]]="",RIOPOLY[[#This Row],[UNIT RATE]]*RIOPOLY[[#This Row],[QTY]],RIOPOLY[[#This Row],[QUOTED RATE]]*RIOPOLY[[#This Row],[QTY]])</f>
        <v>0</v>
      </c>
      <c r="J39" s="280"/>
      <c r="L39" s="268" t="str">
        <f ca="1">IF(M39="","",_xlfn.XLOOKUP(_xlfn.CONCAT(M39:O39),P!$J:$J,P!$I:$I,"UNAVAILABLE"))</f>
        <v>R-MMT-5</v>
      </c>
      <c r="M39" s="426" t="s">
        <v>482</v>
      </c>
      <c r="N39" s="245" t="str">
        <f t="shared" si="3"/>
        <v>N/A</v>
      </c>
      <c r="O39" s="422" t="s">
        <v>412</v>
      </c>
      <c r="P39" s="405"/>
      <c r="Q39" s="16">
        <f ca="1">IFERROR(VLOOKUP(L39,P!$X:$Z,3,FALSE),0)</f>
        <v>330</v>
      </c>
      <c r="R39" s="6"/>
      <c r="S39" s="45">
        <f ca="1">IF(RIOMMA[[#This Row],[QUOTED RATE]]="",RIOMMA[[#This Row],[UNIT RATE]]*RIOMMA[[#This Row],[QTY]],RIOMMA[[#This Row],[QUOTED RATE]]*RIOMMA[[#This Row],[QTY]])</f>
        <v>0</v>
      </c>
    </row>
    <row r="40" spans="1:21" ht="15" customHeight="1" x14ac:dyDescent="0.35">
      <c r="B40" s="268" t="str">
        <f>IF(C40="","",_xlfn.XLOOKUP(_xlfn.CONCAT(C40:E40),P!$J:$J,P!$I:$I,"UNAVAILABLE"))</f>
        <v/>
      </c>
      <c r="C40" s="426"/>
      <c r="D40" s="245" t="str">
        <f t="shared" si="2"/>
        <v/>
      </c>
      <c r="E40" s="422"/>
      <c r="F40" s="406"/>
      <c r="G40" s="16">
        <f>IFERROR(VLOOKUP(B40,P!$X:$Z,3,FALSE),0)</f>
        <v>0</v>
      </c>
      <c r="H40" s="6"/>
      <c r="I40" s="45">
        <f>IF(RIOPOLY[[#This Row],[QUOTED RATE]]="",RIOPOLY[[#This Row],[UNIT RATE]]*RIOPOLY[[#This Row],[QTY]],RIOPOLY[[#This Row],[QUOTED RATE]]*RIOPOLY[[#This Row],[QTY]])</f>
        <v>0</v>
      </c>
      <c r="J40" s="266"/>
      <c r="L40" s="268" t="str">
        <f ca="1">IF(M40="","",_xlfn.XLOOKUP(_xlfn.CONCAT(M40:O40),P!$J:$J,P!$I:$I,"UNAVAILABLE"))</f>
        <v>R-MBP-10</v>
      </c>
      <c r="M40" s="426" t="s">
        <v>500</v>
      </c>
      <c r="N40" s="245" t="str">
        <f t="shared" si="3"/>
        <v>N/A</v>
      </c>
      <c r="O40" s="422" t="s">
        <v>502</v>
      </c>
      <c r="P40" s="405"/>
      <c r="Q40" s="16">
        <f ca="1">IFERROR(VLOOKUP(L40,P!$X:$Z,3,FALSE),0)</f>
        <v>264</v>
      </c>
      <c r="R40" s="6"/>
      <c r="S40" s="45">
        <f ca="1">IF(RIOMMA[[#This Row],[QUOTED RATE]]="",RIOMMA[[#This Row],[UNIT RATE]]*RIOMMA[[#This Row],[QTY]],RIOMMA[[#This Row],[QUOTED RATE]]*RIOMMA[[#This Row],[QTY]])</f>
        <v>0</v>
      </c>
    </row>
    <row r="41" spans="1:21" ht="15" customHeight="1" x14ac:dyDescent="0.35">
      <c r="B41" s="268" t="str">
        <f>IF(C41="","",_xlfn.XLOOKUP(_xlfn.CONCAT(C41:E41),P!$J:$J,P!$I:$I,"UNAVAILABLE"))</f>
        <v/>
      </c>
      <c r="C41" s="426"/>
      <c r="D41" s="245" t="str">
        <f t="shared" si="2"/>
        <v/>
      </c>
      <c r="E41" s="422"/>
      <c r="F41" s="406"/>
      <c r="G41" s="16">
        <f>IFERROR(VLOOKUP(B41,P!$X:$Z,3,FALSE),0)</f>
        <v>0</v>
      </c>
      <c r="H41" s="6"/>
      <c r="I41" s="45">
        <f>IF(RIOPOLY[[#This Row],[QUOTED RATE]]="",RIOPOLY[[#This Row],[UNIT RATE]]*RIOPOLY[[#This Row],[QTY]],RIOPOLY[[#This Row],[QUOTED RATE]]*RIOPOLY[[#This Row],[QTY]])</f>
        <v>0</v>
      </c>
      <c r="J41" s="78"/>
      <c r="L41" s="268" t="str">
        <f ca="1">IF(M41="","",_xlfn.XLOOKUP(_xlfn.CONCAT(M41:O41),P!$J:$J,P!$I:$I,"UNAVAILABLE"))</f>
        <v>R-MMC-5</v>
      </c>
      <c r="M41" s="426" t="s">
        <v>483</v>
      </c>
      <c r="N41" s="245" t="str">
        <f t="shared" si="3"/>
        <v>N/A</v>
      </c>
      <c r="O41" s="422" t="s">
        <v>412</v>
      </c>
      <c r="P41" s="405"/>
      <c r="Q41" s="16">
        <f ca="1">IFERROR(VLOOKUP(L41,P!$X:$Z,3,FALSE),0)</f>
        <v>264</v>
      </c>
      <c r="R41" s="6"/>
      <c r="S41" s="45">
        <f ca="1">IF(RIOMMA[[#This Row],[QUOTED RATE]]="",RIOMMA[[#This Row],[UNIT RATE]]*RIOMMA[[#This Row],[QTY]],RIOMMA[[#This Row],[QUOTED RATE]]*RIOMMA[[#This Row],[QTY]])</f>
        <v>0</v>
      </c>
    </row>
    <row r="42" spans="1:21" ht="15" customHeight="1" x14ac:dyDescent="0.35">
      <c r="B42" s="268" t="str">
        <f>IF(C42="","",_xlfn.XLOOKUP(_xlfn.CONCAT(C42:E42),P!$J:$J,P!$I:$I,"UNAVAILABLE"))</f>
        <v/>
      </c>
      <c r="C42" s="426"/>
      <c r="D42" s="245" t="str">
        <f t="shared" si="2"/>
        <v/>
      </c>
      <c r="E42" s="422"/>
      <c r="F42" s="406"/>
      <c r="G42" s="16">
        <f>IFERROR(VLOOKUP(B42,P!$X:$Z,3,FALSE),0)</f>
        <v>0</v>
      </c>
      <c r="H42" s="6"/>
      <c r="I42" s="45">
        <f>IF(RIOPOLY[[#This Row],[QUOTED RATE]]="",RIOPOLY[[#This Row],[UNIT RATE]]*RIOPOLY[[#This Row],[QTY]],RIOPOLY[[#This Row],[QUOTED RATE]]*RIOPOLY[[#This Row],[QTY]])</f>
        <v>0</v>
      </c>
      <c r="J42" s="78"/>
      <c r="L42" s="268" t="str">
        <f ca="1">IF(M42="","",_xlfn.XLOOKUP(_xlfn.CONCAT(M42:O42),P!$J:$J,P!$I:$I,"UNAVAILABLE"))</f>
        <v>R-MMP-5</v>
      </c>
      <c r="M42" s="426" t="s">
        <v>484</v>
      </c>
      <c r="N42" s="245" t="str">
        <f t="shared" si="3"/>
        <v>N/A</v>
      </c>
      <c r="O42" s="422" t="s">
        <v>412</v>
      </c>
      <c r="P42" s="405"/>
      <c r="Q42" s="16">
        <f ca="1">IFERROR(VLOOKUP(L42,P!$X:$Z,3,FALSE),0)</f>
        <v>330</v>
      </c>
      <c r="R42" s="6"/>
      <c r="S42" s="45">
        <f ca="1">IF(RIOMMA[[#This Row],[QUOTED RATE]]="",RIOMMA[[#This Row],[UNIT RATE]]*RIOMMA[[#This Row],[QTY]],RIOMMA[[#This Row],[QUOTED RATE]]*RIOMMA[[#This Row],[QTY]])</f>
        <v>0</v>
      </c>
    </row>
    <row r="43" spans="1:21" ht="15" customHeight="1" x14ac:dyDescent="0.35">
      <c r="B43" s="268" t="str">
        <f>IF(C43="","",_xlfn.XLOOKUP(_xlfn.CONCAT(C43:E43),P!$J:$J,P!$I:$I,"UNAVAILABLE"))</f>
        <v/>
      </c>
      <c r="C43" s="426"/>
      <c r="D43" s="245" t="str">
        <f t="shared" si="2"/>
        <v/>
      </c>
      <c r="E43" s="422"/>
      <c r="F43" s="406"/>
      <c r="G43" s="16">
        <f>IFERROR(VLOOKUP(B43,P!$X:$Z,3,FALSE),0)</f>
        <v>0</v>
      </c>
      <c r="H43" s="6"/>
      <c r="I43" s="45">
        <f>IF(RIOPOLY[[#This Row],[QUOTED RATE]]="",RIOPOLY[[#This Row],[UNIT RATE]]*RIOPOLY[[#This Row],[QTY]],RIOPOLY[[#This Row],[QUOTED RATE]]*RIOPOLY[[#This Row],[QTY]])</f>
        <v>0</v>
      </c>
      <c r="J43" s="78"/>
      <c r="L43" s="268" t="str">
        <f ca="1">IF(M43="","",_xlfn.XLOOKUP(_xlfn.CONCAT(M43:O43),P!$J:$J,P!$I:$I,"UNAVAILABLE"))</f>
        <v>R-MMA-5</v>
      </c>
      <c r="M43" s="426" t="s">
        <v>485</v>
      </c>
      <c r="N43" s="245" t="str">
        <f t="shared" si="3"/>
        <v>N/A</v>
      </c>
      <c r="O43" s="422" t="s">
        <v>412</v>
      </c>
      <c r="P43" s="405"/>
      <c r="Q43" s="16">
        <f ca="1">IFERROR(VLOOKUP(L43,P!$X:$Z,3,FALSE),0)</f>
        <v>341</v>
      </c>
      <c r="R43" s="6"/>
      <c r="S43" s="45">
        <f ca="1">IF(RIOMMA[[#This Row],[QUOTED RATE]]="",RIOMMA[[#This Row],[UNIT RATE]]*RIOMMA[[#This Row],[QTY]],RIOMMA[[#This Row],[QUOTED RATE]]*RIOMMA[[#This Row],[QTY]])</f>
        <v>0</v>
      </c>
    </row>
    <row r="44" spans="1:21" ht="15" customHeight="1" x14ac:dyDescent="0.35">
      <c r="B44" s="268" t="str">
        <f>IF(C44="","",_xlfn.XLOOKUP(_xlfn.CONCAT(C44:E44),P!$J:$J,P!$I:$I,"UNAVAILABLE"))</f>
        <v/>
      </c>
      <c r="C44" s="426"/>
      <c r="D44" s="245" t="str">
        <f t="shared" si="2"/>
        <v/>
      </c>
      <c r="E44" s="422"/>
      <c r="F44" s="406"/>
      <c r="G44" s="16">
        <f>IFERROR(VLOOKUP(B44,P!$X:$Z,3,FALSE),0)</f>
        <v>0</v>
      </c>
      <c r="H44" s="6"/>
      <c r="I44" s="45">
        <f>IF(RIOPOLY[[#This Row],[QUOTED RATE]]="",RIOPOLY[[#This Row],[UNIT RATE]]*RIOPOLY[[#This Row],[QTY]],RIOPOLY[[#This Row],[QUOTED RATE]]*RIOPOLY[[#This Row],[QTY]])</f>
        <v>0</v>
      </c>
      <c r="J44" s="78"/>
      <c r="L44" s="268" t="str">
        <f>IF(M44="","",_xlfn.XLOOKUP(_xlfn.CONCAT(M44:O44),P!$J:$J,P!$I:$I,"UNAVAILABLE"))</f>
        <v/>
      </c>
      <c r="M44" s="426"/>
      <c r="N44" s="245" t="str">
        <f t="shared" si="3"/>
        <v/>
      </c>
      <c r="O44" s="422"/>
      <c r="P44" s="406"/>
      <c r="Q44" s="16">
        <f>IFERROR(VLOOKUP(L44,P!$X:$Z,3,FALSE),0)</f>
        <v>0</v>
      </c>
      <c r="R44" s="6"/>
      <c r="S44" s="45">
        <f>IF(RIOMMA[[#This Row],[QUOTED RATE]]="",RIOMMA[[#This Row],[UNIT RATE]]*RIOMMA[[#This Row],[QTY]],RIOMMA[[#This Row],[QUOTED RATE]]*RIOMMA[[#This Row],[QTY]])</f>
        <v>0</v>
      </c>
    </row>
    <row r="45" spans="1:21" ht="15" customHeight="1" x14ac:dyDescent="0.35">
      <c r="B45" s="268" t="str">
        <f>IF(C45="","",_xlfn.XLOOKUP(_xlfn.CONCAT(C45:E45),P!$J:$J,P!$I:$I,"UNAVAILABLE"))</f>
        <v/>
      </c>
      <c r="C45" s="426"/>
      <c r="D45" s="245" t="str">
        <f t="shared" si="2"/>
        <v/>
      </c>
      <c r="E45" s="422"/>
      <c r="F45" s="406"/>
      <c r="G45" s="16">
        <f>IFERROR(VLOOKUP(B45,P!$X:$Z,3,FALSE),0)</f>
        <v>0</v>
      </c>
      <c r="H45" s="6"/>
      <c r="I45" s="45">
        <f>IF(RIOPOLY[[#This Row],[QUOTED RATE]]="",RIOPOLY[[#This Row],[UNIT RATE]]*RIOPOLY[[#This Row],[QTY]],RIOPOLY[[#This Row],[QUOTED RATE]]*RIOPOLY[[#This Row],[QTY]])</f>
        <v>0</v>
      </c>
      <c r="J45" s="78"/>
      <c r="L45" s="268" t="str">
        <f>IF(M45="","",_xlfn.XLOOKUP(_xlfn.CONCAT(M45:O45),P!$J:$J,P!$I:$I,"UNAVAILABLE"))</f>
        <v/>
      </c>
      <c r="M45" s="426"/>
      <c r="N45" s="245" t="str">
        <f t="shared" si="3"/>
        <v/>
      </c>
      <c r="O45" s="422"/>
      <c r="P45" s="406"/>
      <c r="Q45" s="16">
        <f>IFERROR(VLOOKUP(L45,P!$X:$Z,3,FALSE),0)</f>
        <v>0</v>
      </c>
      <c r="R45" s="6"/>
      <c r="S45" s="45">
        <f>IF(RIOMMA[[#This Row],[QUOTED RATE]]="",RIOMMA[[#This Row],[UNIT RATE]]*RIOMMA[[#This Row],[QTY]],RIOMMA[[#This Row],[QUOTED RATE]]*RIOMMA[[#This Row],[QTY]])</f>
        <v>0</v>
      </c>
    </row>
    <row r="46" spans="1:21" ht="15" customHeight="1" x14ac:dyDescent="0.35">
      <c r="B46" s="268" t="str">
        <f>IF(C46="","",_xlfn.XLOOKUP(_xlfn.CONCAT(C46:E46),P!$J:$J,P!$I:$I,"UNAVAILABLE"))</f>
        <v/>
      </c>
      <c r="C46" s="426"/>
      <c r="D46" s="245" t="str">
        <f t="shared" si="2"/>
        <v/>
      </c>
      <c r="E46" s="422"/>
      <c r="F46" s="406"/>
      <c r="G46" s="16">
        <f>IFERROR(VLOOKUP(B46,P!$X:$Z,3,FALSE),0)</f>
        <v>0</v>
      </c>
      <c r="H46" s="6"/>
      <c r="I46" s="45">
        <f>IF(RIOPOLY[[#This Row],[QUOTED RATE]]="",RIOPOLY[[#This Row],[UNIT RATE]]*RIOPOLY[[#This Row],[QTY]],RIOPOLY[[#This Row],[QUOTED RATE]]*RIOPOLY[[#This Row],[QTY]])</f>
        <v>0</v>
      </c>
      <c r="J46" s="78"/>
      <c r="L46" s="268" t="str">
        <f>IF(M46="","",_xlfn.XLOOKUP(_xlfn.CONCAT(M46:O46),P!$J:$J,P!$I:$I,"UNAVAILABLE"))</f>
        <v/>
      </c>
      <c r="M46" s="426"/>
      <c r="N46" s="245" t="str">
        <f t="shared" si="3"/>
        <v/>
      </c>
      <c r="O46" s="422"/>
      <c r="P46" s="406"/>
      <c r="Q46" s="16">
        <f>IFERROR(VLOOKUP(L46,P!$X:$Z,3,FALSE),0)</f>
        <v>0</v>
      </c>
      <c r="R46" s="6"/>
      <c r="S46" s="45">
        <f>IF(RIOMMA[[#This Row],[QUOTED RATE]]="",RIOMMA[[#This Row],[UNIT RATE]]*RIOMMA[[#This Row],[QTY]],RIOMMA[[#This Row],[QUOTED RATE]]*RIOMMA[[#This Row],[QTY]])</f>
        <v>0</v>
      </c>
    </row>
    <row r="47" spans="1:21" ht="15" customHeight="1" x14ac:dyDescent="0.35">
      <c r="B47" s="268" t="str">
        <f>IF(C47="","",_xlfn.XLOOKUP(_xlfn.CONCAT(C47:E47),P!$J:$J,P!$I:$I,"UNAVAILABLE"))</f>
        <v/>
      </c>
      <c r="C47" s="426"/>
      <c r="D47" s="245" t="str">
        <f t="shared" si="2"/>
        <v/>
      </c>
      <c r="E47" s="422"/>
      <c r="F47" s="406"/>
      <c r="G47" s="16">
        <f>IFERROR(VLOOKUP(B47,P!$X:$Z,3,FALSE),0)</f>
        <v>0</v>
      </c>
      <c r="H47" s="6"/>
      <c r="I47" s="45">
        <f>IF(RIOPOLY[[#This Row],[QUOTED RATE]]="",RIOPOLY[[#This Row],[UNIT RATE]]*RIOPOLY[[#This Row],[QTY]],RIOPOLY[[#This Row],[QUOTED RATE]]*RIOPOLY[[#This Row],[QTY]])</f>
        <v>0</v>
      </c>
      <c r="J47" s="78"/>
      <c r="L47" s="268" t="str">
        <f>IF(M47="","",_xlfn.XLOOKUP(_xlfn.CONCAT(M47:O47),P!$J:$J,P!$I:$I,"UNAVAILABLE"))</f>
        <v/>
      </c>
      <c r="M47" s="426"/>
      <c r="N47" s="245" t="str">
        <f t="shared" si="3"/>
        <v/>
      </c>
      <c r="O47" s="422"/>
      <c r="P47" s="406"/>
      <c r="Q47" s="16">
        <f>IFERROR(VLOOKUP(L47,P!$X:$Z,3,FALSE),0)</f>
        <v>0</v>
      </c>
      <c r="R47" s="6"/>
      <c r="S47" s="45">
        <f>IF(RIOMMA[[#This Row],[QUOTED RATE]]="",RIOMMA[[#This Row],[UNIT RATE]]*RIOMMA[[#This Row],[QTY]],RIOMMA[[#This Row],[QUOTED RATE]]*RIOMMA[[#This Row],[QTY]])</f>
        <v>0</v>
      </c>
    </row>
    <row r="48" spans="1:21" ht="15" customHeight="1" x14ac:dyDescent="0.35">
      <c r="B48" s="268" t="str">
        <f>IF(C48="","",_xlfn.XLOOKUP(_xlfn.CONCAT(C48:E48),P!$J:$J,P!$I:$I,"UNAVAILABLE"))</f>
        <v/>
      </c>
      <c r="C48" s="426"/>
      <c r="D48" s="245" t="str">
        <f t="shared" si="2"/>
        <v/>
      </c>
      <c r="E48" s="422"/>
      <c r="F48" s="406"/>
      <c r="G48" s="16">
        <f>IFERROR(VLOOKUP(B48,P!$X:$Z,3,FALSE),0)</f>
        <v>0</v>
      </c>
      <c r="H48" s="6"/>
      <c r="I48" s="45">
        <f>IF(RIOPOLY[[#This Row],[QUOTED RATE]]="",RIOPOLY[[#This Row],[UNIT RATE]]*RIOPOLY[[#This Row],[QTY]],RIOPOLY[[#This Row],[QUOTED RATE]]*RIOPOLY[[#This Row],[QTY]])</f>
        <v>0</v>
      </c>
      <c r="J48" s="78"/>
      <c r="L48" s="268" t="str">
        <f>IF(M48="","",_xlfn.XLOOKUP(_xlfn.CONCAT(M48:O48),P!$J:$J,P!$I:$I,"UNAVAILABLE"))</f>
        <v/>
      </c>
      <c r="M48" s="426"/>
      <c r="N48" s="245" t="str">
        <f t="shared" si="3"/>
        <v/>
      </c>
      <c r="O48" s="422"/>
      <c r="P48" s="406"/>
      <c r="Q48" s="16">
        <f>IFERROR(VLOOKUP(L48,P!$X:$Z,3,FALSE),0)</f>
        <v>0</v>
      </c>
      <c r="R48" s="6"/>
      <c r="S48" s="45">
        <f>IF(RIOMMA[[#This Row],[QUOTED RATE]]="",RIOMMA[[#This Row],[UNIT RATE]]*RIOMMA[[#This Row],[QTY]],RIOMMA[[#This Row],[QUOTED RATE]]*RIOMMA[[#This Row],[QTY]])</f>
        <v>0</v>
      </c>
    </row>
    <row r="49" spans="1:21" ht="15" customHeight="1" x14ac:dyDescent="0.35">
      <c r="B49" s="268" t="str">
        <f>IF(C49="","",_xlfn.XLOOKUP(_xlfn.CONCAT(C49:E49),P!$J:$J,P!$I:$I,"UNAVAILABLE"))</f>
        <v/>
      </c>
      <c r="C49" s="426"/>
      <c r="D49" s="245" t="str">
        <f t="shared" si="2"/>
        <v/>
      </c>
      <c r="E49" s="422"/>
      <c r="F49" s="406"/>
      <c r="G49" s="16">
        <f>IFERROR(VLOOKUP(B49,P!$X:$Z,3,FALSE),0)</f>
        <v>0</v>
      </c>
      <c r="H49" s="6"/>
      <c r="I49" s="45">
        <f>IF(RIOPOLY[[#This Row],[QUOTED RATE]]="",RIOPOLY[[#This Row],[UNIT RATE]]*RIOPOLY[[#This Row],[QTY]],RIOPOLY[[#This Row],[QUOTED RATE]]*RIOPOLY[[#This Row],[QTY]])</f>
        <v>0</v>
      </c>
      <c r="J49" s="78"/>
      <c r="L49" s="268" t="str">
        <f>IF(M49="","",_xlfn.XLOOKUP(_xlfn.CONCAT(M49:O49),P!$J:$J,P!$I:$I,"UNAVAILABLE"))</f>
        <v/>
      </c>
      <c r="M49" s="426"/>
      <c r="N49" s="245" t="str">
        <f t="shared" si="3"/>
        <v/>
      </c>
      <c r="O49" s="422"/>
      <c r="P49" s="406"/>
      <c r="Q49" s="16">
        <f>IFERROR(VLOOKUP(L49,P!$X:$Z,3,FALSE),0)</f>
        <v>0</v>
      </c>
      <c r="R49" s="6"/>
      <c r="S49" s="45">
        <f>IF(RIOMMA[[#This Row],[QUOTED RATE]]="",RIOMMA[[#This Row],[UNIT RATE]]*RIOMMA[[#This Row],[QTY]],RIOMMA[[#This Row],[QUOTED RATE]]*RIOMMA[[#This Row],[QTY]])</f>
        <v>0</v>
      </c>
    </row>
    <row r="50" spans="1:21" ht="15" customHeight="1" thickBot="1" x14ac:dyDescent="0.4">
      <c r="B50" s="268" t="str">
        <f>IF(C50="","",_xlfn.XLOOKUP(_xlfn.CONCAT(C50:E50),P!$J:$J,P!$I:$I,"UNAVAILABLE"))</f>
        <v/>
      </c>
      <c r="C50" s="427"/>
      <c r="D50" s="270" t="str">
        <f t="shared" si="2"/>
        <v/>
      </c>
      <c r="E50" s="423"/>
      <c r="F50" s="407"/>
      <c r="G50" s="43">
        <f>IFERROR(VLOOKUP(B50,P!$X:$Z,3,FALSE),0)</f>
        <v>0</v>
      </c>
      <c r="H50" s="42"/>
      <c r="I50" s="46">
        <f>IF(RIOPOLY[[#This Row],[QUOTED RATE]]="",RIOPOLY[[#This Row],[UNIT RATE]]*RIOPOLY[[#This Row],[QTY]],RIOPOLY[[#This Row],[QUOTED RATE]]*RIOPOLY[[#This Row],[QTY]])</f>
        <v>0</v>
      </c>
      <c r="J50" s="78"/>
      <c r="L50" s="268" t="str">
        <f>IF(M50="","",_xlfn.XLOOKUP(_xlfn.CONCAT(M50:O50),P!$J:$J,P!$I:$I,"UNAVAILABLE"))</f>
        <v/>
      </c>
      <c r="M50" s="427"/>
      <c r="N50" s="270" t="str">
        <f t="shared" si="3"/>
        <v/>
      </c>
      <c r="O50" s="422"/>
      <c r="P50" s="407"/>
      <c r="Q50" s="43">
        <f>IFERROR(VLOOKUP(L50,P!$X:$Z,3,FALSE),0)</f>
        <v>0</v>
      </c>
      <c r="R50" s="42"/>
      <c r="S50" s="46">
        <f>IF(RIOMMA[[#This Row],[QUOTED RATE]]="",RIOMMA[[#This Row],[UNIT RATE]]*RIOMMA[[#This Row],[QTY]],RIOMMA[[#This Row],[QUOTED RATE]]*RIOMMA[[#This Row],[QTY]])</f>
        <v>0</v>
      </c>
    </row>
    <row r="51" spans="1:21" ht="15" customHeight="1" thickTop="1" thickBot="1" x14ac:dyDescent="0.4">
      <c r="B51" s="271" t="s">
        <v>16</v>
      </c>
      <c r="C51" s="272" t="s">
        <v>16</v>
      </c>
      <c r="D51" s="273"/>
      <c r="E51" s="273"/>
      <c r="F51" s="273"/>
      <c r="G51" s="273"/>
      <c r="H51" s="273"/>
      <c r="I51" s="274">
        <f>SUBTOTAL(109,RIOPOLY[EXTENSION])</f>
        <v>0</v>
      </c>
      <c r="J51" s="78"/>
      <c r="L51" s="271" t="s">
        <v>16</v>
      </c>
      <c r="M51" s="272" t="s">
        <v>16</v>
      </c>
      <c r="N51" s="273"/>
      <c r="O51" s="273"/>
      <c r="P51" s="273"/>
      <c r="Q51" s="273"/>
      <c r="R51" s="273"/>
      <c r="S51" s="274">
        <f ca="1">SUBTOTAL(109,RIOMMA[EXTENSION])</f>
        <v>0</v>
      </c>
    </row>
    <row r="52" spans="1:21" ht="7.5" customHeight="1" thickBot="1" x14ac:dyDescent="0.4">
      <c r="J52" s="78"/>
    </row>
    <row r="53" spans="1:21" s="254" customFormat="1" ht="19" thickBot="1" x14ac:dyDescent="0.5">
      <c r="A53" s="67"/>
      <c r="B53" s="255"/>
      <c r="C53" s="812" t="s">
        <v>436</v>
      </c>
      <c r="D53" s="813"/>
      <c r="E53" s="813"/>
      <c r="F53" s="813"/>
      <c r="G53" s="813"/>
      <c r="H53" s="813"/>
      <c r="I53" s="814"/>
      <c r="K53" s="67"/>
      <c r="L53" s="257" t="s">
        <v>437</v>
      </c>
      <c r="M53" s="812" t="s">
        <v>437</v>
      </c>
      <c r="N53" s="813"/>
      <c r="O53" s="813"/>
      <c r="P53" s="813"/>
      <c r="Q53" s="813"/>
      <c r="R53" s="813"/>
      <c r="S53" s="814"/>
      <c r="T53" s="281"/>
      <c r="U53" s="67"/>
    </row>
    <row r="54" spans="1:21" ht="15" customHeight="1" thickBot="1" x14ac:dyDescent="0.4">
      <c r="C54" s="282" t="s">
        <v>153</v>
      </c>
      <c r="D54" s="282" t="s">
        <v>302</v>
      </c>
      <c r="E54" s="283" t="s">
        <v>722</v>
      </c>
      <c r="F54" s="282" t="s">
        <v>154</v>
      </c>
      <c r="G54" s="82" t="s">
        <v>430</v>
      </c>
      <c r="H54" s="82" t="s">
        <v>155</v>
      </c>
      <c r="I54" s="88" t="s">
        <v>156</v>
      </c>
      <c r="J54" s="279"/>
      <c r="L54" s="282" t="s">
        <v>185</v>
      </c>
      <c r="M54" s="284" t="s">
        <v>181</v>
      </c>
      <c r="N54" s="262" t="s">
        <v>334</v>
      </c>
      <c r="O54" s="262" t="s">
        <v>182</v>
      </c>
      <c r="P54" s="263" t="s">
        <v>183</v>
      </c>
      <c r="Q54" s="285" t="s">
        <v>184</v>
      </c>
      <c r="R54" s="82" t="s">
        <v>302</v>
      </c>
      <c r="S54" s="286" t="s">
        <v>156</v>
      </c>
    </row>
    <row r="55" spans="1:21" ht="15" customHeight="1" x14ac:dyDescent="0.35">
      <c r="B55" t="s">
        <v>1</v>
      </c>
      <c r="C55" s="89" t="s">
        <v>1093</v>
      </c>
      <c r="D55" s="86"/>
      <c r="E55" s="87"/>
      <c r="F55" s="408"/>
      <c r="G55" s="438"/>
      <c r="H55" s="69">
        <v>600</v>
      </c>
      <c r="I55" s="93">
        <f>F55*G55*H55</f>
        <v>0</v>
      </c>
      <c r="L55" s="290" t="str">
        <f>IF(M55="","",_xlfn.CONCAT(M55:O55))</f>
        <v>Rentals (Equipment, Sunbelt etc)&lt;- Rentals Here</v>
      </c>
      <c r="M55" s="577" t="s">
        <v>465</v>
      </c>
      <c r="N55" s="234" t="s">
        <v>1037</v>
      </c>
      <c r="O55" s="235"/>
      <c r="P55" s="91"/>
      <c r="Q55" s="200"/>
      <c r="R55" s="235"/>
      <c r="S55" s="291">
        <f>IF(P55="", Q55, P55*Q55)</f>
        <v>0</v>
      </c>
    </row>
    <row r="56" spans="1:21" ht="15" customHeight="1" x14ac:dyDescent="0.35">
      <c r="B56" t="s">
        <v>1</v>
      </c>
      <c r="C56" s="90" t="s">
        <v>1090</v>
      </c>
      <c r="D56" s="84"/>
      <c r="E56" s="85"/>
      <c r="F56" s="408"/>
      <c r="G56" s="438"/>
      <c r="H56" s="69">
        <v>600</v>
      </c>
      <c r="I56" s="93">
        <f t="shared" ref="I56:I67" si="4">F56*G56*H56</f>
        <v>0</v>
      </c>
      <c r="L56" s="290" t="str">
        <f>IF(M56="","",_xlfn.CONCAT(M56:O56))</f>
        <v>Rentals (Equipment, Sunbelt etc)&lt;- Rentals Here</v>
      </c>
      <c r="M56" s="577" t="s">
        <v>465</v>
      </c>
      <c r="N56" s="234" t="s">
        <v>1037</v>
      </c>
      <c r="O56" s="235"/>
      <c r="P56" s="91"/>
      <c r="Q56" s="200"/>
      <c r="R56" s="235"/>
      <c r="S56" s="291">
        <f>IF(P56="", Q56, P56*Q56)</f>
        <v>0</v>
      </c>
    </row>
    <row r="57" spans="1:21" ht="15" customHeight="1" x14ac:dyDescent="0.35">
      <c r="B57" t="s">
        <v>1</v>
      </c>
      <c r="C57" s="90" t="s">
        <v>1091</v>
      </c>
      <c r="D57" s="84"/>
      <c r="E57" s="85"/>
      <c r="F57" s="408"/>
      <c r="G57" s="438"/>
      <c r="H57" s="69">
        <v>600</v>
      </c>
      <c r="I57" s="93">
        <f t="shared" si="4"/>
        <v>0</v>
      </c>
      <c r="L57" s="290" t="str">
        <f>IF(M57="","",_xlfn.CONCAT(M57:O57))</f>
        <v>Rentals (Equipment, Sunbelt etc)&lt;- Rentals Here</v>
      </c>
      <c r="M57" s="577" t="s">
        <v>465</v>
      </c>
      <c r="N57" s="234" t="s">
        <v>1037</v>
      </c>
      <c r="O57" s="235"/>
      <c r="P57" s="91"/>
      <c r="Q57" s="200"/>
      <c r="R57" s="235"/>
      <c r="S57" s="291">
        <f>IF(P57="", Q57, P57*Q57)</f>
        <v>0</v>
      </c>
    </row>
    <row r="58" spans="1:21" ht="15" customHeight="1" x14ac:dyDescent="0.35">
      <c r="B58" t="s">
        <v>1</v>
      </c>
      <c r="C58" s="90" t="s">
        <v>1092</v>
      </c>
      <c r="D58" s="84"/>
      <c r="E58" s="85"/>
      <c r="F58" s="408"/>
      <c r="G58" s="438"/>
      <c r="H58" s="69">
        <v>600</v>
      </c>
      <c r="I58" s="93">
        <f t="shared" si="4"/>
        <v>0</v>
      </c>
      <c r="L58" s="290" t="str">
        <f>IF(M58="","",_xlfn.CONCAT(M58:O58))</f>
        <v>Contingency</v>
      </c>
      <c r="M58" s="247" t="s">
        <v>166</v>
      </c>
      <c r="N58" s="234"/>
      <c r="O58" s="235"/>
      <c r="P58" s="235"/>
      <c r="Q58" s="201"/>
      <c r="R58" s="235"/>
      <c r="S58" s="291">
        <f>Q58</f>
        <v>0</v>
      </c>
    </row>
    <row r="59" spans="1:21" ht="15" customHeight="1" x14ac:dyDescent="0.35">
      <c r="B59" t="s">
        <v>1</v>
      </c>
      <c r="C59" s="90" t="s">
        <v>431</v>
      </c>
      <c r="D59" s="84"/>
      <c r="E59" s="85"/>
      <c r="F59" s="408"/>
      <c r="G59" s="438"/>
      <c r="H59" s="69">
        <v>600</v>
      </c>
      <c r="I59" s="93">
        <f t="shared" si="4"/>
        <v>0</v>
      </c>
      <c r="L59" s="290" t="str">
        <f>IF(M59="","",_xlfn.CONCAT(M59:O59))</f>
        <v>Box Truck Rental</v>
      </c>
      <c r="M59" s="247" t="s">
        <v>438</v>
      </c>
      <c r="N59" s="234"/>
      <c r="O59" s="235"/>
      <c r="P59" s="235"/>
      <c r="Q59" s="201"/>
      <c r="R59" s="235"/>
      <c r="S59" s="291">
        <f>Q59</f>
        <v>0</v>
      </c>
    </row>
    <row r="60" spans="1:21" ht="15" customHeight="1" x14ac:dyDescent="0.35">
      <c r="B60" t="s">
        <v>1</v>
      </c>
      <c r="C60" s="90"/>
      <c r="D60" s="84"/>
      <c r="E60" s="85"/>
      <c r="F60" s="408"/>
      <c r="G60" s="438"/>
      <c r="H60" s="69">
        <v>600</v>
      </c>
      <c r="I60" s="93">
        <f t="shared" si="4"/>
        <v>0</v>
      </c>
      <c r="J60" s="78"/>
      <c r="L60" s="294" t="str">
        <f>IFERROR(IF(M60="","",_xlfn.XLOOKUP(_xlfn.CONCAT(M60:O60),P!$Y:$Y,P!$X:$X,"UNAVAILABLE")),"UNAVAILABLE")</f>
        <v>S (30 TUBEN//ATU</v>
      </c>
      <c r="M60" s="426" t="s">
        <v>719</v>
      </c>
      <c r="N60" s="424" t="s">
        <v>398</v>
      </c>
      <c r="O60" s="422" t="s">
        <v>503</v>
      </c>
      <c r="P60" s="400"/>
      <c r="Q60" s="203">
        <f>IFERROR(VLOOKUP(L60,P!$X:$Z,3,FALSE),0)</f>
        <v>8.2899999999999991</v>
      </c>
      <c r="R60" s="235"/>
      <c r="S60" s="291">
        <f>Q60*P60</f>
        <v>0</v>
      </c>
    </row>
    <row r="61" spans="1:21" ht="15" customHeight="1" x14ac:dyDescent="0.35">
      <c r="B61" t="s">
        <v>1</v>
      </c>
      <c r="C61" s="90"/>
      <c r="D61" s="84"/>
      <c r="E61" s="85"/>
      <c r="F61" s="408"/>
      <c r="G61" s="438"/>
      <c r="H61" s="69">
        <v>600</v>
      </c>
      <c r="I61" s="93">
        <f t="shared" si="4"/>
        <v>0</v>
      </c>
      <c r="J61" s="78"/>
      <c r="L61" s="268" t="str">
        <f ca="1">IF(M61="","",_xlfn.XLOOKUP(_xlfn.CONCAT(M61:O61),P!$J:$J,P!$I:$I,"UNAVAILABLE"))</f>
        <v>JS4U-SG</v>
      </c>
      <c r="M61" s="426" t="s">
        <v>1047</v>
      </c>
      <c r="N61" s="424" t="s">
        <v>521</v>
      </c>
      <c r="O61" s="422" t="s">
        <v>718</v>
      </c>
      <c r="P61" s="400"/>
      <c r="Q61" s="203">
        <f ca="1">IFERROR(VLOOKUP(L61,P!$X:$Z,3,FALSE),0)</f>
        <v>125.4</v>
      </c>
      <c r="R61" s="235"/>
      <c r="S61" s="291">
        <f ca="1">Q61*P61</f>
        <v>0</v>
      </c>
    </row>
    <row r="62" spans="1:21" ht="15" customHeight="1" x14ac:dyDescent="0.35">
      <c r="B62" t="s">
        <v>1</v>
      </c>
      <c r="C62" s="90"/>
      <c r="D62" s="84"/>
      <c r="E62" s="85"/>
      <c r="F62" s="408"/>
      <c r="G62" s="438"/>
      <c r="H62" s="69">
        <v>600</v>
      </c>
      <c r="I62" s="93">
        <f t="shared" si="4"/>
        <v>0</v>
      </c>
      <c r="J62" s="78"/>
      <c r="L62" s="268" t="str">
        <f ca="1">IF(M62="","",_xlfn.XLOOKUP(_xlfn.CONCAT(M62:O62),P!$J:$J,P!$I:$I,"UNAVAILABLE"))</f>
        <v>S-RS88-SG1</v>
      </c>
      <c r="M62" s="426" t="s">
        <v>720</v>
      </c>
      <c r="N62" s="424" t="s">
        <v>521</v>
      </c>
      <c r="O62" s="422" t="s">
        <v>503</v>
      </c>
      <c r="P62" s="400"/>
      <c r="Q62" s="203">
        <f ca="1">IFERROR(VLOOKUP(L62,P!$X:$Z,3,FALSE),0)</f>
        <v>38.5</v>
      </c>
      <c r="R62" s="235"/>
      <c r="S62" s="291">
        <f ca="1">Q62*P62</f>
        <v>0</v>
      </c>
    </row>
    <row r="63" spans="1:21" ht="15" customHeight="1" x14ac:dyDescent="0.35">
      <c r="B63" t="s">
        <v>1</v>
      </c>
      <c r="C63" s="90"/>
      <c r="D63" s="84"/>
      <c r="E63" s="85"/>
      <c r="F63" s="408"/>
      <c r="G63" s="438"/>
      <c r="H63" s="69">
        <v>600</v>
      </c>
      <c r="I63" s="93">
        <f t="shared" si="4"/>
        <v>0</v>
      </c>
      <c r="J63" s="78"/>
      <c r="L63" s="290" t="str">
        <f>IF(M63="","",_xlfn.CONCAT(M63:O63))</f>
        <v/>
      </c>
      <c r="M63" s="215"/>
      <c r="N63" s="589"/>
      <c r="O63" s="91"/>
      <c r="P63" s="400"/>
      <c r="Q63" s="201"/>
      <c r="R63" s="235"/>
      <c r="S63" s="291">
        <f>Q63*P63</f>
        <v>0</v>
      </c>
    </row>
    <row r="64" spans="1:21" ht="15" customHeight="1" x14ac:dyDescent="0.35">
      <c r="B64" t="s">
        <v>2</v>
      </c>
      <c r="C64" s="240" t="s">
        <v>158</v>
      </c>
      <c r="D64" s="240"/>
      <c r="E64" s="241"/>
      <c r="F64" s="411"/>
      <c r="G64" s="542"/>
      <c r="H64" s="69"/>
      <c r="I64" s="93">
        <f>H64</f>
        <v>0</v>
      </c>
      <c r="J64" s="78"/>
      <c r="L64" s="290" t="str">
        <f>IF(M64="","",_xlfn.CONCAT(M64:O64))</f>
        <v/>
      </c>
      <c r="M64" s="215"/>
      <c r="N64" s="589"/>
      <c r="O64" s="91"/>
      <c r="P64" s="400"/>
      <c r="Q64" s="201"/>
      <c r="R64" s="235"/>
      <c r="S64" s="291">
        <f>Q64*P64</f>
        <v>0</v>
      </c>
    </row>
    <row r="65" spans="1:21" ht="15" customHeight="1" x14ac:dyDescent="0.35">
      <c r="B65" t="s">
        <v>3</v>
      </c>
      <c r="C65" s="240" t="s">
        <v>159</v>
      </c>
      <c r="D65" s="240"/>
      <c r="E65" s="241"/>
      <c r="F65" s="408"/>
      <c r="G65" s="439"/>
      <c r="H65" s="72">
        <v>420</v>
      </c>
      <c r="I65" s="93">
        <f>F65*G65*H65</f>
        <v>0</v>
      </c>
      <c r="J65" s="78"/>
      <c r="L65" s="290" t="str">
        <f t="shared" ref="L65:L72" si="5">IF(M65="","",_xlfn.CONCAT(M65:O65))</f>
        <v/>
      </c>
      <c r="M65" s="215"/>
      <c r="N65" s="589"/>
      <c r="O65" s="91"/>
      <c r="P65" s="400"/>
      <c r="Q65" s="201"/>
      <c r="R65" s="235"/>
      <c r="S65" s="291">
        <f t="shared" ref="S65:S72" si="6">Q65*P65</f>
        <v>0</v>
      </c>
    </row>
    <row r="66" spans="1:21" ht="15" customHeight="1" x14ac:dyDescent="0.35">
      <c r="B66" t="s">
        <v>4</v>
      </c>
      <c r="C66" s="240" t="s">
        <v>160</v>
      </c>
      <c r="D66" s="240"/>
      <c r="E66" s="241"/>
      <c r="F66" s="408"/>
      <c r="G66" s="439"/>
      <c r="H66" s="72">
        <v>180</v>
      </c>
      <c r="I66" s="93">
        <f t="shared" si="4"/>
        <v>0</v>
      </c>
      <c r="J66" s="78"/>
      <c r="L66" s="290" t="str">
        <f t="shared" si="5"/>
        <v/>
      </c>
      <c r="M66" s="215"/>
      <c r="N66" s="589"/>
      <c r="O66" s="91"/>
      <c r="P66" s="400"/>
      <c r="Q66" s="201"/>
      <c r="R66" s="235"/>
      <c r="S66" s="291">
        <f t="shared" si="6"/>
        <v>0</v>
      </c>
    </row>
    <row r="67" spans="1:21" ht="15" customHeight="1" x14ac:dyDescent="0.35">
      <c r="B67" t="s">
        <v>5</v>
      </c>
      <c r="C67" s="243" t="s">
        <v>161</v>
      </c>
      <c r="D67" s="243"/>
      <c r="E67" s="244"/>
      <c r="F67" s="408"/>
      <c r="G67" s="439"/>
      <c r="H67" s="73">
        <v>65</v>
      </c>
      <c r="I67" s="93">
        <f t="shared" si="4"/>
        <v>0</v>
      </c>
      <c r="J67" s="78"/>
      <c r="L67" s="297"/>
      <c r="M67" s="215"/>
      <c r="N67" s="589"/>
      <c r="O67" s="91"/>
      <c r="P67" s="400"/>
      <c r="Q67" s="201"/>
      <c r="R67" s="246"/>
      <c r="S67" s="291">
        <f t="shared" si="6"/>
        <v>0</v>
      </c>
    </row>
    <row r="68" spans="1:21" ht="15" customHeight="1" x14ac:dyDescent="0.35">
      <c r="B68" t="s">
        <v>6</v>
      </c>
      <c r="C68" s="243" t="s">
        <v>162</v>
      </c>
      <c r="D68" s="243"/>
      <c r="E68" s="244"/>
      <c r="F68" s="411"/>
      <c r="G68" s="541"/>
      <c r="H68" s="73">
        <v>0.5</v>
      </c>
      <c r="I68" s="93">
        <f>G68*H68</f>
        <v>0</v>
      </c>
      <c r="J68" s="78"/>
      <c r="L68" s="297"/>
      <c r="M68" s="215"/>
      <c r="N68" s="589"/>
      <c r="O68" s="91"/>
      <c r="P68" s="400"/>
      <c r="Q68" s="201"/>
      <c r="R68" s="246"/>
      <c r="S68" s="291">
        <f t="shared" si="6"/>
        <v>0</v>
      </c>
    </row>
    <row r="69" spans="1:21" ht="15" customHeight="1" x14ac:dyDescent="0.35">
      <c r="B69" t="s">
        <v>7</v>
      </c>
      <c r="C69" s="243" t="s">
        <v>163</v>
      </c>
      <c r="D69" s="243"/>
      <c r="E69" s="244"/>
      <c r="F69" s="411"/>
      <c r="G69" s="440"/>
      <c r="H69" s="73"/>
      <c r="I69" s="93">
        <f>H69</f>
        <v>0</v>
      </c>
      <c r="J69" s="78"/>
      <c r="L69" s="290" t="str">
        <f t="shared" si="5"/>
        <v/>
      </c>
      <c r="M69" s="215"/>
      <c r="N69" s="589"/>
      <c r="O69" s="91"/>
      <c r="P69" s="400"/>
      <c r="Q69" s="201"/>
      <c r="R69" s="235"/>
      <c r="S69" s="291">
        <f t="shared" si="6"/>
        <v>0</v>
      </c>
    </row>
    <row r="70" spans="1:21" ht="15" customHeight="1" x14ac:dyDescent="0.35">
      <c r="B70" t="s">
        <v>8</v>
      </c>
      <c r="C70" s="243" t="s">
        <v>164</v>
      </c>
      <c r="D70" s="243"/>
      <c r="E70" s="244"/>
      <c r="F70" s="408"/>
      <c r="G70" s="439"/>
      <c r="H70" s="73">
        <v>38.25</v>
      </c>
      <c r="I70" s="93">
        <f>F70*G70*H70</f>
        <v>0</v>
      </c>
      <c r="J70" s="78"/>
      <c r="L70" s="290" t="str">
        <f t="shared" si="5"/>
        <v/>
      </c>
      <c r="M70" s="215"/>
      <c r="N70" s="589"/>
      <c r="O70" s="91"/>
      <c r="P70" s="400"/>
      <c r="Q70" s="201"/>
      <c r="R70" s="235"/>
      <c r="S70" s="291">
        <f t="shared" si="6"/>
        <v>0</v>
      </c>
    </row>
    <row r="71" spans="1:21" ht="15" customHeight="1" x14ac:dyDescent="0.35">
      <c r="B71" t="s">
        <v>9</v>
      </c>
      <c r="C71" s="243" t="s">
        <v>165</v>
      </c>
      <c r="D71" s="243"/>
      <c r="E71" s="244"/>
      <c r="F71" s="412"/>
      <c r="G71" s="441"/>
      <c r="H71" s="73">
        <v>51</v>
      </c>
      <c r="I71" s="93">
        <f>F71*G71*H71</f>
        <v>0</v>
      </c>
      <c r="J71" s="78"/>
      <c r="L71" s="290" t="str">
        <f t="shared" si="5"/>
        <v/>
      </c>
      <c r="M71" s="215"/>
      <c r="N71" s="589"/>
      <c r="O71" s="91"/>
      <c r="P71" s="400"/>
      <c r="Q71" s="201"/>
      <c r="R71" s="235"/>
      <c r="S71" s="291">
        <f t="shared" si="6"/>
        <v>0</v>
      </c>
    </row>
    <row r="72" spans="1:21" ht="15" customHeight="1" thickBot="1" x14ac:dyDescent="0.4">
      <c r="B72" t="s">
        <v>10</v>
      </c>
      <c r="C72" s="298" t="s">
        <v>256</v>
      </c>
      <c r="D72" s="298"/>
      <c r="E72" s="299"/>
      <c r="F72" s="408"/>
      <c r="G72" s="439"/>
      <c r="H72" s="94">
        <v>325</v>
      </c>
      <c r="I72" s="93">
        <f>F72*G72*H72</f>
        <v>0</v>
      </c>
      <c r="J72" s="279"/>
      <c r="L72" s="290" t="str">
        <f t="shared" si="5"/>
        <v/>
      </c>
      <c r="M72" s="216"/>
      <c r="N72" s="589"/>
      <c r="O72" s="202"/>
      <c r="P72" s="410"/>
      <c r="Q72" s="204"/>
      <c r="R72" s="249"/>
      <c r="S72" s="250">
        <f t="shared" si="6"/>
        <v>0</v>
      </c>
    </row>
    <row r="73" spans="1:21" ht="15" customHeight="1" thickTop="1" thickBot="1" x14ac:dyDescent="0.4">
      <c r="C73" s="230" t="s">
        <v>16</v>
      </c>
      <c r="D73" s="228"/>
      <c r="E73" s="228"/>
      <c r="F73" s="228"/>
      <c r="G73" s="228"/>
      <c r="H73" s="228"/>
      <c r="I73" s="229">
        <f>SUBTOTAL(109,RIOLABOR[EXTENSION])</f>
        <v>0</v>
      </c>
      <c r="L73" s="300"/>
      <c r="M73" s="272" t="s">
        <v>16</v>
      </c>
      <c r="N73" s="273"/>
      <c r="O73" s="273"/>
      <c r="P73" s="273"/>
      <c r="Q73" s="273"/>
      <c r="R73" s="273"/>
      <c r="S73" s="274">
        <f ca="1">SUBTOTAL(109,RIOADDS[EXTENSION])</f>
        <v>0</v>
      </c>
    </row>
    <row r="74" spans="1:21" ht="7.5" customHeight="1" thickBot="1" x14ac:dyDescent="0.4">
      <c r="T74" s="256"/>
    </row>
    <row r="75" spans="1:21" s="254" customFormat="1" ht="19" thickBot="1" x14ac:dyDescent="0.5">
      <c r="A75" s="67"/>
      <c r="C75" s="812" t="s">
        <v>168</v>
      </c>
      <c r="D75" s="813"/>
      <c r="E75" s="813"/>
      <c r="F75" s="813"/>
      <c r="G75" s="813"/>
      <c r="H75" s="813"/>
      <c r="I75" s="814"/>
      <c r="J75" s="256"/>
      <c r="K75" s="67"/>
      <c r="M75" s="812" t="s">
        <v>170</v>
      </c>
      <c r="N75" s="813"/>
      <c r="O75" s="813"/>
      <c r="P75" s="813"/>
      <c r="Q75" s="813"/>
      <c r="R75" s="813"/>
      <c r="S75" s="814"/>
      <c r="T75" s="256"/>
      <c r="U75" s="67"/>
    </row>
    <row r="76" spans="1:21" ht="15" customHeight="1" thickBot="1" x14ac:dyDescent="0.4">
      <c r="C76" s="801" t="s">
        <v>169</v>
      </c>
      <c r="D76" s="802"/>
      <c r="E76" s="802"/>
      <c r="F76" s="802"/>
      <c r="G76" s="802"/>
      <c r="H76" s="802"/>
      <c r="I76" s="803"/>
      <c r="M76" s="801" t="s">
        <v>171</v>
      </c>
      <c r="N76" s="802"/>
      <c r="O76" s="802"/>
      <c r="P76" s="802" t="s">
        <v>172</v>
      </c>
      <c r="Q76" s="802"/>
      <c r="R76" s="802"/>
      <c r="S76" s="803"/>
      <c r="T76" s="256"/>
    </row>
    <row r="77" spans="1:21" ht="15" customHeight="1" x14ac:dyDescent="0.35">
      <c r="C77" s="302" t="s">
        <v>0</v>
      </c>
      <c r="D77" s="789">
        <f ca="1">SUM(RIOEPOXY[[#Totals],[EXTENSION]],RIOCOLOR[[#Totals],[EXTENSION]],RIOPOLY[[#Totals],[EXTENSION]],RIOMMA[[#Totals],[EXTENSION]],Table22[[#Totals],[EXTENSION]],Table21[[#Totals],[EXTENSION]],S58:S72)</f>
        <v>0</v>
      </c>
      <c r="E77" s="790"/>
      <c r="F77" s="808" t="s">
        <v>8</v>
      </c>
      <c r="G77" s="809"/>
      <c r="H77" s="810">
        <f ca="1">SUMIF($B$55:$B$74,F77,$I$55:$I$73)</f>
        <v>0</v>
      </c>
      <c r="I77" s="811"/>
      <c r="M77" s="415" t="s">
        <v>173</v>
      </c>
      <c r="N77" s="815">
        <f ca="1">SUM(D77:E86,H77:I85,D90:E92,H90:I92,H87)</f>
        <v>0</v>
      </c>
      <c r="O77" s="816"/>
      <c r="P77" s="415" t="s">
        <v>1000</v>
      </c>
      <c r="Q77" s="530">
        <f>PO!Q2</f>
        <v>0.1</v>
      </c>
      <c r="R77" s="530">
        <f>PO!Q4</f>
        <v>0.1</v>
      </c>
      <c r="S77" s="531">
        <f>PO!Q6</f>
        <v>0.1</v>
      </c>
      <c r="T77" s="256"/>
    </row>
    <row r="78" spans="1:21" ht="15" customHeight="1" x14ac:dyDescent="0.35">
      <c r="C78" s="304" t="s">
        <v>1</v>
      </c>
      <c r="D78" s="789">
        <f ca="1">SUMIF($B$55:$B$74,C78,$I$55:$I$73)</f>
        <v>0</v>
      </c>
      <c r="E78" s="790"/>
      <c r="F78" s="791" t="s">
        <v>9</v>
      </c>
      <c r="G78" s="792"/>
      <c r="H78" s="795">
        <f ca="1">SUMIF($B$55:$B$74,F78,$I$55:$I$73)</f>
        <v>0</v>
      </c>
      <c r="I78" s="796"/>
      <c r="M78" s="303" t="s">
        <v>732</v>
      </c>
      <c r="N78" s="789">
        <f ca="1">IFERROR(ROUND(IF(Q77=0,PO!$Q$2,Q77)*D77,2),0)</f>
        <v>0</v>
      </c>
      <c r="O78" s="790"/>
      <c r="P78" s="817" t="s">
        <v>174</v>
      </c>
      <c r="Q78" s="818"/>
      <c r="R78" s="819">
        <f ca="1">IF(IFERROR(ROUND(SUM(R80/N82),2),0)&gt;(-1),IFERROR(ROUND(SUM(R80/N82),2),0),0)</f>
        <v>0</v>
      </c>
      <c r="S78" s="820"/>
      <c r="T78" s="256"/>
    </row>
    <row r="79" spans="1:21" ht="15" customHeight="1" x14ac:dyDescent="0.35">
      <c r="C79" s="304" t="s">
        <v>2</v>
      </c>
      <c r="D79" s="789">
        <f t="shared" ref="D79:D84" ca="1" si="7">SUMIF($B$55:$B$74,C79,$I$55:$I$73)</f>
        <v>0</v>
      </c>
      <c r="E79" s="790"/>
      <c r="F79" s="791" t="s">
        <v>10</v>
      </c>
      <c r="G79" s="792"/>
      <c r="H79" s="795">
        <f ca="1">SUMIF($B$55:$B$74,F79,$I$55:$I$73)</f>
        <v>0</v>
      </c>
      <c r="I79" s="796"/>
      <c r="M79" s="303" t="s">
        <v>733</v>
      </c>
      <c r="N79" s="789">
        <f>IFERROR(ROUND(IF(R77=0,PO!$Q$4,R77)*H83,2),0)</f>
        <v>0</v>
      </c>
      <c r="O79" s="790"/>
      <c r="P79" s="826" t="s">
        <v>175</v>
      </c>
      <c r="Q79" s="827"/>
      <c r="R79" s="821">
        <f ca="1">IFERROR(ROUND(SUM(R80/Q83),2),0)</f>
        <v>0</v>
      </c>
      <c r="S79" s="822"/>
      <c r="T79" s="256"/>
    </row>
    <row r="80" spans="1:21" ht="15" customHeight="1" x14ac:dyDescent="0.35">
      <c r="C80" s="304" t="s">
        <v>3</v>
      </c>
      <c r="D80" s="789">
        <f t="shared" ca="1" si="7"/>
        <v>0</v>
      </c>
      <c r="E80" s="790"/>
      <c r="F80" s="791" t="s">
        <v>11</v>
      </c>
      <c r="G80" s="792"/>
      <c r="H80" s="793"/>
      <c r="I80" s="794"/>
      <c r="M80" s="303" t="s">
        <v>980</v>
      </c>
      <c r="N80" s="795">
        <f>IFERROR(ROUND(IF(S77=0,PO!$Q$6,S77)*SUM(H81:I82),2),0)</f>
        <v>0</v>
      </c>
      <c r="O80" s="796"/>
      <c r="P80" s="826" t="s">
        <v>178</v>
      </c>
      <c r="Q80" s="827"/>
      <c r="R80" s="795">
        <f ca="1">Q83-N82</f>
        <v>0</v>
      </c>
      <c r="S80" s="796"/>
      <c r="T80" s="256"/>
    </row>
    <row r="81" spans="3:20" ht="15" customHeight="1" x14ac:dyDescent="0.35">
      <c r="C81" s="304" t="s">
        <v>4</v>
      </c>
      <c r="D81" s="789">
        <f t="shared" ca="1" si="7"/>
        <v>0</v>
      </c>
      <c r="E81" s="790"/>
      <c r="F81" s="791" t="s">
        <v>12</v>
      </c>
      <c r="G81" s="792"/>
      <c r="H81" s="793"/>
      <c r="I81" s="794"/>
      <c r="L81" s="254"/>
      <c r="M81" s="303" t="s">
        <v>177</v>
      </c>
      <c r="N81" s="789">
        <f>ROUND(Q83*0.007,2)</f>
        <v>0</v>
      </c>
      <c r="O81" s="790"/>
      <c r="P81" s="826" t="str">
        <f>IF(P82="","","BASE RECOMMENDED BID AMT")</f>
        <v/>
      </c>
      <c r="Q81" s="827"/>
      <c r="R81" s="795" t="str">
        <f>IF(P82="","",ROUND(SUM(N77)*1.45+N78+N79+N80,0)+(ROUND(SUM(N77)*1.45+N78+N79+N80,0)*0.007))</f>
        <v/>
      </c>
      <c r="S81" s="796"/>
      <c r="T81" s="256"/>
    </row>
    <row r="82" spans="3:20" ht="15" customHeight="1" thickBot="1" x14ac:dyDescent="0.4">
      <c r="C82" s="304" t="s">
        <v>5</v>
      </c>
      <c r="D82" s="789">
        <f t="shared" ca="1" si="7"/>
        <v>0</v>
      </c>
      <c r="E82" s="790"/>
      <c r="F82" s="791" t="s">
        <v>13</v>
      </c>
      <c r="G82" s="792"/>
      <c r="H82" s="793"/>
      <c r="I82" s="794"/>
      <c r="M82" s="306" t="s">
        <v>176</v>
      </c>
      <c r="N82" s="828">
        <f ca="1">SUM(N77:O81)+IF(R82="",0,R82)</f>
        <v>0</v>
      </c>
      <c r="O82" s="829"/>
      <c r="P82" s="839" t="str">
        <f>IF(OR(INFO!D21="CA",INFO!I21="CA"),"CA LITIGATION FUND - 7.8%","")</f>
        <v/>
      </c>
      <c r="Q82" s="840"/>
      <c r="R82" s="841" t="str">
        <f>IF(OR(INFO!$D$21="CA",INFO!I21="CA"),IF(D79=0,R81*0.078,""),"")</f>
        <v/>
      </c>
      <c r="S82" s="842"/>
      <c r="T82" s="256"/>
    </row>
    <row r="83" spans="3:20" ht="15" customHeight="1" thickBot="1" x14ac:dyDescent="0.4">
      <c r="C83" s="304" t="s">
        <v>6</v>
      </c>
      <c r="D83" s="789">
        <f t="shared" ca="1" si="7"/>
        <v>0</v>
      </c>
      <c r="E83" s="790"/>
      <c r="F83" s="791" t="s">
        <v>14</v>
      </c>
      <c r="G83" s="792"/>
      <c r="H83" s="795">
        <f>SUM(S55,S56, S57, S59)</f>
        <v>0</v>
      </c>
      <c r="I83" s="796"/>
      <c r="M83" s="833" t="str">
        <f ca="1">"CUSTOMER BID AMOUNT ("&amp;TEXT(ROUND(SUM(N77)*1.45+N78+N79+N80,0)+(ROUND(SUM(N77)*1.45+N78+N79+N80,0)*0.007)+IF(R82="",0,R82),"$###,##0.00")&amp;" Recommended)"</f>
        <v>CUSTOMER BID AMOUNT ($0.00 Recommended)</v>
      </c>
      <c r="N83" s="834"/>
      <c r="O83" s="834"/>
      <c r="P83" s="835"/>
      <c r="Q83" s="836"/>
      <c r="R83" s="837"/>
      <c r="S83" s="838"/>
      <c r="T83" s="256"/>
    </row>
    <row r="84" spans="3:20" ht="15" customHeight="1" thickBot="1" x14ac:dyDescent="0.4">
      <c r="C84" s="304" t="s">
        <v>7</v>
      </c>
      <c r="D84" s="789">
        <f t="shared" ca="1" si="7"/>
        <v>0</v>
      </c>
      <c r="E84" s="790"/>
      <c r="F84" s="791" t="s">
        <v>853</v>
      </c>
      <c r="G84" s="792"/>
      <c r="H84" s="793"/>
      <c r="I84" s="794"/>
      <c r="T84" s="256"/>
    </row>
    <row r="85" spans="3:20" ht="15" customHeight="1" thickBot="1" x14ac:dyDescent="0.4">
      <c r="C85" s="304" t="s">
        <v>850</v>
      </c>
      <c r="D85" s="793"/>
      <c r="E85" s="794"/>
      <c r="F85" s="791" t="s">
        <v>852</v>
      </c>
      <c r="G85" s="792"/>
      <c r="H85" s="793"/>
      <c r="I85" s="794"/>
      <c r="M85" s="823" t="s">
        <v>440</v>
      </c>
      <c r="N85" s="824"/>
      <c r="O85" s="824"/>
      <c r="P85" s="824"/>
      <c r="Q85" s="824"/>
      <c r="R85" s="824"/>
      <c r="S85" s="825"/>
      <c r="T85" s="256"/>
    </row>
    <row r="86" spans="3:20" ht="15" customHeight="1" x14ac:dyDescent="0.35">
      <c r="C86" s="304" t="s">
        <v>851</v>
      </c>
      <c r="D86" s="793"/>
      <c r="E86" s="794"/>
      <c r="F86" s="304" t="s">
        <v>15</v>
      </c>
      <c r="G86" s="305"/>
      <c r="H86" s="795">
        <f>N80</f>
        <v>0</v>
      </c>
      <c r="I86" s="796"/>
      <c r="M86" s="875"/>
      <c r="N86" s="876"/>
      <c r="O86" s="876"/>
      <c r="P86" s="876"/>
      <c r="Q86" s="876"/>
      <c r="R86" s="876"/>
      <c r="S86" s="877"/>
      <c r="T86" s="256"/>
    </row>
    <row r="87" spans="3:20" ht="15" customHeight="1" thickBot="1" x14ac:dyDescent="0.4">
      <c r="C87" s="306" t="str">
        <f>IF(P82="","","CA LITIGATION FUND")</f>
        <v/>
      </c>
      <c r="D87" s="828" t="str">
        <f>IF(P82="","",R82)</f>
        <v/>
      </c>
      <c r="E87" s="829"/>
      <c r="F87" s="799" t="s">
        <v>894</v>
      </c>
      <c r="G87" s="800"/>
      <c r="H87" s="830">
        <f>S58</f>
        <v>0</v>
      </c>
      <c r="I87" s="831"/>
      <c r="M87" s="878"/>
      <c r="N87" s="879"/>
      <c r="O87" s="879"/>
      <c r="P87" s="879"/>
      <c r="Q87" s="879"/>
      <c r="R87" s="879"/>
      <c r="S87" s="880"/>
      <c r="T87" s="256"/>
    </row>
    <row r="88" spans="3:20" ht="15" customHeight="1" thickBot="1" x14ac:dyDescent="0.4">
      <c r="M88" s="878"/>
      <c r="N88" s="879"/>
      <c r="O88" s="879"/>
      <c r="P88" s="879"/>
      <c r="Q88" s="879"/>
      <c r="R88" s="879"/>
      <c r="S88" s="880"/>
      <c r="T88" s="256"/>
    </row>
    <row r="89" spans="3:20" ht="15" customHeight="1" thickBot="1" x14ac:dyDescent="0.4">
      <c r="C89" s="801" t="s">
        <v>725</v>
      </c>
      <c r="D89" s="802"/>
      <c r="E89" s="802"/>
      <c r="F89" s="802"/>
      <c r="G89" s="802"/>
      <c r="H89" s="802"/>
      <c r="I89" s="803"/>
      <c r="M89" s="878"/>
      <c r="N89" s="879"/>
      <c r="O89" s="879"/>
      <c r="P89" s="879"/>
      <c r="Q89" s="879"/>
      <c r="R89" s="879"/>
      <c r="S89" s="880"/>
      <c r="T89" s="256"/>
    </row>
    <row r="90" spans="3:20" ht="15" customHeight="1" x14ac:dyDescent="0.35">
      <c r="C90" s="302" t="s">
        <v>726</v>
      </c>
      <c r="D90" s="806"/>
      <c r="E90" s="807"/>
      <c r="F90" s="808" t="s">
        <v>727</v>
      </c>
      <c r="G90" s="809"/>
      <c r="H90" s="806"/>
      <c r="I90" s="807"/>
      <c r="M90" s="878"/>
      <c r="N90" s="879"/>
      <c r="O90" s="879"/>
      <c r="P90" s="879"/>
      <c r="Q90" s="879"/>
      <c r="R90" s="879"/>
      <c r="S90" s="880"/>
      <c r="T90" s="256"/>
    </row>
    <row r="91" spans="3:20" ht="15" customHeight="1" x14ac:dyDescent="0.35">
      <c r="C91" s="304" t="s">
        <v>728</v>
      </c>
      <c r="D91" s="793"/>
      <c r="E91" s="794"/>
      <c r="F91" s="791" t="s">
        <v>729</v>
      </c>
      <c r="G91" s="792"/>
      <c r="H91" s="793"/>
      <c r="I91" s="794"/>
      <c r="M91" s="878"/>
      <c r="N91" s="879"/>
      <c r="O91" s="879"/>
      <c r="P91" s="879"/>
      <c r="Q91" s="879"/>
      <c r="R91" s="879"/>
      <c r="S91" s="880"/>
      <c r="T91" s="256"/>
    </row>
    <row r="92" spans="3:20" ht="15" customHeight="1" thickBot="1" x14ac:dyDescent="0.4">
      <c r="C92" s="306" t="s">
        <v>730</v>
      </c>
      <c r="D92" s="797"/>
      <c r="E92" s="798"/>
      <c r="F92" s="799" t="s">
        <v>731</v>
      </c>
      <c r="G92" s="800"/>
      <c r="H92" s="797"/>
      <c r="I92" s="798"/>
      <c r="M92" s="881"/>
      <c r="N92" s="882"/>
      <c r="O92" s="882"/>
      <c r="P92" s="882"/>
      <c r="Q92" s="882"/>
      <c r="R92" s="882"/>
      <c r="S92" s="883"/>
      <c r="T92" s="256"/>
    </row>
    <row r="93" spans="3:20" ht="15" customHeight="1" thickBot="1" x14ac:dyDescent="0.4">
      <c r="P93" s="599" t="s">
        <v>1082</v>
      </c>
      <c r="Q93" s="600">
        <f>SUM(INFO!$D$8:'INFO'!$D$14)</f>
        <v>0</v>
      </c>
      <c r="R93" s="599" t="s">
        <v>1083</v>
      </c>
      <c r="S93" s="601" t="str">
        <f>IFERROR(INFO!$I$54/INFO!$H$56, "")</f>
        <v/>
      </c>
      <c r="T93" s="256"/>
    </row>
    <row r="94" spans="3:20" ht="15" customHeight="1" thickBot="1" x14ac:dyDescent="0.4">
      <c r="T94" s="256"/>
    </row>
    <row r="95" spans="3:20" ht="15" hidden="1" customHeight="1" x14ac:dyDescent="0.35">
      <c r="T95" s="256"/>
    </row>
    <row r="96" spans="3:20" ht="15" hidden="1" customHeight="1" x14ac:dyDescent="0.35">
      <c r="T96" s="256"/>
    </row>
    <row r="97" spans="20:20" ht="15" hidden="1" customHeight="1" x14ac:dyDescent="0.35">
      <c r="T97" s="256"/>
    </row>
    <row r="98" spans="20:20" ht="15" hidden="1" customHeight="1" x14ac:dyDescent="0.35">
      <c r="T98" s="256"/>
    </row>
    <row r="99" spans="20:20" ht="15" hidden="1" customHeight="1" x14ac:dyDescent="0.35">
      <c r="T99" s="256"/>
    </row>
    <row r="100" spans="20:20" ht="15" hidden="1" customHeight="1" x14ac:dyDescent="0.35">
      <c r="T100" s="256"/>
    </row>
    <row r="101" spans="20:20" ht="15" hidden="1" customHeight="1" x14ac:dyDescent="0.35">
      <c r="T101" s="256"/>
    </row>
    <row r="102" spans="20:20" ht="15" hidden="1" customHeight="1" x14ac:dyDescent="0.35">
      <c r="T102" s="256"/>
    </row>
    <row r="103" spans="20:20" ht="15" hidden="1" customHeight="1" x14ac:dyDescent="0.35">
      <c r="T103" s="256"/>
    </row>
    <row r="104" spans="20:20" ht="15" hidden="1" customHeight="1" x14ac:dyDescent="0.35">
      <c r="T104" s="256"/>
    </row>
    <row r="105" spans="20:20" ht="15" hidden="1" customHeight="1" x14ac:dyDescent="0.35">
      <c r="T105" s="256"/>
    </row>
    <row r="106" spans="20:20" ht="15" hidden="1" customHeight="1" x14ac:dyDescent="0.35">
      <c r="T106" s="256"/>
    </row>
    <row r="107" spans="20:20" ht="15" hidden="1" customHeight="1" x14ac:dyDescent="0.35">
      <c r="T107" s="256"/>
    </row>
    <row r="108" spans="20:20" ht="15" hidden="1" customHeight="1" x14ac:dyDescent="0.35">
      <c r="T108" s="256"/>
    </row>
    <row r="109" spans="20:20" ht="15" hidden="1" customHeight="1" x14ac:dyDescent="0.35"/>
    <row r="110" spans="20:20" ht="15" hidden="1" customHeight="1" x14ac:dyDescent="0.35"/>
    <row r="111" spans="20:20" ht="15" hidden="1" customHeight="1" x14ac:dyDescent="0.35"/>
    <row r="112" spans="20:20" ht="15" hidden="1" customHeight="1" x14ac:dyDescent="0.35"/>
    <row r="113" spans="3:19" ht="15" hidden="1" customHeight="1" x14ac:dyDescent="0.35"/>
    <row r="114" spans="3:19" ht="15" hidden="1" customHeight="1" x14ac:dyDescent="0.35"/>
    <row r="115" spans="3:19" ht="15" hidden="1" customHeight="1" x14ac:dyDescent="0.35"/>
    <row r="116" spans="3:19" ht="15" hidden="1" customHeight="1" x14ac:dyDescent="0.35"/>
    <row r="117" spans="3:19" ht="15" customHeight="1" thickBot="1" x14ac:dyDescent="0.4">
      <c r="C117" s="642" t="s">
        <v>1085</v>
      </c>
    </row>
    <row r="118" spans="3:19" ht="15" customHeight="1" x14ac:dyDescent="0.35">
      <c r="C118" s="624"/>
      <c r="D118" s="625"/>
      <c r="E118" s="625"/>
      <c r="F118" s="625"/>
      <c r="G118" s="625"/>
      <c r="H118" s="625"/>
      <c r="I118" s="625"/>
      <c r="J118" s="625"/>
      <c r="K118" s="626"/>
      <c r="L118" s="625"/>
      <c r="M118" s="626"/>
      <c r="N118" s="625"/>
      <c r="O118" s="625"/>
      <c r="P118" s="625"/>
      <c r="Q118" s="625"/>
      <c r="R118" s="625"/>
      <c r="S118" s="627"/>
    </row>
    <row r="119" spans="3:19" ht="15" customHeight="1" x14ac:dyDescent="0.35">
      <c r="C119" s="628"/>
      <c r="D119" s="629"/>
      <c r="E119" s="629"/>
      <c r="F119" s="629"/>
      <c r="G119" s="629"/>
      <c r="H119" s="629"/>
      <c r="I119" s="629"/>
      <c r="J119" s="629"/>
      <c r="K119" s="630"/>
      <c r="L119" s="629"/>
      <c r="M119" s="630"/>
      <c r="N119" s="629"/>
      <c r="O119" s="629"/>
      <c r="P119" s="629"/>
      <c r="Q119" s="629"/>
      <c r="R119" s="629"/>
      <c r="S119" s="631"/>
    </row>
    <row r="120" spans="3:19" ht="15" customHeight="1" x14ac:dyDescent="0.35">
      <c r="C120" s="628"/>
      <c r="D120" s="629"/>
      <c r="E120" s="629"/>
      <c r="F120" s="629"/>
      <c r="G120" s="629"/>
      <c r="H120" s="629"/>
      <c r="I120" s="629"/>
      <c r="J120" s="629"/>
      <c r="K120" s="630"/>
      <c r="L120" s="629"/>
      <c r="M120" s="630"/>
      <c r="N120" s="629"/>
      <c r="O120" s="629"/>
      <c r="P120" s="629"/>
      <c r="Q120" s="629"/>
      <c r="R120" s="629"/>
      <c r="S120" s="631"/>
    </row>
    <row r="121" spans="3:19" ht="15" customHeight="1" x14ac:dyDescent="0.35">
      <c r="C121" s="628"/>
      <c r="D121" s="629"/>
      <c r="E121" s="629"/>
      <c r="F121" s="629"/>
      <c r="G121" s="629"/>
      <c r="H121" s="629"/>
      <c r="I121" s="629"/>
      <c r="J121" s="629"/>
      <c r="K121" s="630"/>
      <c r="L121" s="629"/>
      <c r="M121" s="630"/>
      <c r="N121" s="629"/>
      <c r="O121" s="629"/>
      <c r="P121" s="629"/>
      <c r="Q121" s="629"/>
      <c r="R121" s="629"/>
      <c r="S121" s="631"/>
    </row>
    <row r="122" spans="3:19" ht="15" customHeight="1" x14ac:dyDescent="0.35">
      <c r="C122" s="628"/>
      <c r="D122" s="629"/>
      <c r="E122" s="629"/>
      <c r="F122" s="629"/>
      <c r="G122" s="629"/>
      <c r="H122" s="629"/>
      <c r="I122" s="629"/>
      <c r="J122" s="629"/>
      <c r="K122" s="630"/>
      <c r="L122" s="629"/>
      <c r="M122" s="630"/>
      <c r="N122" s="629"/>
      <c r="O122" s="629"/>
      <c r="P122" s="629"/>
      <c r="Q122" s="629"/>
      <c r="R122" s="629"/>
      <c r="S122" s="631"/>
    </row>
    <row r="123" spans="3:19" ht="15" customHeight="1" x14ac:dyDescent="0.35">
      <c r="C123" s="628"/>
      <c r="D123" s="629"/>
      <c r="E123" s="629"/>
      <c r="F123" s="629"/>
      <c r="G123" s="629"/>
      <c r="H123" s="629"/>
      <c r="I123" s="629"/>
      <c r="J123" s="629"/>
      <c r="K123" s="630"/>
      <c r="L123" s="629"/>
      <c r="M123" s="630"/>
      <c r="N123" s="629"/>
      <c r="O123" s="629"/>
      <c r="P123" s="629"/>
      <c r="Q123" s="629"/>
      <c r="R123" s="629"/>
      <c r="S123" s="631"/>
    </row>
    <row r="124" spans="3:19" ht="15" customHeight="1" x14ac:dyDescent="0.35">
      <c r="C124" s="628"/>
      <c r="D124" s="629"/>
      <c r="E124" s="629"/>
      <c r="F124" s="629"/>
      <c r="G124" s="629"/>
      <c r="H124" s="629"/>
      <c r="I124" s="629"/>
      <c r="J124" s="629"/>
      <c r="K124" s="630"/>
      <c r="L124" s="629"/>
      <c r="M124" s="630"/>
      <c r="N124" s="629"/>
      <c r="O124" s="629"/>
      <c r="P124" s="629"/>
      <c r="Q124" s="629"/>
      <c r="R124" s="629"/>
      <c r="S124" s="631"/>
    </row>
    <row r="125" spans="3:19" ht="15" customHeight="1" x14ac:dyDescent="0.35">
      <c r="C125" s="628"/>
      <c r="D125" s="629"/>
      <c r="E125" s="629"/>
      <c r="F125" s="629"/>
      <c r="G125" s="629"/>
      <c r="H125" s="629"/>
      <c r="I125" s="629"/>
      <c r="J125" s="629"/>
      <c r="K125" s="630"/>
      <c r="L125" s="629"/>
      <c r="M125" s="630"/>
      <c r="N125" s="629"/>
      <c r="O125" s="629"/>
      <c r="P125" s="629"/>
      <c r="Q125" s="629"/>
      <c r="R125" s="629"/>
      <c r="S125" s="631"/>
    </row>
    <row r="126" spans="3:19" ht="15" customHeight="1" x14ac:dyDescent="0.35">
      <c r="C126" s="628"/>
      <c r="D126" s="629"/>
      <c r="E126" s="629"/>
      <c r="F126" s="629"/>
      <c r="G126" s="629"/>
      <c r="H126" s="629"/>
      <c r="I126" s="629"/>
      <c r="J126" s="629"/>
      <c r="K126" s="630"/>
      <c r="L126" s="629"/>
      <c r="M126" s="630"/>
      <c r="N126" s="629"/>
      <c r="O126" s="629"/>
      <c r="P126" s="629"/>
      <c r="Q126" s="629"/>
      <c r="R126" s="629"/>
      <c r="S126" s="631"/>
    </row>
    <row r="127" spans="3:19" ht="15" customHeight="1" x14ac:dyDescent="0.35">
      <c r="C127" s="628"/>
      <c r="D127" s="629"/>
      <c r="E127" s="629"/>
      <c r="F127" s="629"/>
      <c r="G127" s="629"/>
      <c r="H127" s="629"/>
      <c r="I127" s="629"/>
      <c r="J127" s="629"/>
      <c r="K127" s="630"/>
      <c r="L127" s="629"/>
      <c r="M127" s="630"/>
      <c r="N127" s="629"/>
      <c r="O127" s="629"/>
      <c r="P127" s="629"/>
      <c r="Q127" s="629"/>
      <c r="R127" s="629"/>
      <c r="S127" s="631"/>
    </row>
    <row r="128" spans="3:19" ht="15" customHeight="1" x14ac:dyDescent="0.35">
      <c r="C128" s="628"/>
      <c r="D128" s="629"/>
      <c r="E128" s="629"/>
      <c r="F128" s="629"/>
      <c r="G128" s="629"/>
      <c r="H128" s="629"/>
      <c r="I128" s="629"/>
      <c r="J128" s="629"/>
      <c r="K128" s="630"/>
      <c r="L128" s="629"/>
      <c r="M128" s="630"/>
      <c r="N128" s="629"/>
      <c r="O128" s="629"/>
      <c r="P128" s="629"/>
      <c r="Q128" s="629"/>
      <c r="R128" s="629"/>
      <c r="S128" s="631"/>
    </row>
    <row r="129" spans="3:19" ht="15" customHeight="1" x14ac:dyDescent="0.35">
      <c r="C129" s="628"/>
      <c r="D129" s="629"/>
      <c r="E129" s="629"/>
      <c r="F129" s="629"/>
      <c r="G129" s="629"/>
      <c r="H129" s="629"/>
      <c r="I129" s="629"/>
      <c r="J129" s="629"/>
      <c r="K129" s="630"/>
      <c r="L129" s="629"/>
      <c r="M129" s="630"/>
      <c r="N129" s="629"/>
      <c r="O129" s="629"/>
      <c r="P129" s="629"/>
      <c r="Q129" s="629"/>
      <c r="R129" s="629"/>
      <c r="S129" s="631"/>
    </row>
    <row r="130" spans="3:19" ht="15" customHeight="1" x14ac:dyDescent="0.35">
      <c r="C130" s="628"/>
      <c r="D130" s="629"/>
      <c r="E130" s="629"/>
      <c r="F130" s="629"/>
      <c r="G130" s="629"/>
      <c r="H130" s="629"/>
      <c r="I130" s="629"/>
      <c r="J130" s="629"/>
      <c r="K130" s="630"/>
      <c r="L130" s="629"/>
      <c r="M130" s="630"/>
      <c r="N130" s="629"/>
      <c r="O130" s="629"/>
      <c r="P130" s="629"/>
      <c r="Q130" s="629"/>
      <c r="R130" s="629"/>
      <c r="S130" s="631"/>
    </row>
    <row r="131" spans="3:19" ht="15" customHeight="1" x14ac:dyDescent="0.35">
      <c r="C131" s="628"/>
      <c r="D131" s="629"/>
      <c r="E131" s="629"/>
      <c r="F131" s="629"/>
      <c r="G131" s="629"/>
      <c r="H131" s="629"/>
      <c r="I131" s="629"/>
      <c r="J131" s="629"/>
      <c r="K131" s="630"/>
      <c r="L131" s="629"/>
      <c r="M131" s="630"/>
      <c r="N131" s="629"/>
      <c r="O131" s="629"/>
      <c r="P131" s="629"/>
      <c r="Q131" s="629"/>
      <c r="R131" s="629"/>
      <c r="S131" s="631"/>
    </row>
    <row r="132" spans="3:19" ht="15" customHeight="1" x14ac:dyDescent="0.35">
      <c r="C132" s="628"/>
      <c r="D132" s="629"/>
      <c r="E132" s="629"/>
      <c r="F132" s="629"/>
      <c r="G132" s="629"/>
      <c r="H132" s="629"/>
      <c r="I132" s="629"/>
      <c r="J132" s="629"/>
      <c r="K132" s="630"/>
      <c r="L132" s="629"/>
      <c r="M132" s="630"/>
      <c r="N132" s="629"/>
      <c r="O132" s="629"/>
      <c r="P132" s="629"/>
      <c r="Q132" s="629"/>
      <c r="R132" s="629"/>
      <c r="S132" s="631"/>
    </row>
    <row r="133" spans="3:19" ht="15" customHeight="1" x14ac:dyDescent="0.35">
      <c r="C133" s="628"/>
      <c r="D133" s="629"/>
      <c r="E133" s="629"/>
      <c r="F133" s="629"/>
      <c r="G133" s="629"/>
      <c r="H133" s="629"/>
      <c r="I133" s="629"/>
      <c r="J133" s="629"/>
      <c r="K133" s="630"/>
      <c r="L133" s="629"/>
      <c r="M133" s="630"/>
      <c r="N133" s="629"/>
      <c r="O133" s="629"/>
      <c r="P133" s="629"/>
      <c r="Q133" s="629"/>
      <c r="R133" s="629"/>
      <c r="S133" s="631"/>
    </row>
    <row r="134" spans="3:19" ht="15" customHeight="1" x14ac:dyDescent="0.35">
      <c r="C134" s="628"/>
      <c r="D134" s="629"/>
      <c r="E134" s="629"/>
      <c r="F134" s="629"/>
      <c r="G134" s="629"/>
      <c r="H134" s="629"/>
      <c r="I134" s="629"/>
      <c r="J134" s="629"/>
      <c r="K134" s="630"/>
      <c r="L134" s="629"/>
      <c r="M134" s="630"/>
      <c r="N134" s="629"/>
      <c r="O134" s="629"/>
      <c r="P134" s="629"/>
      <c r="Q134" s="629"/>
      <c r="R134" s="629"/>
      <c r="S134" s="631"/>
    </row>
    <row r="135" spans="3:19" ht="15" customHeight="1" x14ac:dyDescent="0.35">
      <c r="C135" s="628"/>
      <c r="D135" s="629"/>
      <c r="E135" s="629"/>
      <c r="F135" s="629"/>
      <c r="G135" s="629"/>
      <c r="H135" s="629"/>
      <c r="I135" s="629"/>
      <c r="J135" s="629"/>
      <c r="K135" s="630"/>
      <c r="L135" s="629"/>
      <c r="M135" s="630"/>
      <c r="N135" s="629"/>
      <c r="O135" s="629"/>
      <c r="P135" s="629"/>
      <c r="Q135" s="629"/>
      <c r="R135" s="629"/>
      <c r="S135" s="631"/>
    </row>
    <row r="136" spans="3:19" ht="15" customHeight="1" x14ac:dyDescent="0.35">
      <c r="C136" s="628"/>
      <c r="D136" s="629"/>
      <c r="E136" s="629"/>
      <c r="F136" s="629"/>
      <c r="G136" s="629"/>
      <c r="H136" s="629"/>
      <c r="I136" s="629"/>
      <c r="J136" s="629"/>
      <c r="K136" s="630"/>
      <c r="L136" s="629"/>
      <c r="M136" s="630"/>
      <c r="N136" s="629"/>
      <c r="O136" s="629"/>
      <c r="P136" s="629"/>
      <c r="Q136" s="629"/>
      <c r="R136" s="629"/>
      <c r="S136" s="631"/>
    </row>
    <row r="137" spans="3:19" ht="15" customHeight="1" x14ac:dyDescent="0.35">
      <c r="C137" s="628"/>
      <c r="D137" s="629"/>
      <c r="E137" s="629"/>
      <c r="F137" s="629"/>
      <c r="G137" s="629"/>
      <c r="H137" s="629"/>
      <c r="I137" s="629"/>
      <c r="J137" s="629"/>
      <c r="K137" s="630"/>
      <c r="L137" s="629"/>
      <c r="M137" s="630"/>
      <c r="N137" s="629"/>
      <c r="O137" s="629"/>
      <c r="P137" s="629"/>
      <c r="Q137" s="629"/>
      <c r="R137" s="629"/>
      <c r="S137" s="631"/>
    </row>
    <row r="138" spans="3:19" ht="15" customHeight="1" x14ac:dyDescent="0.35">
      <c r="C138" s="628"/>
      <c r="D138" s="629"/>
      <c r="E138" s="629"/>
      <c r="F138" s="629"/>
      <c r="G138" s="629"/>
      <c r="H138" s="629"/>
      <c r="I138" s="629"/>
      <c r="J138" s="629"/>
      <c r="K138" s="630"/>
      <c r="L138" s="629"/>
      <c r="M138" s="630"/>
      <c r="N138" s="629"/>
      <c r="O138" s="629"/>
      <c r="P138" s="629"/>
      <c r="Q138" s="629"/>
      <c r="R138" s="629"/>
      <c r="S138" s="631"/>
    </row>
    <row r="139" spans="3:19" ht="15" customHeight="1" x14ac:dyDescent="0.35">
      <c r="C139" s="628"/>
      <c r="D139" s="629"/>
      <c r="E139" s="629"/>
      <c r="F139" s="629"/>
      <c r="G139" s="629"/>
      <c r="H139" s="629"/>
      <c r="I139" s="629"/>
      <c r="J139" s="629"/>
      <c r="K139" s="630"/>
      <c r="L139" s="629"/>
      <c r="M139" s="630"/>
      <c r="N139" s="629"/>
      <c r="O139" s="629"/>
      <c r="P139" s="629"/>
      <c r="Q139" s="629"/>
      <c r="R139" s="629"/>
      <c r="S139" s="631"/>
    </row>
    <row r="140" spans="3:19" ht="15" customHeight="1" x14ac:dyDescent="0.35">
      <c r="C140" s="628"/>
      <c r="D140" s="629"/>
      <c r="E140" s="629"/>
      <c r="F140" s="629"/>
      <c r="G140" s="629"/>
      <c r="H140" s="629"/>
      <c r="I140" s="629"/>
      <c r="J140" s="629"/>
      <c r="K140" s="630"/>
      <c r="L140" s="629"/>
      <c r="M140" s="630"/>
      <c r="N140" s="629"/>
      <c r="O140" s="629"/>
      <c r="P140" s="629"/>
      <c r="Q140" s="629"/>
      <c r="R140" s="629"/>
      <c r="S140" s="631"/>
    </row>
    <row r="141" spans="3:19" ht="15" customHeight="1" x14ac:dyDescent="0.35">
      <c r="C141" s="628"/>
      <c r="D141" s="629"/>
      <c r="E141" s="629"/>
      <c r="F141" s="629"/>
      <c r="G141" s="629"/>
      <c r="H141" s="629"/>
      <c r="I141" s="629"/>
      <c r="J141" s="629"/>
      <c r="K141" s="630"/>
      <c r="L141" s="629"/>
      <c r="M141" s="630"/>
      <c r="N141" s="629"/>
      <c r="O141" s="629"/>
      <c r="P141" s="629"/>
      <c r="Q141" s="629"/>
      <c r="R141" s="629"/>
      <c r="S141" s="631"/>
    </row>
    <row r="142" spans="3:19" ht="15" customHeight="1" x14ac:dyDescent="0.35">
      <c r="C142" s="628"/>
      <c r="D142" s="629"/>
      <c r="E142" s="629"/>
      <c r="F142" s="629"/>
      <c r="G142" s="629"/>
      <c r="H142" s="629"/>
      <c r="I142" s="629"/>
      <c r="J142" s="629"/>
      <c r="K142" s="630"/>
      <c r="L142" s="629"/>
      <c r="M142" s="630"/>
      <c r="N142" s="629"/>
      <c r="O142" s="629"/>
      <c r="P142" s="629"/>
      <c r="Q142" s="629"/>
      <c r="R142" s="629"/>
      <c r="S142" s="631"/>
    </row>
    <row r="143" spans="3:19" ht="15" customHeight="1" x14ac:dyDescent="0.35">
      <c r="C143" s="628"/>
      <c r="D143" s="629"/>
      <c r="E143" s="629"/>
      <c r="F143" s="629"/>
      <c r="G143" s="629"/>
      <c r="H143" s="629"/>
      <c r="I143" s="629"/>
      <c r="J143" s="629"/>
      <c r="K143" s="630"/>
      <c r="L143" s="629"/>
      <c r="M143" s="630"/>
      <c r="N143" s="629"/>
      <c r="O143" s="629"/>
      <c r="P143" s="629"/>
      <c r="Q143" s="629"/>
      <c r="R143" s="629"/>
      <c r="S143" s="631"/>
    </row>
    <row r="144" spans="3:19" ht="15" customHeight="1" x14ac:dyDescent="0.35">
      <c r="C144" s="628"/>
      <c r="D144" s="629"/>
      <c r="E144" s="629"/>
      <c r="F144" s="629"/>
      <c r="G144" s="629"/>
      <c r="H144" s="629"/>
      <c r="I144" s="629"/>
      <c r="J144" s="629"/>
      <c r="K144" s="630"/>
      <c r="L144" s="629"/>
      <c r="M144" s="630"/>
      <c r="N144" s="629"/>
      <c r="O144" s="629"/>
      <c r="P144" s="629"/>
      <c r="Q144" s="629"/>
      <c r="R144" s="629"/>
      <c r="S144" s="631"/>
    </row>
    <row r="145" spans="3:19" ht="15" customHeight="1" x14ac:dyDescent="0.35">
      <c r="C145" s="628"/>
      <c r="D145" s="629"/>
      <c r="E145" s="629"/>
      <c r="F145" s="629"/>
      <c r="G145" s="629"/>
      <c r="H145" s="629"/>
      <c r="I145" s="629"/>
      <c r="J145" s="629"/>
      <c r="K145" s="630"/>
      <c r="L145" s="629"/>
      <c r="M145" s="630"/>
      <c r="N145" s="629"/>
      <c r="O145" s="629"/>
      <c r="P145" s="629"/>
      <c r="Q145" s="629"/>
      <c r="R145" s="629"/>
      <c r="S145" s="631"/>
    </row>
    <row r="146" spans="3:19" ht="15" customHeight="1" x14ac:dyDescent="0.35">
      <c r="C146" s="628"/>
      <c r="D146" s="629"/>
      <c r="E146" s="629"/>
      <c r="F146" s="629"/>
      <c r="G146" s="629"/>
      <c r="H146" s="629"/>
      <c r="I146" s="629"/>
      <c r="J146" s="629"/>
      <c r="K146" s="630"/>
      <c r="L146" s="629"/>
      <c r="M146" s="630"/>
      <c r="N146" s="629"/>
      <c r="O146" s="629"/>
      <c r="P146" s="629"/>
      <c r="Q146" s="629"/>
      <c r="R146" s="629"/>
      <c r="S146" s="631"/>
    </row>
    <row r="147" spans="3:19" ht="15" customHeight="1" x14ac:dyDescent="0.35">
      <c r="C147" s="628"/>
      <c r="D147" s="629"/>
      <c r="E147" s="629"/>
      <c r="F147" s="629"/>
      <c r="G147" s="629"/>
      <c r="H147" s="629"/>
      <c r="I147" s="629"/>
      <c r="J147" s="629"/>
      <c r="K147" s="630"/>
      <c r="L147" s="629"/>
      <c r="M147" s="630"/>
      <c r="N147" s="629"/>
      <c r="O147" s="629"/>
      <c r="P147" s="629"/>
      <c r="Q147" s="629"/>
      <c r="R147" s="629"/>
      <c r="S147" s="631"/>
    </row>
    <row r="148" spans="3:19" ht="15" customHeight="1" x14ac:dyDescent="0.35">
      <c r="C148" s="628"/>
      <c r="D148" s="629"/>
      <c r="E148" s="629"/>
      <c r="F148" s="629"/>
      <c r="G148" s="629"/>
      <c r="H148" s="629"/>
      <c r="I148" s="629"/>
      <c r="J148" s="629"/>
      <c r="K148" s="630"/>
      <c r="L148" s="629"/>
      <c r="M148" s="630"/>
      <c r="N148" s="629"/>
      <c r="O148" s="629"/>
      <c r="P148" s="629"/>
      <c r="Q148" s="629"/>
      <c r="R148" s="629"/>
      <c r="S148" s="631"/>
    </row>
    <row r="149" spans="3:19" ht="15" customHeight="1" x14ac:dyDescent="0.35">
      <c r="C149" s="628"/>
      <c r="D149" s="629"/>
      <c r="E149" s="629"/>
      <c r="F149" s="629"/>
      <c r="G149" s="629"/>
      <c r="H149" s="629"/>
      <c r="I149" s="629"/>
      <c r="J149" s="629"/>
      <c r="K149" s="630"/>
      <c r="L149" s="629"/>
      <c r="M149" s="630"/>
      <c r="N149" s="629"/>
      <c r="O149" s="629"/>
      <c r="P149" s="629"/>
      <c r="Q149" s="629"/>
      <c r="R149" s="629"/>
      <c r="S149" s="631"/>
    </row>
    <row r="150" spans="3:19" ht="15" customHeight="1" x14ac:dyDescent="0.35">
      <c r="C150" s="628"/>
      <c r="D150" s="629"/>
      <c r="E150" s="629"/>
      <c r="F150" s="629"/>
      <c r="G150" s="629"/>
      <c r="H150" s="629"/>
      <c r="I150" s="629"/>
      <c r="J150" s="629"/>
      <c r="K150" s="630"/>
      <c r="L150" s="629"/>
      <c r="M150" s="630"/>
      <c r="N150" s="629"/>
      <c r="O150" s="629"/>
      <c r="P150" s="629"/>
      <c r="Q150" s="629"/>
      <c r="R150" s="629"/>
      <c r="S150" s="631"/>
    </row>
    <row r="151" spans="3:19" ht="15" customHeight="1" x14ac:dyDescent="0.35">
      <c r="C151" s="628"/>
      <c r="D151" s="629"/>
      <c r="E151" s="629"/>
      <c r="F151" s="629"/>
      <c r="G151" s="629"/>
      <c r="H151" s="629"/>
      <c r="I151" s="629"/>
      <c r="J151" s="629"/>
      <c r="K151" s="630"/>
      <c r="L151" s="629"/>
      <c r="M151" s="630"/>
      <c r="N151" s="629"/>
      <c r="O151" s="629"/>
      <c r="P151" s="629"/>
      <c r="Q151" s="629"/>
      <c r="R151" s="629"/>
      <c r="S151" s="631"/>
    </row>
    <row r="152" spans="3:19" ht="15" customHeight="1" x14ac:dyDescent="0.35">
      <c r="C152" s="628"/>
      <c r="D152" s="629"/>
      <c r="E152" s="629"/>
      <c r="F152" s="629"/>
      <c r="G152" s="629"/>
      <c r="H152" s="629"/>
      <c r="I152" s="629"/>
      <c r="J152" s="629"/>
      <c r="K152" s="630"/>
      <c r="L152" s="629"/>
      <c r="M152" s="630"/>
      <c r="N152" s="629"/>
      <c r="O152" s="629"/>
      <c r="P152" s="629"/>
      <c r="Q152" s="629"/>
      <c r="R152" s="629"/>
      <c r="S152" s="631"/>
    </row>
    <row r="153" spans="3:19" ht="15" customHeight="1" x14ac:dyDescent="0.35">
      <c r="C153" s="628"/>
      <c r="D153" s="629"/>
      <c r="E153" s="629"/>
      <c r="F153" s="629"/>
      <c r="G153" s="629"/>
      <c r="H153" s="629"/>
      <c r="I153" s="629"/>
      <c r="J153" s="629"/>
      <c r="K153" s="630"/>
      <c r="L153" s="629"/>
      <c r="M153" s="630"/>
      <c r="N153" s="629"/>
      <c r="O153" s="629"/>
      <c r="P153" s="629"/>
      <c r="Q153" s="629"/>
      <c r="R153" s="629"/>
      <c r="S153" s="631"/>
    </row>
    <row r="154" spans="3:19" ht="15" customHeight="1" x14ac:dyDescent="0.35">
      <c r="C154" s="632"/>
      <c r="D154" s="633"/>
      <c r="E154" s="633"/>
      <c r="F154" s="633"/>
      <c r="G154" s="633"/>
      <c r="H154" s="633"/>
      <c r="I154" s="633"/>
      <c r="J154" s="633"/>
      <c r="K154" s="634"/>
      <c r="L154" s="635"/>
      <c r="M154" s="634"/>
      <c r="N154" s="633"/>
      <c r="O154" s="633"/>
      <c r="P154" s="633"/>
      <c r="Q154" s="633"/>
      <c r="R154" s="633"/>
      <c r="S154" s="636"/>
    </row>
    <row r="155" spans="3:19" ht="15" customHeight="1" x14ac:dyDescent="0.35">
      <c r="C155" s="632"/>
      <c r="D155" s="633"/>
      <c r="E155" s="633"/>
      <c r="F155" s="633"/>
      <c r="G155" s="633"/>
      <c r="H155" s="633"/>
      <c r="I155" s="633"/>
      <c r="J155" s="633"/>
      <c r="K155" s="634"/>
      <c r="L155" s="635"/>
      <c r="M155" s="634"/>
      <c r="N155" s="633"/>
      <c r="O155" s="633"/>
      <c r="P155" s="633"/>
      <c r="Q155" s="633"/>
      <c r="R155" s="633"/>
      <c r="S155" s="636"/>
    </row>
    <row r="156" spans="3:19" ht="15" customHeight="1" thickBot="1" x14ac:dyDescent="0.4">
      <c r="C156" s="637"/>
      <c r="D156" s="638"/>
      <c r="E156" s="638"/>
      <c r="F156" s="638"/>
      <c r="G156" s="638"/>
      <c r="H156" s="638"/>
      <c r="I156" s="638"/>
      <c r="J156" s="638"/>
      <c r="K156" s="639"/>
      <c r="L156" s="640"/>
      <c r="M156" s="639"/>
      <c r="N156" s="638"/>
      <c r="O156" s="638"/>
      <c r="P156" s="638"/>
      <c r="Q156" s="638"/>
      <c r="R156" s="638"/>
      <c r="S156" s="641"/>
    </row>
    <row r="607" spans="23:29" ht="15" customHeight="1" thickBot="1" x14ac:dyDescent="0.4"/>
    <row r="608" spans="23:29" ht="15" customHeight="1" thickBot="1" x14ac:dyDescent="0.4">
      <c r="W608" s="872" t="str">
        <f>L53</f>
        <v>ADDITIONAL PRODUCTS</v>
      </c>
      <c r="X608" s="873"/>
      <c r="Y608" s="873"/>
      <c r="Z608" s="873"/>
      <c r="AA608" s="873"/>
      <c r="AB608" s="873"/>
      <c r="AC608" s="874"/>
    </row>
    <row r="609" spans="23:29" ht="15" customHeight="1" thickBot="1" x14ac:dyDescent="0.4">
      <c r="W609" s="217" t="str">
        <f>IF(M54="","",M54)</f>
        <v>PRODUCT</v>
      </c>
      <c r="X609" s="217" t="str">
        <f t="shared" ref="X609:AC609" si="8">IF(N54="","",N54)</f>
        <v>COLOR</v>
      </c>
      <c r="Y609" s="217" t="str">
        <f t="shared" si="8"/>
        <v>UOM</v>
      </c>
      <c r="Z609" s="217" t="str">
        <f t="shared" si="8"/>
        <v>QTY</v>
      </c>
      <c r="AA609" s="217" t="str">
        <f t="shared" si="8"/>
        <v>UNIT RATE</v>
      </c>
      <c r="AB609" s="217" t="str">
        <f t="shared" si="8"/>
        <v xml:space="preserve"> </v>
      </c>
      <c r="AC609" s="233" t="str">
        <f t="shared" si="8"/>
        <v>EXTENSION</v>
      </c>
    </row>
    <row r="610" spans="23:29" ht="15" customHeight="1" x14ac:dyDescent="0.35">
      <c r="W610" s="247" t="str">
        <f t="shared" ref="W610:W627" si="9">IF(M55="","",M55)</f>
        <v>Rentals (Equipment, Sunbelt etc)</v>
      </c>
      <c r="X610" s="234" t="str">
        <f t="shared" ref="X610:X627" si="10">IF(N55="","",N55)</f>
        <v>&lt;- Rentals Here</v>
      </c>
      <c r="Y610" s="235" t="str">
        <f t="shared" ref="Y610:Y627" si="11">IF(O55="","",O55)</f>
        <v/>
      </c>
      <c r="Z610" s="235" t="str">
        <f t="shared" ref="Z610:Z627" si="12">IF(P55="","",P55)</f>
        <v/>
      </c>
      <c r="AA610" s="211" t="str">
        <f t="shared" ref="AA610:AA627" si="13">IF(Q55="","",Q55)</f>
        <v/>
      </c>
      <c r="AB610" s="235" t="str">
        <f t="shared" ref="AB610:AB627" si="14">IF(R55="","",R55)</f>
        <v/>
      </c>
      <c r="AC610" s="291">
        <f t="shared" ref="AC610:AC627" si="15">IF(S55="","",S55)</f>
        <v>0</v>
      </c>
    </row>
    <row r="611" spans="23:29" ht="15" customHeight="1" x14ac:dyDescent="0.35">
      <c r="W611" s="247" t="str">
        <f t="shared" si="9"/>
        <v>Rentals (Equipment, Sunbelt etc)</v>
      </c>
      <c r="X611" s="234" t="str">
        <f t="shared" si="10"/>
        <v>&lt;- Rentals Here</v>
      </c>
      <c r="Y611" s="235" t="str">
        <f t="shared" si="11"/>
        <v/>
      </c>
      <c r="Z611" s="235" t="str">
        <f t="shared" si="12"/>
        <v/>
      </c>
      <c r="AA611" s="212" t="str">
        <f t="shared" si="13"/>
        <v/>
      </c>
      <c r="AB611" s="235" t="str">
        <f t="shared" si="14"/>
        <v/>
      </c>
      <c r="AC611" s="291">
        <f t="shared" si="15"/>
        <v>0</v>
      </c>
    </row>
    <row r="612" spans="23:29" ht="15" customHeight="1" x14ac:dyDescent="0.35">
      <c r="W612" s="247" t="str">
        <f t="shared" si="9"/>
        <v>Rentals (Equipment, Sunbelt etc)</v>
      </c>
      <c r="X612" s="234" t="str">
        <f t="shared" si="10"/>
        <v>&lt;- Rentals Here</v>
      </c>
      <c r="Y612" s="235" t="str">
        <f t="shared" si="11"/>
        <v/>
      </c>
      <c r="Z612" s="235" t="str">
        <f t="shared" si="12"/>
        <v/>
      </c>
      <c r="AA612" s="212" t="str">
        <f t="shared" si="13"/>
        <v/>
      </c>
      <c r="AB612" s="235" t="str">
        <f t="shared" si="14"/>
        <v/>
      </c>
      <c r="AC612" s="291">
        <f t="shared" si="15"/>
        <v>0</v>
      </c>
    </row>
    <row r="613" spans="23:29" ht="15" customHeight="1" x14ac:dyDescent="0.35">
      <c r="W613" s="247" t="str">
        <f t="shared" si="9"/>
        <v>Contingency</v>
      </c>
      <c r="X613" s="248" t="str">
        <f t="shared" si="10"/>
        <v/>
      </c>
      <c r="Y613" s="245" t="str">
        <f t="shared" si="11"/>
        <v/>
      </c>
      <c r="Z613" s="295" t="str">
        <f t="shared" si="12"/>
        <v/>
      </c>
      <c r="AA613" s="203" t="str">
        <f t="shared" si="13"/>
        <v/>
      </c>
      <c r="AB613" s="235" t="str">
        <f t="shared" si="14"/>
        <v/>
      </c>
      <c r="AC613" s="291">
        <f t="shared" si="15"/>
        <v>0</v>
      </c>
    </row>
    <row r="614" spans="23:29" ht="15" customHeight="1" x14ac:dyDescent="0.35">
      <c r="W614" s="247" t="str">
        <f t="shared" si="9"/>
        <v>Box Truck Rental</v>
      </c>
      <c r="X614" s="248" t="str">
        <f t="shared" si="10"/>
        <v/>
      </c>
      <c r="Y614" s="245" t="str">
        <f t="shared" si="11"/>
        <v/>
      </c>
      <c r="Z614" s="295" t="str">
        <f t="shared" si="12"/>
        <v/>
      </c>
      <c r="AA614" s="203" t="str">
        <f t="shared" si="13"/>
        <v/>
      </c>
      <c r="AB614" s="235" t="str">
        <f t="shared" si="14"/>
        <v/>
      </c>
      <c r="AC614" s="291">
        <f t="shared" si="15"/>
        <v>0</v>
      </c>
    </row>
    <row r="615" spans="23:29" ht="15" customHeight="1" x14ac:dyDescent="0.35">
      <c r="W615" s="247" t="str">
        <f t="shared" si="9"/>
        <v>NP-1 TUBES (30 TUBE/CASE)</v>
      </c>
      <c r="X615" s="248" t="str">
        <f t="shared" si="10"/>
        <v>N/A</v>
      </c>
      <c r="Y615" s="245" t="str">
        <f t="shared" si="11"/>
        <v>TUBE</v>
      </c>
      <c r="Z615" s="295" t="str">
        <f t="shared" si="12"/>
        <v/>
      </c>
      <c r="AA615" s="203">
        <f t="shared" si="13"/>
        <v>8.2899999999999991</v>
      </c>
      <c r="AB615" s="235" t="str">
        <f t="shared" si="14"/>
        <v/>
      </c>
      <c r="AC615" s="291">
        <f t="shared" si="15"/>
        <v>0</v>
      </c>
    </row>
    <row r="616" spans="23:29" ht="15" customHeight="1" x14ac:dyDescent="0.35">
      <c r="W616" s="247" t="str">
        <f t="shared" si="9"/>
        <v>600 UV (SSP JS-600 ALIPHATIC POLYUREA)</v>
      </c>
      <c r="X616" s="248" t="str">
        <f t="shared" si="10"/>
        <v>STANDARD GRAY</v>
      </c>
      <c r="Y616" s="245" t="str">
        <f t="shared" si="11"/>
        <v>1 GAL BOX</v>
      </c>
      <c r="Z616" s="295" t="str">
        <f t="shared" si="12"/>
        <v/>
      </c>
      <c r="AA616" s="203">
        <f t="shared" ca="1" si="13"/>
        <v>125.4</v>
      </c>
      <c r="AB616" s="235" t="str">
        <f t="shared" si="14"/>
        <v/>
      </c>
      <c r="AC616" s="291">
        <f t="shared" ca="1" si="15"/>
        <v>0</v>
      </c>
    </row>
    <row r="617" spans="23:29" ht="15" customHeight="1" x14ac:dyDescent="0.35">
      <c r="W617" s="307" t="str">
        <f t="shared" si="9"/>
        <v>RS88 (12 TUBES / CASE)</v>
      </c>
      <c r="X617" s="296" t="str">
        <f t="shared" si="10"/>
        <v>STANDARD GRAY</v>
      </c>
      <c r="Y617" s="295" t="str">
        <f t="shared" si="11"/>
        <v>TUBE</v>
      </c>
      <c r="Z617" s="295" t="str">
        <f t="shared" si="12"/>
        <v/>
      </c>
      <c r="AA617" s="212">
        <f t="shared" ca="1" si="13"/>
        <v>38.5</v>
      </c>
      <c r="AB617" s="235" t="str">
        <f t="shared" si="14"/>
        <v/>
      </c>
      <c r="AC617" s="291">
        <f t="shared" ca="1" si="15"/>
        <v>0</v>
      </c>
    </row>
    <row r="618" spans="23:29" ht="15" customHeight="1" x14ac:dyDescent="0.35">
      <c r="W618" s="307" t="str">
        <f t="shared" si="9"/>
        <v/>
      </c>
      <c r="X618" s="296" t="str">
        <f t="shared" si="10"/>
        <v/>
      </c>
      <c r="Y618" s="295" t="str">
        <f t="shared" si="11"/>
        <v/>
      </c>
      <c r="Z618" s="295" t="str">
        <f t="shared" si="12"/>
        <v/>
      </c>
      <c r="AA618" s="212" t="str">
        <f t="shared" si="13"/>
        <v/>
      </c>
      <c r="AB618" s="235" t="str">
        <f t="shared" si="14"/>
        <v/>
      </c>
      <c r="AC618" s="291">
        <f t="shared" si="15"/>
        <v>0</v>
      </c>
    </row>
    <row r="619" spans="23:29" ht="15" customHeight="1" x14ac:dyDescent="0.35">
      <c r="W619" s="307" t="str">
        <f t="shared" si="9"/>
        <v/>
      </c>
      <c r="X619" s="296" t="str">
        <f t="shared" si="10"/>
        <v/>
      </c>
      <c r="Y619" s="295" t="str">
        <f t="shared" si="11"/>
        <v/>
      </c>
      <c r="Z619" s="295" t="str">
        <f t="shared" si="12"/>
        <v/>
      </c>
      <c r="AA619" s="212" t="str">
        <f t="shared" si="13"/>
        <v/>
      </c>
      <c r="AB619" s="235" t="str">
        <f t="shared" si="14"/>
        <v/>
      </c>
      <c r="AC619" s="291">
        <f t="shared" si="15"/>
        <v>0</v>
      </c>
    </row>
    <row r="620" spans="23:29" ht="15" customHeight="1" x14ac:dyDescent="0.35">
      <c r="W620" s="307" t="str">
        <f t="shared" si="9"/>
        <v/>
      </c>
      <c r="X620" s="296" t="str">
        <f t="shared" si="10"/>
        <v/>
      </c>
      <c r="Y620" s="295" t="str">
        <f t="shared" si="11"/>
        <v/>
      </c>
      <c r="Z620" s="295" t="str">
        <f t="shared" si="12"/>
        <v/>
      </c>
      <c r="AA620" s="212" t="str">
        <f t="shared" si="13"/>
        <v/>
      </c>
      <c r="AB620" s="235" t="str">
        <f t="shared" si="14"/>
        <v/>
      </c>
      <c r="AC620" s="291">
        <f t="shared" si="15"/>
        <v>0</v>
      </c>
    </row>
    <row r="621" spans="23:29" ht="15" customHeight="1" x14ac:dyDescent="0.35">
      <c r="W621" s="307" t="str">
        <f t="shared" si="9"/>
        <v/>
      </c>
      <c r="X621" s="296" t="str">
        <f t="shared" si="10"/>
        <v/>
      </c>
      <c r="Y621" s="295" t="str">
        <f t="shared" si="11"/>
        <v/>
      </c>
      <c r="Z621" s="295" t="str">
        <f t="shared" si="12"/>
        <v/>
      </c>
      <c r="AA621" s="212" t="str">
        <f t="shared" si="13"/>
        <v/>
      </c>
      <c r="AB621" s="235" t="str">
        <f t="shared" si="14"/>
        <v/>
      </c>
      <c r="AC621" s="291">
        <f t="shared" si="15"/>
        <v>0</v>
      </c>
    </row>
    <row r="622" spans="23:29" ht="15" customHeight="1" x14ac:dyDescent="0.35">
      <c r="W622" s="307" t="str">
        <f t="shared" si="9"/>
        <v/>
      </c>
      <c r="X622" s="296" t="str">
        <f t="shared" si="10"/>
        <v/>
      </c>
      <c r="Y622" s="295" t="str">
        <f t="shared" si="11"/>
        <v/>
      </c>
      <c r="Z622" s="295" t="str">
        <f t="shared" si="12"/>
        <v/>
      </c>
      <c r="AA622" s="212" t="str">
        <f t="shared" si="13"/>
        <v/>
      </c>
      <c r="AB622" s="235" t="str">
        <f t="shared" si="14"/>
        <v/>
      </c>
      <c r="AC622" s="291">
        <f t="shared" si="15"/>
        <v>0</v>
      </c>
    </row>
    <row r="623" spans="23:29" ht="15" customHeight="1" x14ac:dyDescent="0.35">
      <c r="W623" s="307" t="str">
        <f t="shared" si="9"/>
        <v/>
      </c>
      <c r="X623" s="296" t="str">
        <f t="shared" si="10"/>
        <v/>
      </c>
      <c r="Y623" s="295" t="str">
        <f t="shared" si="11"/>
        <v/>
      </c>
      <c r="Z623" s="295" t="str">
        <f t="shared" si="12"/>
        <v/>
      </c>
      <c r="AA623" s="212" t="str">
        <f t="shared" si="13"/>
        <v/>
      </c>
      <c r="AB623" s="235" t="str">
        <f t="shared" si="14"/>
        <v/>
      </c>
      <c r="AC623" s="291">
        <f t="shared" si="15"/>
        <v>0</v>
      </c>
    </row>
    <row r="624" spans="23:29" ht="15" customHeight="1" x14ac:dyDescent="0.35">
      <c r="W624" s="307" t="str">
        <f t="shared" si="9"/>
        <v/>
      </c>
      <c r="X624" s="296" t="str">
        <f t="shared" si="10"/>
        <v/>
      </c>
      <c r="Y624" s="295" t="str">
        <f t="shared" si="11"/>
        <v/>
      </c>
      <c r="Z624" s="295" t="str">
        <f t="shared" si="12"/>
        <v/>
      </c>
      <c r="AA624" s="212" t="str">
        <f t="shared" si="13"/>
        <v/>
      </c>
      <c r="AB624" s="235" t="str">
        <f t="shared" si="14"/>
        <v/>
      </c>
      <c r="AC624" s="291">
        <f t="shared" si="15"/>
        <v>0</v>
      </c>
    </row>
    <row r="625" spans="23:29" ht="15" customHeight="1" x14ac:dyDescent="0.35">
      <c r="W625" s="307" t="str">
        <f t="shared" si="9"/>
        <v/>
      </c>
      <c r="X625" s="296" t="str">
        <f t="shared" si="10"/>
        <v/>
      </c>
      <c r="Y625" s="295" t="str">
        <f t="shared" si="11"/>
        <v/>
      </c>
      <c r="Z625" s="295" t="str">
        <f t="shared" si="12"/>
        <v/>
      </c>
      <c r="AA625" s="212" t="str">
        <f t="shared" si="13"/>
        <v/>
      </c>
      <c r="AB625" s="235" t="str">
        <f t="shared" si="14"/>
        <v/>
      </c>
      <c r="AC625" s="291">
        <f t="shared" si="15"/>
        <v>0</v>
      </c>
    </row>
    <row r="626" spans="23:29" ht="15" customHeight="1" x14ac:dyDescent="0.35">
      <c r="W626" s="307" t="str">
        <f t="shared" si="9"/>
        <v/>
      </c>
      <c r="X626" s="296" t="str">
        <f t="shared" si="10"/>
        <v/>
      </c>
      <c r="Y626" s="295" t="str">
        <f t="shared" si="11"/>
        <v/>
      </c>
      <c r="Z626" s="295" t="str">
        <f t="shared" si="12"/>
        <v/>
      </c>
      <c r="AA626" s="212" t="str">
        <f t="shared" si="13"/>
        <v/>
      </c>
      <c r="AB626" s="235" t="str">
        <f t="shared" si="14"/>
        <v/>
      </c>
      <c r="AC626" s="291">
        <f t="shared" si="15"/>
        <v>0</v>
      </c>
    </row>
    <row r="627" spans="23:29" ht="15" customHeight="1" thickBot="1" x14ac:dyDescent="0.4">
      <c r="W627" s="307" t="str">
        <f t="shared" si="9"/>
        <v/>
      </c>
      <c r="X627" s="296" t="str">
        <f t="shared" si="10"/>
        <v/>
      </c>
      <c r="Y627" s="295" t="str">
        <f t="shared" si="11"/>
        <v/>
      </c>
      <c r="Z627" s="295" t="str">
        <f t="shared" si="12"/>
        <v/>
      </c>
      <c r="AA627" s="212" t="str">
        <f t="shared" si="13"/>
        <v/>
      </c>
      <c r="AB627" s="235" t="str">
        <f t="shared" si="14"/>
        <v/>
      </c>
      <c r="AC627" s="291">
        <f t="shared" si="15"/>
        <v>0</v>
      </c>
    </row>
    <row r="628" spans="23:29" ht="15" customHeight="1" thickTop="1" thickBot="1" x14ac:dyDescent="0.4">
      <c r="W628" s="230" t="str">
        <f t="shared" ref="W628:AC628" si="16">IF(M73="","",M73)</f>
        <v>Total</v>
      </c>
      <c r="X628" s="228" t="str">
        <f t="shared" si="16"/>
        <v/>
      </c>
      <c r="Y628" s="228" t="str">
        <f t="shared" si="16"/>
        <v/>
      </c>
      <c r="Z628" s="228" t="str">
        <f t="shared" si="16"/>
        <v/>
      </c>
      <c r="AA628" s="228" t="str">
        <f t="shared" si="16"/>
        <v/>
      </c>
      <c r="AB628" s="228" t="str">
        <f t="shared" si="16"/>
        <v/>
      </c>
      <c r="AC628" s="229">
        <f t="shared" ca="1" si="16"/>
        <v>0</v>
      </c>
    </row>
    <row r="629" spans="23:29" ht="7.5" customHeight="1" thickBot="1" x14ac:dyDescent="0.4">
      <c r="W629" t="str">
        <f>IF(M74="","",M74)</f>
        <v/>
      </c>
    </row>
    <row r="630" spans="23:29" ht="15" customHeight="1" thickBot="1" x14ac:dyDescent="0.4">
      <c r="W630" s="872" t="str">
        <f>IF(C53="","",C53)</f>
        <v>LABOR - IN HOUSE INSTALLS</v>
      </c>
      <c r="X630" s="873"/>
      <c r="Y630" s="873"/>
      <c r="Z630" s="873"/>
      <c r="AA630" s="873"/>
      <c r="AB630" s="873"/>
      <c r="AC630" s="874"/>
    </row>
    <row r="631" spans="23:29" ht="15" customHeight="1" thickBot="1" x14ac:dyDescent="0.4">
      <c r="W631" s="895" t="str">
        <f>IF(C54="","",C54)</f>
        <v>ACTIVITY</v>
      </c>
      <c r="X631" s="896"/>
      <c r="Y631" s="897"/>
      <c r="Z631" s="282" t="str">
        <f>IF(F54="","",F54)</f>
        <v>MEN</v>
      </c>
      <c r="AA631" s="82" t="str">
        <f>IF(G54="","",G54)</f>
        <v>DAYS / RATE</v>
      </c>
      <c r="AB631" s="82" t="str">
        <f>IF(H54="","",H54)</f>
        <v>COST / DAY</v>
      </c>
      <c r="AC631" s="286" t="str">
        <f>IF(I54="","",I54)</f>
        <v>EXTENSION</v>
      </c>
    </row>
    <row r="632" spans="23:29" ht="15" customHeight="1" x14ac:dyDescent="0.35">
      <c r="W632" s="898" t="str">
        <f t="shared" ref="W632:W650" si="17">IF(C55="","",C55)</f>
        <v xml:space="preserve">Prep </v>
      </c>
      <c r="X632" s="899"/>
      <c r="Y632" s="900"/>
      <c r="Z632" s="289" t="str">
        <f t="shared" ref="Z632:Z650" si="18">IF(F55="","",F55)</f>
        <v/>
      </c>
      <c r="AA632" s="308" t="str">
        <f t="shared" ref="AA632:AA650" si="19">IF(G55="","",G55)</f>
        <v/>
      </c>
      <c r="AB632" s="208">
        <f t="shared" ref="AB632:AB650" si="20">IF(H55="","",H55)</f>
        <v>600</v>
      </c>
      <c r="AC632" s="70">
        <f t="shared" ref="AC632:AC650" si="21">IF(I55="","",I55)</f>
        <v>0</v>
      </c>
    </row>
    <row r="633" spans="23:29" ht="15" customHeight="1" x14ac:dyDescent="0.35">
      <c r="W633" s="901" t="str">
        <f t="shared" si="17"/>
        <v>Cove</v>
      </c>
      <c r="X633" s="902"/>
      <c r="Y633" s="903"/>
      <c r="Z633" s="289" t="str">
        <f t="shared" si="18"/>
        <v/>
      </c>
      <c r="AA633" s="308" t="str">
        <f t="shared" si="19"/>
        <v/>
      </c>
      <c r="AB633" s="208">
        <f t="shared" si="20"/>
        <v>600</v>
      </c>
      <c r="AC633" s="70">
        <f t="shared" si="21"/>
        <v>0</v>
      </c>
    </row>
    <row r="634" spans="23:29" ht="15" customHeight="1" x14ac:dyDescent="0.35">
      <c r="W634" s="901" t="str">
        <f t="shared" si="17"/>
        <v>Trowel</v>
      </c>
      <c r="X634" s="902"/>
      <c r="Y634" s="903"/>
      <c r="Z634" s="289" t="str">
        <f t="shared" si="18"/>
        <v/>
      </c>
      <c r="AA634" s="308" t="str">
        <f t="shared" si="19"/>
        <v/>
      </c>
      <c r="AB634" s="208">
        <f t="shared" si="20"/>
        <v>600</v>
      </c>
      <c r="AC634" s="70">
        <f t="shared" si="21"/>
        <v>0</v>
      </c>
    </row>
    <row r="635" spans="23:29" ht="15" customHeight="1" x14ac:dyDescent="0.35">
      <c r="W635" s="901" t="str">
        <f t="shared" si="17"/>
        <v>Seal</v>
      </c>
      <c r="X635" s="902"/>
      <c r="Y635" s="903"/>
      <c r="Z635" s="289" t="str">
        <f t="shared" si="18"/>
        <v/>
      </c>
      <c r="AA635" s="308" t="str">
        <f t="shared" si="19"/>
        <v/>
      </c>
      <c r="AB635" s="208">
        <f t="shared" si="20"/>
        <v>600</v>
      </c>
      <c r="AC635" s="70">
        <f t="shared" si="21"/>
        <v>0</v>
      </c>
    </row>
    <row r="636" spans="23:29" ht="15" customHeight="1" x14ac:dyDescent="0.35">
      <c r="W636" s="901" t="str">
        <f t="shared" si="17"/>
        <v>Joints</v>
      </c>
      <c r="X636" s="902"/>
      <c r="Y636" s="903"/>
      <c r="Z636" s="289" t="str">
        <f t="shared" si="18"/>
        <v/>
      </c>
      <c r="AA636" s="308" t="str">
        <f t="shared" si="19"/>
        <v/>
      </c>
      <c r="AB636" s="208">
        <f t="shared" si="20"/>
        <v>600</v>
      </c>
      <c r="AC636" s="70">
        <f t="shared" si="21"/>
        <v>0</v>
      </c>
    </row>
    <row r="637" spans="23:29" ht="15" customHeight="1" x14ac:dyDescent="0.35">
      <c r="W637" s="901" t="str">
        <f t="shared" si="17"/>
        <v/>
      </c>
      <c r="X637" s="902"/>
      <c r="Y637" s="903"/>
      <c r="Z637" s="289" t="str">
        <f t="shared" si="18"/>
        <v/>
      </c>
      <c r="AA637" s="308" t="str">
        <f t="shared" si="19"/>
        <v/>
      </c>
      <c r="AB637" s="208">
        <f t="shared" si="20"/>
        <v>600</v>
      </c>
      <c r="AC637" s="70">
        <f t="shared" si="21"/>
        <v>0</v>
      </c>
    </row>
    <row r="638" spans="23:29" ht="15" customHeight="1" x14ac:dyDescent="0.35">
      <c r="W638" s="901" t="str">
        <f t="shared" si="17"/>
        <v/>
      </c>
      <c r="X638" s="902"/>
      <c r="Y638" s="903"/>
      <c r="Z638" s="289" t="str">
        <f t="shared" si="18"/>
        <v/>
      </c>
      <c r="AA638" s="308" t="str">
        <f t="shared" si="19"/>
        <v/>
      </c>
      <c r="AB638" s="208">
        <f t="shared" si="20"/>
        <v>600</v>
      </c>
      <c r="AC638" s="70">
        <f t="shared" si="21"/>
        <v>0</v>
      </c>
    </row>
    <row r="639" spans="23:29" ht="15" customHeight="1" x14ac:dyDescent="0.35">
      <c r="W639" s="901" t="str">
        <f t="shared" si="17"/>
        <v/>
      </c>
      <c r="X639" s="902"/>
      <c r="Y639" s="903"/>
      <c r="Z639" s="289" t="str">
        <f t="shared" si="18"/>
        <v/>
      </c>
      <c r="AA639" s="308" t="str">
        <f t="shared" si="19"/>
        <v/>
      </c>
      <c r="AB639" s="208">
        <f t="shared" si="20"/>
        <v>600</v>
      </c>
      <c r="AC639" s="70">
        <f t="shared" si="21"/>
        <v>0</v>
      </c>
    </row>
    <row r="640" spans="23:29" ht="15" customHeight="1" x14ac:dyDescent="0.35">
      <c r="W640" s="901" t="str">
        <f t="shared" si="17"/>
        <v/>
      </c>
      <c r="X640" s="902"/>
      <c r="Y640" s="903"/>
      <c r="Z640" s="289" t="str">
        <f t="shared" si="18"/>
        <v/>
      </c>
      <c r="AA640" s="308" t="str">
        <f t="shared" si="19"/>
        <v/>
      </c>
      <c r="AB640" s="208">
        <f t="shared" si="20"/>
        <v>600</v>
      </c>
      <c r="AC640" s="70">
        <f t="shared" si="21"/>
        <v>0</v>
      </c>
    </row>
    <row r="641" spans="23:29" ht="15" customHeight="1" x14ac:dyDescent="0.35">
      <c r="W641" s="904" t="str">
        <f t="shared" si="17"/>
        <v>Subcontractor Work Order</v>
      </c>
      <c r="X641" s="905"/>
      <c r="Y641" s="906"/>
      <c r="Z641" s="242" t="str">
        <f t="shared" si="18"/>
        <v/>
      </c>
      <c r="AA641" s="238" t="str">
        <f t="shared" si="19"/>
        <v/>
      </c>
      <c r="AB641" s="208" t="str">
        <f t="shared" si="20"/>
        <v/>
      </c>
      <c r="AC641" s="70">
        <f t="shared" si="21"/>
        <v>0</v>
      </c>
    </row>
    <row r="642" spans="23:29" ht="15" customHeight="1" x14ac:dyDescent="0.35">
      <c r="W642" s="904" t="str">
        <f t="shared" si="17"/>
        <v>Airline Expenses</v>
      </c>
      <c r="X642" s="905"/>
      <c r="Y642" s="906"/>
      <c r="Z642" s="289" t="str">
        <f t="shared" si="18"/>
        <v/>
      </c>
      <c r="AA642" s="308" t="str">
        <f t="shared" si="19"/>
        <v/>
      </c>
      <c r="AB642" s="209">
        <f t="shared" si="20"/>
        <v>420</v>
      </c>
      <c r="AC642" s="70">
        <f t="shared" si="21"/>
        <v>0</v>
      </c>
    </row>
    <row r="643" spans="23:29" ht="15" customHeight="1" x14ac:dyDescent="0.35">
      <c r="W643" s="904" t="str">
        <f t="shared" si="17"/>
        <v>Hotel Expenses</v>
      </c>
      <c r="X643" s="905"/>
      <c r="Y643" s="906"/>
      <c r="Z643" s="289" t="str">
        <f t="shared" si="18"/>
        <v/>
      </c>
      <c r="AA643" s="308" t="str">
        <f t="shared" si="19"/>
        <v/>
      </c>
      <c r="AB643" s="209">
        <f t="shared" si="20"/>
        <v>180</v>
      </c>
      <c r="AC643" s="70">
        <f t="shared" si="21"/>
        <v>0</v>
      </c>
    </row>
    <row r="644" spans="23:29" ht="15" customHeight="1" x14ac:dyDescent="0.35">
      <c r="W644" s="884" t="str">
        <f t="shared" si="17"/>
        <v>Auto Rental</v>
      </c>
      <c r="X644" s="885"/>
      <c r="Y644" s="886"/>
      <c r="Z644" s="289" t="str">
        <f t="shared" si="18"/>
        <v/>
      </c>
      <c r="AA644" s="308" t="str">
        <f t="shared" si="19"/>
        <v/>
      </c>
      <c r="AB644" s="210">
        <f t="shared" si="20"/>
        <v>65</v>
      </c>
      <c r="AC644" s="70">
        <f t="shared" si="21"/>
        <v>0</v>
      </c>
    </row>
    <row r="645" spans="23:29" ht="15" customHeight="1" x14ac:dyDescent="0.35">
      <c r="W645" s="884" t="str">
        <f t="shared" si="17"/>
        <v>Mileage/Fuel Expense</v>
      </c>
      <c r="X645" s="885"/>
      <c r="Y645" s="886"/>
      <c r="Z645" s="289" t="str">
        <f t="shared" si="18"/>
        <v/>
      </c>
      <c r="AA645" s="238" t="str">
        <f t="shared" si="19"/>
        <v/>
      </c>
      <c r="AB645" s="210">
        <f t="shared" si="20"/>
        <v>0.5</v>
      </c>
      <c r="AC645" s="70">
        <f t="shared" si="21"/>
        <v>0</v>
      </c>
    </row>
    <row r="646" spans="23:29" ht="15" customHeight="1" x14ac:dyDescent="0.35">
      <c r="W646" s="884" t="str">
        <f t="shared" si="17"/>
        <v>Parking / Tolls</v>
      </c>
      <c r="X646" s="885"/>
      <c r="Y646" s="886"/>
      <c r="Z646" s="242" t="str">
        <f t="shared" si="18"/>
        <v/>
      </c>
      <c r="AA646" s="238" t="str">
        <f t="shared" si="19"/>
        <v/>
      </c>
      <c r="AB646" s="210" t="str">
        <f t="shared" si="20"/>
        <v/>
      </c>
      <c r="AC646" s="70">
        <f t="shared" si="21"/>
        <v>0</v>
      </c>
    </row>
    <row r="647" spans="23:29" ht="15" customHeight="1" x14ac:dyDescent="0.35">
      <c r="W647" s="884" t="str">
        <f t="shared" si="17"/>
        <v>Per Diem for Travel Days Only</v>
      </c>
      <c r="X647" s="885"/>
      <c r="Y647" s="886"/>
      <c r="Z647" s="289" t="str">
        <f t="shared" si="18"/>
        <v/>
      </c>
      <c r="AA647" s="289" t="str">
        <f t="shared" si="19"/>
        <v/>
      </c>
      <c r="AB647" s="210">
        <f t="shared" si="20"/>
        <v>38.25</v>
      </c>
      <c r="AC647" s="70">
        <f t="shared" si="21"/>
        <v>0</v>
      </c>
    </row>
    <row r="648" spans="23:29" ht="15" customHeight="1" x14ac:dyDescent="0.35">
      <c r="W648" s="884" t="str">
        <f t="shared" si="17"/>
        <v>Per Diem for Work Days Only</v>
      </c>
      <c r="X648" s="885"/>
      <c r="Y648" s="886"/>
      <c r="Z648" s="289" t="str">
        <f t="shared" si="18"/>
        <v/>
      </c>
      <c r="AA648" s="289" t="str">
        <f t="shared" si="19"/>
        <v/>
      </c>
      <c r="AB648" s="210">
        <f t="shared" si="20"/>
        <v>51</v>
      </c>
      <c r="AC648" s="70">
        <f t="shared" si="21"/>
        <v>0</v>
      </c>
    </row>
    <row r="649" spans="23:29" ht="15" customHeight="1" thickBot="1" x14ac:dyDescent="0.4">
      <c r="W649" s="887" t="str">
        <f t="shared" si="17"/>
        <v>Travel Pay</v>
      </c>
      <c r="X649" s="888"/>
      <c r="Y649" s="889"/>
      <c r="Z649" s="289" t="str">
        <f t="shared" si="18"/>
        <v/>
      </c>
      <c r="AA649" s="289" t="str">
        <f t="shared" si="19"/>
        <v/>
      </c>
      <c r="AB649" s="213">
        <f t="shared" si="20"/>
        <v>325</v>
      </c>
      <c r="AC649" s="70">
        <f t="shared" si="21"/>
        <v>0</v>
      </c>
    </row>
    <row r="650" spans="23:29" ht="15" customHeight="1" thickTop="1" thickBot="1" x14ac:dyDescent="0.4">
      <c r="W650" s="230" t="str">
        <f t="shared" si="17"/>
        <v>Total</v>
      </c>
      <c r="X650" s="228" t="str">
        <f>IF(D73="","",D73)</f>
        <v/>
      </c>
      <c r="Y650" s="228" t="str">
        <f>IF(E73="","",E73)</f>
        <v/>
      </c>
      <c r="Z650" s="228" t="str">
        <f t="shared" si="18"/>
        <v/>
      </c>
      <c r="AA650" s="228" t="str">
        <f t="shared" si="19"/>
        <v/>
      </c>
      <c r="AB650" s="228" t="str">
        <f t="shared" si="20"/>
        <v/>
      </c>
      <c r="AC650" s="229">
        <f t="shared" si="21"/>
        <v>0</v>
      </c>
    </row>
    <row r="651" spans="23:29" ht="7.5" customHeight="1" thickBot="1" x14ac:dyDescent="0.4">
      <c r="W651" s="254"/>
      <c r="X651" s="254"/>
      <c r="Y651" s="254"/>
      <c r="Z651" s="254"/>
      <c r="AA651" s="254"/>
      <c r="AB651" s="254"/>
      <c r="AC651" s="254"/>
    </row>
    <row r="652" spans="23:29" ht="15" customHeight="1" thickBot="1" x14ac:dyDescent="0.4">
      <c r="W652" s="872" t="str">
        <f t="shared" ref="W652:W663" si="22">IF(C75="","",C75)</f>
        <v>COST ALLOCATION</v>
      </c>
      <c r="X652" s="873"/>
      <c r="Y652" s="873"/>
      <c r="Z652" s="873"/>
      <c r="AA652" s="873"/>
      <c r="AB652" s="873"/>
      <c r="AC652" s="874"/>
    </row>
    <row r="653" spans="23:29" ht="15" customHeight="1" thickBot="1" x14ac:dyDescent="0.4">
      <c r="W653" s="801" t="str">
        <f t="shared" si="22"/>
        <v>MATERIAL / LABOR</v>
      </c>
      <c r="X653" s="802"/>
      <c r="Y653" s="802"/>
      <c r="Z653" s="802"/>
      <c r="AA653" s="802"/>
      <c r="AB653" s="802"/>
      <c r="AC653" s="803"/>
    </row>
    <row r="654" spans="23:29" ht="15" customHeight="1" x14ac:dyDescent="0.35">
      <c r="W654" s="304" t="str">
        <f t="shared" si="22"/>
        <v>1-100 MATERIALS</v>
      </c>
      <c r="X654" s="815">
        <f t="shared" ref="X654:X663" ca="1" si="23">IF(D77="","",D77)</f>
        <v>0</v>
      </c>
      <c r="Y654" s="816" t="str">
        <f t="shared" ref="Y654:Y663" si="24">IF(E77="","",E77)</f>
        <v/>
      </c>
      <c r="Z654" s="808" t="str">
        <f t="shared" ref="Z654:Z663" si="25">IF(F77="","",F77)</f>
        <v>7-750 PER DIEM (TRAVEL DAYS)</v>
      </c>
      <c r="AA654" s="809" t="str">
        <f t="shared" ref="AA654:AA663" si="26">IF(G77="","",G77)</f>
        <v/>
      </c>
      <c r="AB654" s="810">
        <f t="shared" ref="AB654:AB663" ca="1" si="27">IF(H77="","",H77)</f>
        <v>0</v>
      </c>
      <c r="AC654" s="811" t="str">
        <f t="shared" ref="AC654:AC663" si="28">IF(I77="","",I77)</f>
        <v/>
      </c>
    </row>
    <row r="655" spans="23:29" ht="15" customHeight="1" x14ac:dyDescent="0.35">
      <c r="W655" s="304" t="str">
        <f t="shared" si="22"/>
        <v>2-100 LABOR</v>
      </c>
      <c r="X655" s="789">
        <f t="shared" ca="1" si="23"/>
        <v>0</v>
      </c>
      <c r="Y655" s="790" t="str">
        <f t="shared" si="24"/>
        <v/>
      </c>
      <c r="Z655" s="791" t="str">
        <f t="shared" si="25"/>
        <v>7-760 PER DIEM (WORK DAYS)</v>
      </c>
      <c r="AA655" s="792" t="str">
        <f t="shared" si="26"/>
        <v/>
      </c>
      <c r="AB655" s="795">
        <f t="shared" ca="1" si="27"/>
        <v>0</v>
      </c>
      <c r="AC655" s="796" t="str">
        <f t="shared" si="28"/>
        <v/>
      </c>
    </row>
    <row r="656" spans="23:29" ht="15" customHeight="1" x14ac:dyDescent="0.35">
      <c r="W656" s="304" t="str">
        <f t="shared" si="22"/>
        <v>4-100 SUBCONTRACTOR</v>
      </c>
      <c r="X656" s="789">
        <f t="shared" ca="1" si="23"/>
        <v>0</v>
      </c>
      <c r="Y656" s="790" t="str">
        <f t="shared" si="24"/>
        <v/>
      </c>
      <c r="Z656" s="791" t="str">
        <f t="shared" si="25"/>
        <v>7-770 TRAVEL PAY</v>
      </c>
      <c r="AA656" s="792" t="str">
        <f t="shared" si="26"/>
        <v/>
      </c>
      <c r="AB656" s="795">
        <f t="shared" ca="1" si="27"/>
        <v>0</v>
      </c>
      <c r="AC656" s="796" t="str">
        <f t="shared" si="28"/>
        <v/>
      </c>
    </row>
    <row r="657" spans="19:29" ht="15" customHeight="1" x14ac:dyDescent="0.35">
      <c r="W657" s="304" t="str">
        <f t="shared" si="22"/>
        <v>7-100 AIRLINE EXPENSES</v>
      </c>
      <c r="X657" s="789">
        <f t="shared" ca="1" si="23"/>
        <v>0</v>
      </c>
      <c r="Y657" s="790" t="str">
        <f t="shared" si="24"/>
        <v/>
      </c>
      <c r="Z657" s="791" t="str">
        <f t="shared" si="25"/>
        <v>5-000 OTHER COSTS</v>
      </c>
      <c r="AA657" s="792" t="str">
        <f t="shared" si="26"/>
        <v/>
      </c>
      <c r="AB657" s="843" t="str">
        <f t="shared" si="27"/>
        <v/>
      </c>
      <c r="AC657" s="844" t="str">
        <f t="shared" si="28"/>
        <v/>
      </c>
    </row>
    <row r="658" spans="19:29" ht="15" customHeight="1" x14ac:dyDescent="0.35">
      <c r="W658" s="304" t="str">
        <f t="shared" si="22"/>
        <v>7-200 HOTEL EXPENSES</v>
      </c>
      <c r="X658" s="789">
        <f t="shared" ca="1" si="23"/>
        <v>0</v>
      </c>
      <c r="Y658" s="790" t="str">
        <f t="shared" si="24"/>
        <v/>
      </c>
      <c r="Z658" s="791" t="str">
        <f t="shared" si="25"/>
        <v>5-100 FREIGHT</v>
      </c>
      <c r="AA658" s="792" t="str">
        <f t="shared" si="26"/>
        <v/>
      </c>
      <c r="AB658" s="843" t="str">
        <f t="shared" si="27"/>
        <v/>
      </c>
      <c r="AC658" s="844" t="str">
        <f t="shared" si="28"/>
        <v/>
      </c>
    </row>
    <row r="659" spans="19:29" ht="15" customHeight="1" x14ac:dyDescent="0.35">
      <c r="W659" s="304" t="str">
        <f t="shared" si="22"/>
        <v>7-300 AUTO RENTAL</v>
      </c>
      <c r="X659" s="789">
        <f t="shared" ca="1" si="23"/>
        <v>0</v>
      </c>
      <c r="Y659" s="790" t="str">
        <f t="shared" si="24"/>
        <v/>
      </c>
      <c r="Z659" s="791" t="str">
        <f t="shared" si="25"/>
        <v>5-100 RETURN FREIGHT</v>
      </c>
      <c r="AA659" s="792" t="str">
        <f t="shared" si="26"/>
        <v/>
      </c>
      <c r="AB659" s="843" t="str">
        <f t="shared" si="27"/>
        <v/>
      </c>
      <c r="AC659" s="844" t="str">
        <f t="shared" si="28"/>
        <v/>
      </c>
    </row>
    <row r="660" spans="19:29" ht="15" customHeight="1" x14ac:dyDescent="0.35">
      <c r="W660" s="304" t="str">
        <f t="shared" si="22"/>
        <v>7-400 MILEAGE/FUEL EXPENSE</v>
      </c>
      <c r="X660" s="789">
        <f t="shared" ca="1" si="23"/>
        <v>0</v>
      </c>
      <c r="Y660" s="790" t="str">
        <f t="shared" si="24"/>
        <v/>
      </c>
      <c r="Z660" s="791" t="str">
        <f t="shared" si="25"/>
        <v>5-300 RENTALS</v>
      </c>
      <c r="AA660" s="792" t="str">
        <f t="shared" si="26"/>
        <v/>
      </c>
      <c r="AB660" s="795">
        <f t="shared" si="27"/>
        <v>0</v>
      </c>
      <c r="AC660" s="796" t="str">
        <f t="shared" si="28"/>
        <v/>
      </c>
    </row>
    <row r="661" spans="19:29" ht="15" customHeight="1" x14ac:dyDescent="0.35">
      <c r="W661" s="304" t="str">
        <f t="shared" si="22"/>
        <v>7-600 PARKING / TOLLS</v>
      </c>
      <c r="X661" s="789">
        <f t="shared" ca="1" si="23"/>
        <v>0</v>
      </c>
      <c r="Y661" s="790" t="str">
        <f t="shared" si="24"/>
        <v/>
      </c>
      <c r="Z661" s="791" t="str">
        <f t="shared" si="25"/>
        <v>5-400 TOOLS &amp; SMALL EQUIPMENT</v>
      </c>
      <c r="AA661" s="792" t="str">
        <f t="shared" si="26"/>
        <v/>
      </c>
      <c r="AB661" s="843" t="str">
        <f t="shared" si="27"/>
        <v/>
      </c>
      <c r="AC661" s="844" t="str">
        <f t="shared" si="28"/>
        <v/>
      </c>
    </row>
    <row r="662" spans="19:29" ht="15" customHeight="1" x14ac:dyDescent="0.35">
      <c r="W662" s="304" t="str">
        <f t="shared" si="22"/>
        <v>5-500 CONSUMABLES SUPPLIES-BOX STORE</v>
      </c>
      <c r="X662" s="843" t="str">
        <f t="shared" si="23"/>
        <v/>
      </c>
      <c r="Y662" s="844" t="str">
        <f t="shared" si="24"/>
        <v/>
      </c>
      <c r="Z662" s="791" t="str">
        <f t="shared" si="25"/>
        <v>5-600 IN-HOUSE EQUIPMENT COST</v>
      </c>
      <c r="AA662" s="792" t="str">
        <f t="shared" si="26"/>
        <v/>
      </c>
      <c r="AB662" s="843" t="str">
        <f t="shared" si="27"/>
        <v/>
      </c>
      <c r="AC662" s="844" t="str">
        <f t="shared" si="28"/>
        <v/>
      </c>
    </row>
    <row r="663" spans="19:29" ht="15" customHeight="1" thickBot="1" x14ac:dyDescent="0.4">
      <c r="W663" s="306" t="str">
        <f t="shared" si="22"/>
        <v>5-550 PO CONSUMABLES SUPPLIES</v>
      </c>
      <c r="X663" s="845" t="str">
        <f t="shared" si="23"/>
        <v/>
      </c>
      <c r="Y663" s="846" t="str">
        <f t="shared" si="24"/>
        <v/>
      </c>
      <c r="Z663" s="799" t="str">
        <f t="shared" si="25"/>
        <v>5-900 MISC. EXPENSES</v>
      </c>
      <c r="AA663" s="800" t="str">
        <f t="shared" si="26"/>
        <v/>
      </c>
      <c r="AB663" s="828">
        <f t="shared" si="27"/>
        <v>0</v>
      </c>
      <c r="AC663" s="829" t="str">
        <f t="shared" si="28"/>
        <v/>
      </c>
    </row>
    <row r="664" spans="19:29" ht="15" customHeight="1" thickBot="1" x14ac:dyDescent="0.4">
      <c r="W664" s="254"/>
      <c r="X664" s="256"/>
      <c r="Y664" s="256"/>
      <c r="Z664" s="256"/>
      <c r="AA664" s="256"/>
      <c r="AB664" s="256"/>
      <c r="AC664" s="256"/>
    </row>
    <row r="665" spans="19:29" ht="15" customHeight="1" thickBot="1" x14ac:dyDescent="0.4">
      <c r="W665" s="801" t="str">
        <f>IF(C89="","",C89)</f>
        <v>PM COSTS</v>
      </c>
      <c r="X665" s="802"/>
      <c r="Y665" s="802"/>
      <c r="Z665" s="802"/>
      <c r="AA665" s="802"/>
      <c r="AB665" s="802"/>
      <c r="AC665" s="803"/>
    </row>
    <row r="666" spans="19:29" ht="15" customHeight="1" x14ac:dyDescent="0.35">
      <c r="W666" s="302" t="str">
        <f>IF(C90="","",C90)</f>
        <v>7-910 PM AIRLINE EXPENSES</v>
      </c>
      <c r="X666" s="847" t="str">
        <f t="shared" ref="X666:AC668" si="29">IF(D90="","",D90)</f>
        <v/>
      </c>
      <c r="Y666" s="848" t="str">
        <f t="shared" si="29"/>
        <v/>
      </c>
      <c r="Z666" s="808" t="str">
        <f t="shared" si="29"/>
        <v>7-940 PM MILEAGE/FUEL EXPENSE</v>
      </c>
      <c r="AA666" s="809" t="str">
        <f t="shared" si="29"/>
        <v/>
      </c>
      <c r="AB666" s="847" t="str">
        <f t="shared" si="29"/>
        <v/>
      </c>
      <c r="AC666" s="848" t="str">
        <f t="shared" si="29"/>
        <v/>
      </c>
    </row>
    <row r="667" spans="19:29" ht="15" customHeight="1" x14ac:dyDescent="0.35">
      <c r="W667" s="304" t="str">
        <f>IF(C91="","",C91)</f>
        <v>7-920 PM HOTEL EXPENSES</v>
      </c>
      <c r="X667" s="843" t="str">
        <f t="shared" si="29"/>
        <v/>
      </c>
      <c r="Y667" s="844" t="str">
        <f t="shared" si="29"/>
        <v/>
      </c>
      <c r="Z667" s="791" t="str">
        <f t="shared" si="29"/>
        <v>7-950 PM MEALS</v>
      </c>
      <c r="AA667" s="792" t="str">
        <f t="shared" si="29"/>
        <v/>
      </c>
      <c r="AB667" s="843" t="str">
        <f t="shared" si="29"/>
        <v/>
      </c>
      <c r="AC667" s="844" t="str">
        <f t="shared" si="29"/>
        <v/>
      </c>
    </row>
    <row r="668" spans="19:29" ht="15" customHeight="1" thickBot="1" x14ac:dyDescent="0.4">
      <c r="T668" t="str">
        <f>IF(Q83="","",Q83)</f>
        <v/>
      </c>
      <c r="W668" s="306" t="str">
        <f>IF(C92="","",C92)</f>
        <v>7-930 PM AUTO RENTAL</v>
      </c>
      <c r="X668" s="845" t="str">
        <f t="shared" si="29"/>
        <v/>
      </c>
      <c r="Y668" s="846" t="str">
        <f t="shared" si="29"/>
        <v/>
      </c>
      <c r="Z668" s="799" t="str">
        <f t="shared" si="29"/>
        <v>7-960 PM PARKING / TOLLS</v>
      </c>
      <c r="AA668" s="800" t="str">
        <f t="shared" si="29"/>
        <v/>
      </c>
      <c r="AB668" s="845" t="str">
        <f t="shared" si="29"/>
        <v/>
      </c>
      <c r="AC668" s="846" t="str">
        <f t="shared" si="29"/>
        <v/>
      </c>
    </row>
    <row r="669" spans="19:29" ht="7.5" customHeight="1" thickBot="1" x14ac:dyDescent="0.4">
      <c r="S669" t="str">
        <f>IF(P83="","",P83)</f>
        <v/>
      </c>
    </row>
    <row r="670" spans="19:29" ht="15" customHeight="1" thickBot="1" x14ac:dyDescent="0.4">
      <c r="W670" s="872" t="str">
        <f t="shared" ref="W670:W676" si="30">IF(M75="","",M75)</f>
        <v>SUMMARY</v>
      </c>
      <c r="X670" s="873" t="str">
        <f t="shared" ref="X670:AC670" si="31">IF(U84="","",U84)</f>
        <v/>
      </c>
      <c r="Y670" s="873" t="str">
        <f t="shared" si="31"/>
        <v/>
      </c>
      <c r="Z670" s="873" t="str">
        <f t="shared" si="31"/>
        <v/>
      </c>
      <c r="AA670" s="873" t="str">
        <f t="shared" si="31"/>
        <v/>
      </c>
      <c r="AB670" s="873" t="str">
        <f t="shared" si="31"/>
        <v/>
      </c>
      <c r="AC670" s="874" t="str">
        <f t="shared" si="31"/>
        <v/>
      </c>
    </row>
    <row r="671" spans="19:29" ht="15" customHeight="1" thickBot="1" x14ac:dyDescent="0.4">
      <c r="W671" s="801" t="str">
        <f t="shared" si="30"/>
        <v xml:space="preserve">TAX AND TOTAL </v>
      </c>
      <c r="X671" s="802"/>
      <c r="Y671" s="802"/>
      <c r="Z671" s="802" t="str">
        <f>IF(P76="","",P76)</f>
        <v>MARK UP</v>
      </c>
      <c r="AA671" s="802"/>
      <c r="AB671" s="802"/>
      <c r="AC671" s="803"/>
    </row>
    <row r="672" spans="19:29" ht="15" customHeight="1" x14ac:dyDescent="0.35">
      <c r="W672" s="303" t="str">
        <f t="shared" si="30"/>
        <v>SUBTOTAL</v>
      </c>
      <c r="X672" s="815">
        <f t="shared" ref="X672:AC676" ca="1" si="32">IF(N77="","",N77)</f>
        <v>0</v>
      </c>
      <c r="Y672" s="816" t="str">
        <f t="shared" si="32"/>
        <v/>
      </c>
      <c r="Z672" s="890" t="str">
        <f t="shared" si="32"/>
        <v>TAX - M|R|F</v>
      </c>
      <c r="AA672" s="891">
        <f t="shared" si="32"/>
        <v>0.1</v>
      </c>
      <c r="AB672" s="892">
        <f t="shared" si="32"/>
        <v>0.1</v>
      </c>
      <c r="AC672" s="893">
        <f t="shared" si="32"/>
        <v>0.1</v>
      </c>
    </row>
    <row r="673" spans="13:29" ht="15" customHeight="1" x14ac:dyDescent="0.35">
      <c r="W673" s="303" t="str">
        <f t="shared" si="30"/>
        <v>TAX ON MATERIALS</v>
      </c>
      <c r="X673" s="789">
        <f t="shared" ca="1" si="32"/>
        <v>0</v>
      </c>
      <c r="Y673" s="790" t="str">
        <f t="shared" si="32"/>
        <v/>
      </c>
      <c r="Z673" s="826" t="str">
        <f t="shared" si="32"/>
        <v>MARK UP %</v>
      </c>
      <c r="AA673" s="827" t="str">
        <f t="shared" si="32"/>
        <v/>
      </c>
      <c r="AB673" s="821">
        <f t="shared" ca="1" si="32"/>
        <v>0</v>
      </c>
      <c r="AC673" s="822" t="str">
        <f t="shared" si="32"/>
        <v/>
      </c>
    </row>
    <row r="674" spans="13:29" ht="15" customHeight="1" x14ac:dyDescent="0.35">
      <c r="W674" s="303" t="str">
        <f t="shared" si="30"/>
        <v>TAX ON RENTALS</v>
      </c>
      <c r="X674" s="789">
        <f t="shared" si="32"/>
        <v>0</v>
      </c>
      <c r="Y674" s="790" t="str">
        <f t="shared" si="32"/>
        <v/>
      </c>
      <c r="Z674" s="826" t="str">
        <f t="shared" si="32"/>
        <v>GROSS PROFIT %</v>
      </c>
      <c r="AA674" s="827" t="str">
        <f t="shared" si="32"/>
        <v/>
      </c>
      <c r="AB674" s="821">
        <f t="shared" ca="1" si="32"/>
        <v>0</v>
      </c>
      <c r="AC674" s="822" t="str">
        <f t="shared" si="32"/>
        <v/>
      </c>
    </row>
    <row r="675" spans="13:29" ht="15" customHeight="1" x14ac:dyDescent="0.35">
      <c r="W675" s="303" t="str">
        <f t="shared" si="30"/>
        <v>TAX ON FREIGHT</v>
      </c>
      <c r="X675" s="789">
        <f t="shared" si="32"/>
        <v>0</v>
      </c>
      <c r="Y675" s="790" t="str">
        <f t="shared" si="32"/>
        <v/>
      </c>
      <c r="Z675" s="826" t="str">
        <f t="shared" si="32"/>
        <v>MARK UP $</v>
      </c>
      <c r="AA675" s="827" t="str">
        <f t="shared" si="32"/>
        <v/>
      </c>
      <c r="AB675" s="795">
        <f t="shared" ca="1" si="32"/>
        <v>0</v>
      </c>
      <c r="AC675" s="796" t="str">
        <f t="shared" si="32"/>
        <v/>
      </c>
    </row>
    <row r="676" spans="13:29" ht="15" customHeight="1" thickBot="1" x14ac:dyDescent="0.4">
      <c r="W676" s="303" t="str">
        <f t="shared" si="30"/>
        <v>WARRANTY MARKUP ( 0.7% )</v>
      </c>
      <c r="X676" s="828">
        <f t="shared" si="32"/>
        <v>0</v>
      </c>
      <c r="Y676" s="829" t="str">
        <f t="shared" si="32"/>
        <v/>
      </c>
      <c r="Z676" s="839" t="str">
        <f t="shared" si="32"/>
        <v/>
      </c>
      <c r="AA676" s="840" t="str">
        <f t="shared" si="32"/>
        <v/>
      </c>
      <c r="AB676" s="868" t="str">
        <f t="shared" si="32"/>
        <v/>
      </c>
      <c r="AC676" s="869" t="str">
        <f t="shared" si="32"/>
        <v/>
      </c>
    </row>
    <row r="677" spans="13:29" ht="15" customHeight="1" thickBot="1" x14ac:dyDescent="0.4">
      <c r="W677" s="833" t="str">
        <f ca="1">IF(M83="","",M83)</f>
        <v>CUSTOMER BID AMOUNT ($0.00 Recommended)</v>
      </c>
      <c r="X677" s="834"/>
      <c r="Y677" s="834"/>
      <c r="Z677" s="835"/>
      <c r="AA677" s="859" t="str">
        <f>IF(Q83="","",Q83)</f>
        <v/>
      </c>
      <c r="AB677" s="860"/>
      <c r="AC677" s="861"/>
    </row>
    <row r="678" spans="13:29" ht="7.5" customHeight="1" thickBot="1" x14ac:dyDescent="0.4">
      <c r="W678" s="254"/>
      <c r="X678" s="256"/>
      <c r="Y678" s="256"/>
      <c r="Z678" s="256"/>
      <c r="AA678" s="256"/>
      <c r="AB678" s="256"/>
      <c r="AC678" s="256"/>
    </row>
    <row r="679" spans="13:29" ht="15" customHeight="1" thickBot="1" x14ac:dyDescent="0.4">
      <c r="M679" t="e">
        <f>IF(#REF!="","",#REF!)</f>
        <v>#REF!</v>
      </c>
      <c r="W679" s="823" t="str">
        <f>IF(M85="","",M85)</f>
        <v>NOTES</v>
      </c>
      <c r="X679" s="824"/>
      <c r="Y679" s="824"/>
      <c r="Z679" s="824"/>
      <c r="AA679" s="824"/>
      <c r="AB679" s="824"/>
      <c r="AC679" s="825"/>
    </row>
    <row r="680" spans="13:29" ht="15" customHeight="1" x14ac:dyDescent="0.35">
      <c r="M680" t="str">
        <f>IF(M92="","",M92)</f>
        <v/>
      </c>
      <c r="W680" s="862" t="str">
        <f>IF(M86="","",M86)</f>
        <v/>
      </c>
      <c r="X680" s="863"/>
      <c r="Y680" s="863"/>
      <c r="Z680" s="863"/>
      <c r="AA680" s="863"/>
      <c r="AB680" s="863"/>
      <c r="AC680" s="864"/>
    </row>
    <row r="681" spans="13:29" ht="15" customHeight="1" x14ac:dyDescent="0.35">
      <c r="M681" t="str">
        <f t="shared" ref="M681:M688" si="33">IF(M94="","",M94)</f>
        <v/>
      </c>
      <c r="W681" s="862"/>
      <c r="X681" s="863"/>
      <c r="Y681" s="863"/>
      <c r="Z681" s="863"/>
      <c r="AA681" s="863"/>
      <c r="AB681" s="863"/>
      <c r="AC681" s="864"/>
    </row>
    <row r="682" spans="13:29" ht="15" customHeight="1" x14ac:dyDescent="0.35">
      <c r="M682" t="str">
        <f t="shared" si="33"/>
        <v/>
      </c>
      <c r="W682" s="862"/>
      <c r="X682" s="863"/>
      <c r="Y682" s="863"/>
      <c r="Z682" s="863"/>
      <c r="AA682" s="863"/>
      <c r="AB682" s="863"/>
      <c r="AC682" s="864"/>
    </row>
    <row r="683" spans="13:29" ht="7.5" customHeight="1" x14ac:dyDescent="0.35">
      <c r="M683" t="str">
        <f t="shared" si="33"/>
        <v/>
      </c>
      <c r="W683" s="862"/>
      <c r="X683" s="863"/>
      <c r="Y683" s="863"/>
      <c r="Z683" s="863"/>
      <c r="AA683" s="863"/>
      <c r="AB683" s="863"/>
      <c r="AC683" s="864"/>
    </row>
    <row r="684" spans="13:29" ht="15" customHeight="1" x14ac:dyDescent="0.35">
      <c r="M684" t="str">
        <f t="shared" si="33"/>
        <v/>
      </c>
      <c r="W684" s="862"/>
      <c r="X684" s="863"/>
      <c r="Y684" s="863"/>
      <c r="Z684" s="863"/>
      <c r="AA684" s="863"/>
      <c r="AB684" s="863"/>
      <c r="AC684" s="864"/>
    </row>
    <row r="685" spans="13:29" ht="15" customHeight="1" x14ac:dyDescent="0.35">
      <c r="M685" t="str">
        <f t="shared" si="33"/>
        <v/>
      </c>
      <c r="W685" s="862"/>
      <c r="X685" s="863"/>
      <c r="Y685" s="863"/>
      <c r="Z685" s="863"/>
      <c r="AA685" s="863"/>
      <c r="AB685" s="863"/>
      <c r="AC685" s="864"/>
    </row>
    <row r="686" spans="13:29" ht="15" hidden="1" customHeight="1" x14ac:dyDescent="0.35">
      <c r="M686" t="str">
        <f t="shared" si="33"/>
        <v/>
      </c>
      <c r="W686" s="862"/>
      <c r="X686" s="863"/>
      <c r="Y686" s="863"/>
      <c r="Z686" s="863"/>
      <c r="AA686" s="863"/>
      <c r="AB686" s="863"/>
      <c r="AC686" s="864"/>
    </row>
    <row r="687" spans="13:29" ht="15" customHeight="1" thickBot="1" x14ac:dyDescent="0.4">
      <c r="M687" t="str">
        <f t="shared" si="33"/>
        <v/>
      </c>
      <c r="W687" s="865"/>
      <c r="X687" s="866"/>
      <c r="Y687" s="866"/>
      <c r="Z687" s="866"/>
      <c r="AA687" s="866"/>
      <c r="AB687" s="866"/>
      <c r="AC687" s="867"/>
    </row>
    <row r="688" spans="13:29" ht="15" customHeight="1" x14ac:dyDescent="0.35">
      <c r="M688" t="str">
        <f t="shared" si="33"/>
        <v/>
      </c>
    </row>
  </sheetData>
  <sheetProtection sheet="1" selectLockedCells="1"/>
  <mergeCells count="163">
    <mergeCell ref="C1:S1"/>
    <mergeCell ref="W679:AC679"/>
    <mergeCell ref="W680:AC687"/>
    <mergeCell ref="W631:Y631"/>
    <mergeCell ref="W632:Y632"/>
    <mergeCell ref="W633:Y633"/>
    <mergeCell ref="W634:Y634"/>
    <mergeCell ref="W635:Y635"/>
    <mergeCell ref="W636:Y636"/>
    <mergeCell ref="W637:Y637"/>
    <mergeCell ref="W638:Y638"/>
    <mergeCell ref="W639:Y639"/>
    <mergeCell ref="W640:Y640"/>
    <mergeCell ref="W641:Y641"/>
    <mergeCell ref="W642:Y642"/>
    <mergeCell ref="W643:Y643"/>
    <mergeCell ref="X676:Y676"/>
    <mergeCell ref="Z676:AA676"/>
    <mergeCell ref="AB676:AC676"/>
    <mergeCell ref="W677:Z677"/>
    <mergeCell ref="AA677:AC677"/>
    <mergeCell ref="X674:Y674"/>
    <mergeCell ref="Z674:AA674"/>
    <mergeCell ref="AB674:AC674"/>
    <mergeCell ref="X675:Y675"/>
    <mergeCell ref="Z675:AA675"/>
    <mergeCell ref="AB675:AC675"/>
    <mergeCell ref="X672:Y672"/>
    <mergeCell ref="Z672:AA672"/>
    <mergeCell ref="AB672:AC672"/>
    <mergeCell ref="X673:Y673"/>
    <mergeCell ref="Z673:AA673"/>
    <mergeCell ref="AB673:AC673"/>
    <mergeCell ref="X668:Y668"/>
    <mergeCell ref="Z668:AA668"/>
    <mergeCell ref="AB668:AC668"/>
    <mergeCell ref="W670:AC670"/>
    <mergeCell ref="W671:Y671"/>
    <mergeCell ref="Z671:AC671"/>
    <mergeCell ref="W665:AC665"/>
    <mergeCell ref="X666:Y666"/>
    <mergeCell ref="Z666:AA666"/>
    <mergeCell ref="AB666:AC666"/>
    <mergeCell ref="X667:Y667"/>
    <mergeCell ref="Z667:AA667"/>
    <mergeCell ref="AB667:AC667"/>
    <mergeCell ref="X662:Y662"/>
    <mergeCell ref="Z662:AA662"/>
    <mergeCell ref="AB662:AC662"/>
    <mergeCell ref="X663:Y663"/>
    <mergeCell ref="Z663:AA663"/>
    <mergeCell ref="AB663:AC663"/>
    <mergeCell ref="X660:Y660"/>
    <mergeCell ref="Z660:AA660"/>
    <mergeCell ref="AB660:AC660"/>
    <mergeCell ref="X661:Y661"/>
    <mergeCell ref="Z661:AA661"/>
    <mergeCell ref="AB661:AC661"/>
    <mergeCell ref="X658:Y658"/>
    <mergeCell ref="Z658:AA658"/>
    <mergeCell ref="AB658:AC658"/>
    <mergeCell ref="X659:Y659"/>
    <mergeCell ref="Z659:AA659"/>
    <mergeCell ref="AB659:AC659"/>
    <mergeCell ref="X656:Y656"/>
    <mergeCell ref="Z656:AA656"/>
    <mergeCell ref="AB656:AC656"/>
    <mergeCell ref="X657:Y657"/>
    <mergeCell ref="Z657:AA657"/>
    <mergeCell ref="AB657:AC657"/>
    <mergeCell ref="X655:Y655"/>
    <mergeCell ref="Z655:AA655"/>
    <mergeCell ref="AB655:AC655"/>
    <mergeCell ref="W652:AC652"/>
    <mergeCell ref="W653:AC653"/>
    <mergeCell ref="W644:Y644"/>
    <mergeCell ref="W645:Y645"/>
    <mergeCell ref="W646:Y646"/>
    <mergeCell ref="W647:Y647"/>
    <mergeCell ref="W648:Y648"/>
    <mergeCell ref="W649:Y649"/>
    <mergeCell ref="X654:Y654"/>
    <mergeCell ref="Z654:AA654"/>
    <mergeCell ref="W608:AC608"/>
    <mergeCell ref="W630:AC630"/>
    <mergeCell ref="H84:I84"/>
    <mergeCell ref="N82:O82"/>
    <mergeCell ref="P82:Q82"/>
    <mergeCell ref="R82:S82"/>
    <mergeCell ref="M86:S92"/>
    <mergeCell ref="AB654:AC654"/>
    <mergeCell ref="H82:I82"/>
    <mergeCell ref="D85:E85"/>
    <mergeCell ref="F85:G85"/>
    <mergeCell ref="H85:I85"/>
    <mergeCell ref="D86:E86"/>
    <mergeCell ref="F84:G84"/>
    <mergeCell ref="H90:I90"/>
    <mergeCell ref="R78:S78"/>
    <mergeCell ref="P79:Q79"/>
    <mergeCell ref="R79:S79"/>
    <mergeCell ref="N80:O80"/>
    <mergeCell ref="P80:Q80"/>
    <mergeCell ref="R80:S80"/>
    <mergeCell ref="H86:I86"/>
    <mergeCell ref="D92:E92"/>
    <mergeCell ref="F92:G92"/>
    <mergeCell ref="H92:I92"/>
    <mergeCell ref="N81:O81"/>
    <mergeCell ref="P81:Q81"/>
    <mergeCell ref="R81:S81"/>
    <mergeCell ref="M83:P83"/>
    <mergeCell ref="Q83:S83"/>
    <mergeCell ref="M85:S85"/>
    <mergeCell ref="D83:E83"/>
    <mergeCell ref="F83:G83"/>
    <mergeCell ref="H83:I83"/>
    <mergeCell ref="C89:I89"/>
    <mergeCell ref="D90:E90"/>
    <mergeCell ref="F90:G90"/>
    <mergeCell ref="D87:E87"/>
    <mergeCell ref="F87:G87"/>
    <mergeCell ref="H87:I87"/>
    <mergeCell ref="D91:E91"/>
    <mergeCell ref="F91:G91"/>
    <mergeCell ref="H91:I91"/>
    <mergeCell ref="D84:E84"/>
    <mergeCell ref="D82:E82"/>
    <mergeCell ref="F82:G82"/>
    <mergeCell ref="M75:S75"/>
    <mergeCell ref="M76:O76"/>
    <mergeCell ref="P76:S76"/>
    <mergeCell ref="D81:E81"/>
    <mergeCell ref="F81:G81"/>
    <mergeCell ref="H81:I81"/>
    <mergeCell ref="D79:E79"/>
    <mergeCell ref="F79:G79"/>
    <mergeCell ref="H79:I79"/>
    <mergeCell ref="D80:E80"/>
    <mergeCell ref="F80:G80"/>
    <mergeCell ref="H80:I80"/>
    <mergeCell ref="F77:G77"/>
    <mergeCell ref="H77:I77"/>
    <mergeCell ref="D78:E78"/>
    <mergeCell ref="F78:G78"/>
    <mergeCell ref="H78:I78"/>
    <mergeCell ref="C75:I75"/>
    <mergeCell ref="C76:I76"/>
    <mergeCell ref="D77:E77"/>
    <mergeCell ref="N79:O79"/>
    <mergeCell ref="P78:Q78"/>
    <mergeCell ref="N77:O77"/>
    <mergeCell ref="N78:O78"/>
    <mergeCell ref="C4:I4"/>
    <mergeCell ref="C21:I21"/>
    <mergeCell ref="C36:I36"/>
    <mergeCell ref="C53:I53"/>
    <mergeCell ref="C2:S2"/>
    <mergeCell ref="C3:S3"/>
    <mergeCell ref="M4:S4"/>
    <mergeCell ref="M21:S21"/>
    <mergeCell ref="M36:S36"/>
    <mergeCell ref="M53:S53"/>
  </mergeCells>
  <phoneticPr fontId="29" type="noConversion"/>
  <conditionalFormatting sqref="I55:I72 S55:S72">
    <cfRule type="expression" dxfId="24" priority="7">
      <formula>NOT(_xlfn.ISFORMULA(INDIRECT("rc",FALSE)))</formula>
    </cfRule>
  </conditionalFormatting>
  <conditionalFormatting sqref="P78 R78">
    <cfRule type="expression" dxfId="23" priority="1">
      <formula>$I$91&lt;=0.4</formula>
    </cfRule>
  </conditionalFormatting>
  <conditionalFormatting sqref="Z673 AB673">
    <cfRule type="expression" dxfId="22" priority="2">
      <formula>$I$87&lt;=0.4</formula>
    </cfRule>
  </conditionalFormatting>
  <printOptions horizontalCentered="1"/>
  <pageMargins left="0.2" right="0.2" top="0.2" bottom="0.2" header="0.05" footer="0.05"/>
  <pageSetup scale="66" orientation="portrait" errors="blank" r:id="rId1"/>
  <rowBreaks count="2" manualBreakCount="2">
    <brk id="52" min="1" max="18" man="1"/>
    <brk id="52" min="11" max="18" man="1"/>
  </rowBreaks>
  <legacyDrawing r:id="rId2"/>
  <tableParts count="8">
    <tablePart r:id="rId3"/>
    <tablePart r:id="rId4"/>
    <tablePart r:id="rId5"/>
    <tablePart r:id="rId6"/>
    <tablePart r:id="rId7"/>
    <tablePart r:id="rId8"/>
    <tablePart r:id="rId9"/>
    <tablePart r:id="rId10"/>
  </tableParts>
  <extLst>
    <ext xmlns:x14="http://schemas.microsoft.com/office/spreadsheetml/2009/9/main" uri="{CCE6A557-97BC-4b89-ADB6-D9C93CAAB3DF}">
      <x14:dataValidations xmlns:xm="http://schemas.microsoft.com/office/excel/2006/main" count="19">
        <x14:dataValidation type="list" allowBlank="1" showInputMessage="1" showErrorMessage="1" xr:uid="{921FE8EF-F1A9-4003-A5A9-363F226B3DF1}">
          <x14:formula1>
            <xm:f>P!$G$14:$G$27</xm:f>
          </x14:formula1>
          <xm:sqref>C23:C33</xm:sqref>
        </x14:dataValidation>
        <x14:dataValidation type="list" allowBlank="1" showInputMessage="1" showErrorMessage="1" xr:uid="{A2288467-7420-4F36-BC53-6216243FE1BD}">
          <x14:formula1>
            <xm:f>P!$B$14:$B$27</xm:f>
          </x14:formula1>
          <xm:sqref>C38:C50</xm:sqref>
        </x14:dataValidation>
        <x14:dataValidation type="list" allowBlank="1" showInputMessage="1" showErrorMessage="1" xr:uid="{A9ED081F-327C-4D93-918B-9AB14A3D3E6D}">
          <x14:formula1>
            <xm:f>P!$D$14:$D$27</xm:f>
          </x14:formula1>
          <xm:sqref>M38:M50</xm:sqref>
        </x14:dataValidation>
        <x14:dataValidation type="list" allowBlank="1" showInputMessage="1" showErrorMessage="1" xr:uid="{1D5C4621-89BF-4AE1-9949-5982EE74A44E}">
          <x14:formula1>
            <xm:f>P!$F$14:$F$27</xm:f>
          </x14:formula1>
          <xm:sqref>M10:M18</xm:sqref>
        </x14:dataValidation>
        <x14:dataValidation type="list" allowBlank="1" showInputMessage="1" showErrorMessage="1" xr:uid="{3016D7EA-02F1-49FD-A883-1A9990775350}">
          <x14:formula1>
            <xm:f>_xlfn.SWITCH(M10,P!$F$14,P!$M$44:$M$45,P!$F$15,P!$M$46:$M$47,P!$F$16,P!$M$48,P!$F$17,P!$M$49,P!$F$18,P!$M$50,P!$F$19,P!$M$51,P!$F$20,P!$M$52,P!$F$21,P!$M$74,P!$F$22,P!$M$75,P!$F$23,P!$M$76,P!$F$24,P!$M$77)</xm:f>
          </x14:formula1>
          <xm:sqref>O10:O18</xm:sqref>
        </x14:dataValidation>
        <x14:dataValidation type="list" allowBlank="1" showInputMessage="1" showErrorMessage="1" xr:uid="{4C33AF61-36D3-419B-A6EE-4F94C0F16BF6}">
          <x14:formula1>
            <xm:f>_xlfn.SWITCH(C38,P!$B$14,P!$M$20:$M$21,P!$B$15,P!$B$31)</xm:f>
          </x14:formula1>
          <xm:sqref>E38:E50</xm:sqref>
        </x14:dataValidation>
        <x14:dataValidation type="list" allowBlank="1" showInputMessage="1" showErrorMessage="1" xr:uid="{1BE27E12-2F47-42D1-A55E-5B6E6825F043}">
          <x14:formula1>
            <xm:f>_xlfn.SWITCH(C6,P!$A$14,P!$M$14,P!$A$15,P!$M$15,P!$A$16,P!$M$16,P!$A$17,P!$M$17:$M$18,P!$A$18,P!$M$19,P!$A$19,P!$M$17:$M$18)</xm:f>
          </x14:formula1>
          <xm:sqref>E6:E18</xm:sqref>
        </x14:dataValidation>
        <x14:dataValidation type="list" allowBlank="1" showInputMessage="1" showErrorMessage="1" xr:uid="{0161B65F-C77C-47AD-A48F-A552A3FA8E26}">
          <x14:formula1>
            <xm:f>P!$C$14:$C$27</xm:f>
          </x14:formula1>
          <xm:sqref>M23:M33</xm:sqref>
        </x14:dataValidation>
        <x14:dataValidation type="list" allowBlank="1" showInputMessage="1" showErrorMessage="1" xr:uid="{C966E52F-3E56-40C0-AC89-A1B109AACE40}">
          <x14:formula1>
            <xm:f>IF(M23="","",_xlfn.SWITCH(M23,P!$C$14,P!$L$22,P!$C$15,P!$L$23:$L$25,P!$C$16,P!$L$26:$L$27,P!$C$18,P!$E$28,P!$L$28))</xm:f>
          </x14:formula1>
          <xm:sqref>N23:N33</xm:sqref>
        </x14:dataValidation>
        <x14:dataValidation type="list" allowBlank="1" showInputMessage="1" showErrorMessage="1" xr:uid="{D745BA6E-90AA-4118-AACF-08239DACB786}">
          <x14:formula1>
            <xm:f>IF(M23="","",IF(M23=P!$C$14,P!$M$22,P!$M$23))</xm:f>
          </x14:formula1>
          <xm:sqref>O23:O33</xm:sqref>
        </x14:dataValidation>
        <x14:dataValidation type="list" allowBlank="1" showInputMessage="1" showErrorMessage="1" xr:uid="{50FFB346-8D28-434C-A11A-F0D0CCBF3377}">
          <x14:formula1>
            <xm:f>IF(C23="","",IF(C23=P!$G$16,P!$M$64,P!$M$53))</xm:f>
          </x14:formula1>
          <xm:sqref>E23:E33</xm:sqref>
        </x14:dataValidation>
        <x14:dataValidation type="list" allowBlank="1" showInputMessage="1" showErrorMessage="1" xr:uid="{2759BED4-C231-482E-A2DC-2470E5F4451D}">
          <x14:formula1>
            <xm:f>P!$E$14:$E$27</xm:f>
          </x14:formula1>
          <xm:sqref>M60:M62</xm:sqref>
        </x14:dataValidation>
        <x14:dataValidation type="list" allowBlank="1" showInputMessage="1" showErrorMessage="1" xr:uid="{97763EE9-9766-4614-ADCF-94997CAFFC48}">
          <x14:formula1>
            <xm:f>IF(M61=P!$E$15,P!$M$40,P!$E$31:$E$32)</xm:f>
          </x14:formula1>
          <xm:sqref>O61:O62</xm:sqref>
        </x14:dataValidation>
        <x14:dataValidation type="list" allowBlank="1" showInputMessage="1" showErrorMessage="1" xr:uid="{D931BD80-3652-4E1D-88D1-5929BF9FB52F}">
          <x14:formula1>
            <xm:f>P!$A$14:$A$27</xm:f>
          </x14:formula1>
          <xm:sqref>C6:C18</xm:sqref>
        </x14:dataValidation>
        <x14:dataValidation type="list" allowBlank="1" showInputMessage="1" showErrorMessage="1" xr:uid="{50B2B864-4599-4EB2-8EBD-C7D334B4276F}">
          <x14:formula1>
            <xm:f>IF(M60=P!$E$15,P!$M$38,P!$E$31:$E$32)</xm:f>
          </x14:formula1>
          <xm:sqref>O60</xm:sqref>
        </x14:dataValidation>
        <x14:dataValidation type="list" allowBlank="1" showInputMessage="1" showErrorMessage="1" xr:uid="{EE9E0DD4-1771-434A-9212-7FC4CFF09992}">
          <x14:formula1>
            <xm:f>_xlfn.SWITCH(C23,P!$G$14,P!$L$53:$L$54,P!$G$15,P!$L$55:$L$63,P!$G$16,P!$L$64:$L$68)</xm:f>
          </x14:formula1>
          <xm:sqref>D23:D33</xm:sqref>
        </x14:dataValidation>
        <x14:dataValidation type="list" allowBlank="1" showInputMessage="1" showErrorMessage="1" xr:uid="{B244AC3A-BFF3-4FA3-B539-05D6047544AE}">
          <x14:formula1>
            <xm:f>IF(M10="","",_xlfn.SWITCH($M10,P!$F$16,P!$F$29:$F$30,P!$F$18,P!$F$30,P!$F$19,P!$F$30,P!$E$28))</xm:f>
          </x14:formula1>
          <xm:sqref>N10:N18</xm:sqref>
        </x14:dataValidation>
        <x14:dataValidation type="list" allowBlank="1" showInputMessage="1" showErrorMessage="1" xr:uid="{A6ADF67C-6D62-46EC-8137-347DAB3C45C8}">
          <x14:formula1>
            <xm:f>_xlfn.SWITCH(     M60,     P!$E$14, P!$L$37,     P!$E$15, P!$L$88:$L$91,      P!$E$16, P!$L$80:$L$84,      P!$E$17, P!$BE$531 )</xm:f>
          </x14:formula1>
          <xm:sqref>N60:N62</xm:sqref>
        </x14:dataValidation>
        <x14:dataValidation type="list" allowBlank="1" showInputMessage="1" showErrorMessage="1" xr:uid="{17644D3E-1C65-454C-9C45-6274ADF9D954}">
          <x14:formula1>
            <xm:f>_xlfn.SWITCH(M38,P!$D$14,P!$M$44:$M$45,P!$D$15,P!$M$46:$M$47,P!$D$16,P!$M$33,P!$D$17,P!$M$34,P!$D$18,P!$M$85:$M$86,P!$D$19,P!$M$87)</xm:f>
          </x14:formula1>
          <xm:sqref>O38:O50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9087-43F9-4EAC-A6B3-222372551815}">
  <sheetPr codeName="Sheet10">
    <tabColor rgb="FF75DBFF"/>
    <pageSetUpPr fitToPage="1"/>
  </sheetPr>
  <dimension ref="B1:AL135"/>
  <sheetViews>
    <sheetView showGridLines="0" zoomScale="80" zoomScaleNormal="80" workbookViewId="0">
      <pane ySplit="3" topLeftCell="A4" activePane="bottomLeft" state="frozen"/>
      <selection activeCell="D12" sqref="D12"/>
      <selection pane="bottomLeft" activeCell="P53" sqref="P53"/>
    </sheetView>
  </sheetViews>
  <sheetFormatPr defaultColWidth="8.54296875" defaultRowHeight="14.5" zeroHeight="1" x14ac:dyDescent="0.35"/>
  <cols>
    <col min="1" max="1" width="5" customWidth="1"/>
    <col min="2" max="2" width="18.453125" hidden="1" customWidth="1"/>
    <col min="3" max="3" width="57.26953125" customWidth="1"/>
    <col min="4" max="4" width="17.26953125" customWidth="1"/>
    <col min="5" max="5" width="14.26953125" customWidth="1"/>
    <col min="6" max="6" width="16.453125" style="314" customWidth="1"/>
    <col min="7" max="9" width="16.453125" style="13" customWidth="1"/>
    <col min="10" max="10" width="18.453125" style="13" hidden="1" customWidth="1"/>
    <col min="11" max="11" width="5" customWidth="1"/>
    <col min="12" max="12" width="13.453125" hidden="1" customWidth="1"/>
    <col min="13" max="13" width="57.26953125" customWidth="1"/>
    <col min="14" max="14" width="17.26953125" customWidth="1"/>
    <col min="15" max="15" width="14.26953125" customWidth="1"/>
    <col min="16" max="16" width="16.453125" style="314" customWidth="1"/>
    <col min="17" max="19" width="16.453125" style="13" customWidth="1"/>
    <col min="20" max="20" width="8.54296875" hidden="1" customWidth="1"/>
    <col min="21" max="22" width="8.54296875" customWidth="1"/>
    <col min="23" max="23" width="15.453125" hidden="1" customWidth="1"/>
    <col min="24" max="24" width="22.453125" hidden="1" customWidth="1"/>
    <col min="25" max="25" width="39.7265625" hidden="1" customWidth="1"/>
    <col min="26" max="26" width="55.54296875" hidden="1" customWidth="1"/>
    <col min="27" max="29" width="15.453125" hidden="1" customWidth="1"/>
    <col min="30" max="30" width="8.54296875" hidden="1" customWidth="1"/>
    <col min="31" max="31" width="9.26953125" hidden="1" customWidth="1"/>
    <col min="32" max="32" width="71.26953125" hidden="1" customWidth="1"/>
    <col min="33" max="33" width="55.54296875" hidden="1" customWidth="1"/>
    <col min="34" max="34" width="24.453125" hidden="1" customWidth="1"/>
    <col min="35" max="35" width="8.453125" hidden="1" customWidth="1"/>
    <col min="36" max="36" width="10.26953125" hidden="1" customWidth="1"/>
    <col min="37" max="37" width="8.54296875" hidden="1" customWidth="1"/>
    <col min="38" max="38" width="45" hidden="1" customWidth="1"/>
  </cols>
  <sheetData>
    <row r="1" spans="2:37" s="254" customFormat="1" ht="26" x14ac:dyDescent="0.6">
      <c r="B1" s="255"/>
      <c r="C1" s="894" t="str">
        <f>"Tax Rate on PO Tab: "&amp;TEXT(PO!$Q$2,"##0.00#%")&amp;" Material / "&amp;TEXT(PO!$Q$4,"##0.00#%")&amp;" Rental / "&amp;TEXT(PO!$Q$6,"##0.00#%")&amp;" Freight"</f>
        <v>Tax Rate on PO Tab: 10.00% Material / 10.00% Rental / 10.00% Freight</v>
      </c>
      <c r="D1" s="894"/>
      <c r="E1" s="894"/>
      <c r="F1" s="894"/>
      <c r="G1" s="894"/>
      <c r="H1" s="894"/>
      <c r="I1" s="894"/>
      <c r="J1" s="894"/>
      <c r="K1" s="894"/>
      <c r="L1" s="894"/>
      <c r="M1" s="894"/>
      <c r="N1" s="894"/>
      <c r="O1" s="894"/>
      <c r="P1" s="894"/>
      <c r="Q1" s="894"/>
      <c r="R1" s="894"/>
      <c r="S1" s="894"/>
      <c r="T1" s="256"/>
    </row>
    <row r="2" spans="2:37" s="254" customFormat="1" ht="23.5" x14ac:dyDescent="0.55000000000000004">
      <c r="B2" s="255"/>
      <c r="C2" s="832" t="s">
        <v>764</v>
      </c>
      <c r="D2" s="832"/>
      <c r="E2" s="832"/>
      <c r="F2" s="832"/>
      <c r="G2" s="832"/>
      <c r="H2" s="832"/>
      <c r="I2" s="832"/>
      <c r="J2" s="832"/>
      <c r="K2" s="832"/>
      <c r="L2" s="832"/>
      <c r="M2" s="832"/>
      <c r="N2" s="832"/>
      <c r="O2" s="832"/>
      <c r="P2" s="832"/>
      <c r="Q2" s="832"/>
      <c r="R2" s="832"/>
      <c r="S2" s="832"/>
      <c r="T2" s="256"/>
    </row>
    <row r="3" spans="2:37" s="254" customFormat="1" ht="24" thickBot="1" x14ac:dyDescent="0.6">
      <c r="B3" s="255"/>
      <c r="C3" s="832" t="s">
        <v>765</v>
      </c>
      <c r="D3" s="832"/>
      <c r="E3" s="832"/>
      <c r="F3" s="832"/>
      <c r="G3" s="832"/>
      <c r="H3" s="832"/>
      <c r="I3" s="832"/>
      <c r="J3" s="832"/>
      <c r="K3" s="832"/>
      <c r="L3" s="832"/>
      <c r="M3" s="832"/>
      <c r="N3" s="832"/>
      <c r="O3" s="832"/>
      <c r="P3" s="832"/>
      <c r="Q3" s="832"/>
      <c r="R3" s="832"/>
      <c r="S3" s="832"/>
      <c r="T3" s="256"/>
    </row>
    <row r="4" spans="2:37" ht="19.5" customHeight="1" thickBot="1" x14ac:dyDescent="0.5">
      <c r="B4" s="312" t="s">
        <v>466</v>
      </c>
      <c r="C4" s="812" t="s">
        <v>466</v>
      </c>
      <c r="D4" s="813"/>
      <c r="E4" s="813"/>
      <c r="F4" s="813"/>
      <c r="G4" s="813"/>
      <c r="H4" s="813"/>
      <c r="I4" s="814"/>
      <c r="J4" s="78"/>
      <c r="L4" s="312" t="s">
        <v>468</v>
      </c>
      <c r="M4" s="812" t="s">
        <v>468</v>
      </c>
      <c r="N4" s="813"/>
      <c r="O4" s="813"/>
      <c r="P4" s="813"/>
      <c r="Q4" s="813"/>
      <c r="R4" s="813"/>
      <c r="S4" s="814"/>
      <c r="Z4" t="s">
        <v>554</v>
      </c>
      <c r="AE4" t="s">
        <v>461</v>
      </c>
      <c r="AF4" t="s">
        <v>181</v>
      </c>
      <c r="AH4" t="s">
        <v>334</v>
      </c>
      <c r="AI4" t="s">
        <v>182</v>
      </c>
      <c r="AJ4" t="s">
        <v>184</v>
      </c>
      <c r="AK4" t="s">
        <v>363</v>
      </c>
    </row>
    <row r="5" spans="2:37" ht="15" customHeight="1" thickBot="1" x14ac:dyDescent="0.4">
      <c r="B5" s="267" t="s">
        <v>185</v>
      </c>
      <c r="C5" s="261" t="s">
        <v>181</v>
      </c>
      <c r="D5" s="262" t="s">
        <v>334</v>
      </c>
      <c r="E5" s="262" t="s">
        <v>182</v>
      </c>
      <c r="F5" s="313" t="s">
        <v>183</v>
      </c>
      <c r="G5" s="79" t="s">
        <v>184</v>
      </c>
      <c r="H5" s="77" t="s">
        <v>196</v>
      </c>
      <c r="I5" s="214" t="s">
        <v>156</v>
      </c>
      <c r="J5" s="78"/>
      <c r="L5" s="267" t="s">
        <v>185</v>
      </c>
      <c r="M5" s="261" t="s">
        <v>181</v>
      </c>
      <c r="N5" s="262" t="s">
        <v>334</v>
      </c>
      <c r="O5" s="262" t="s">
        <v>182</v>
      </c>
      <c r="P5" s="313" t="s">
        <v>183</v>
      </c>
      <c r="Q5" s="79" t="s">
        <v>184</v>
      </c>
      <c r="R5" s="77" t="s">
        <v>196</v>
      </c>
      <c r="S5" s="214" t="s">
        <v>156</v>
      </c>
      <c r="Z5" t="s">
        <v>555</v>
      </c>
      <c r="AE5" t="s">
        <v>684</v>
      </c>
      <c r="AF5" t="str">
        <f t="shared" ref="AF5:AF10" si="0">_xlfn.CONCAT(AG5:AI5)</f>
        <v>SIKADUR 508 MEDIUM BROADCAST AGGREGATEN/A50LB</v>
      </c>
      <c r="AG5" t="s">
        <v>572</v>
      </c>
      <c r="AH5" t="s">
        <v>398</v>
      </c>
      <c r="AI5" t="s">
        <v>499</v>
      </c>
      <c r="AJ5">
        <v>15.04</v>
      </c>
      <c r="AK5" t="s">
        <v>390</v>
      </c>
    </row>
    <row r="6" spans="2:37" ht="15" customHeight="1" x14ac:dyDescent="0.35">
      <c r="B6" s="268" t="str">
        <f t="shared" ref="B6:B14" si="1">IFERROR(IF(C6="","",_xlfn.XLOOKUP(_xlfn.CONCAT(C6:E6),$AF:$AF,$AE:$AE,"UNAVAILABLE")),"UNAVAILABLE")</f>
        <v>490509</v>
      </c>
      <c r="C6" s="426" t="s">
        <v>526</v>
      </c>
      <c r="D6" s="425" t="str">
        <f>IF(SIKAPRIME[[#This Row],[PRODUCT]]="","","N/A")</f>
        <v>N/A</v>
      </c>
      <c r="E6" s="422" t="str">
        <f t="shared" ref="E6:E14" si="2">IF(C6="","",IF(C6=$Z$43,$AI$11,$AI$12))</f>
        <v>15 GAL</v>
      </c>
      <c r="F6" s="405"/>
      <c r="G6" s="16">
        <f>IFERROR(VLOOKUP(B6,P!$X:$Z,3,FALSE),0)</f>
        <v>839.19</v>
      </c>
      <c r="H6" s="5"/>
      <c r="I6" s="44">
        <f>IF(SIKAPRIME[[#This Row],[QUOTED RATE]]="",SIKAPRIME[[#This Row],[UNIT RATE]]*SIKAPRIME[[#This Row],[QTY]],SIKAPRIME[[#This Row],[QUOTED RATE]]*SIKAPRIME[[#This Row],[QTY]])</f>
        <v>0</v>
      </c>
      <c r="J6" s="78"/>
      <c r="L6" s="268" t="str">
        <f t="shared" ref="L6:L14" si="3">IFERROR(IF(M6="","",_xlfn.XLOOKUP(_xlfn.CONCAT(M6:O6),$AF:$AF,$AE:$AE,"UNAVAILABLE")),"UNAVAILABLE")</f>
        <v>809488</v>
      </c>
      <c r="M6" s="426" t="s">
        <v>560</v>
      </c>
      <c r="N6" s="425" t="s">
        <v>398</v>
      </c>
      <c r="O6" s="422" t="str">
        <f t="shared" ref="O6:O14" si="4">IF(M6="","",IF(M6=$AG$89,$AI$89,$AI$88))</f>
        <v>KIT</v>
      </c>
      <c r="P6" s="405"/>
      <c r="Q6" s="16">
        <f>IFERROR(VLOOKUP(L6,P!$X:$Z,3,FALSE),0)</f>
        <v>260.76</v>
      </c>
      <c r="R6" s="5"/>
      <c r="S6" s="44">
        <f>IF(SIKACRETE[[#This Row],[QUOTED RATE]]="",SIKACRETE[[#This Row],[UNIT RATE]]*SIKACRETE[[#This Row],[QTY]],SIKACRETE[[#This Row],[QUOTED RATE]]*SIKACRETE[[#This Row],[QTY]])</f>
        <v>0</v>
      </c>
      <c r="Z6" t="s">
        <v>892</v>
      </c>
      <c r="AE6" t="s">
        <v>685</v>
      </c>
      <c r="AF6" t="str">
        <f t="shared" si="0"/>
        <v>SIKADUR 509 - COARSE BROADCAST AGGREGATEN/A50LB</v>
      </c>
      <c r="AG6" t="s">
        <v>573</v>
      </c>
      <c r="AH6" t="s">
        <v>398</v>
      </c>
      <c r="AI6" t="s">
        <v>499</v>
      </c>
      <c r="AJ6">
        <v>21.14</v>
      </c>
      <c r="AK6" t="s">
        <v>390</v>
      </c>
    </row>
    <row r="7" spans="2:37" ht="15" customHeight="1" x14ac:dyDescent="0.35">
      <c r="B7" s="268" t="str">
        <f t="shared" si="1"/>
        <v>455082</v>
      </c>
      <c r="C7" s="426" t="s">
        <v>527</v>
      </c>
      <c r="D7" s="422" t="str">
        <f>IF(SIKAPRIME[[#This Row],[PRODUCT]]="","","N/A")</f>
        <v>N/A</v>
      </c>
      <c r="E7" s="422" t="str">
        <f t="shared" si="2"/>
        <v>4.5 GAL</v>
      </c>
      <c r="F7" s="406"/>
      <c r="G7" s="16">
        <f>IFERROR(VLOOKUP(B7,P!$X:$Z,3,FALSE),0)</f>
        <v>241.04</v>
      </c>
      <c r="H7" s="6"/>
      <c r="I7" s="45">
        <f>IF(SIKAPRIME[[#This Row],[QUOTED RATE]]="",SIKAPRIME[[#This Row],[UNIT RATE]]*SIKAPRIME[[#This Row],[QTY]],SIKAPRIME[[#This Row],[QUOTED RATE]]*SIKAPRIME[[#This Row],[QTY]])</f>
        <v>0</v>
      </c>
      <c r="J7" s="78"/>
      <c r="L7" s="268" t="str">
        <f t="shared" si="3"/>
        <v>809489</v>
      </c>
      <c r="M7" s="426" t="s">
        <v>561</v>
      </c>
      <c r="N7" s="422" t="s">
        <v>398</v>
      </c>
      <c r="O7" s="422" t="str">
        <f t="shared" si="4"/>
        <v>KIT</v>
      </c>
      <c r="P7" s="406"/>
      <c r="Q7" s="16">
        <f>IFERROR(VLOOKUP(L7,P!$X:$Z,3,FALSE),0)</f>
        <v>279.02</v>
      </c>
      <c r="R7" s="6"/>
      <c r="S7" s="45">
        <f>IF(SIKACRETE[[#This Row],[QUOTED RATE]]="",SIKACRETE[[#This Row],[UNIT RATE]]*SIKACRETE[[#This Row],[QTY]],SIKACRETE[[#This Row],[QUOTED RATE]]*SIKACRETE[[#This Row],[QTY]])</f>
        <v>0</v>
      </c>
      <c r="Z7" t="s">
        <v>557</v>
      </c>
      <c r="AE7" t="s">
        <v>686</v>
      </c>
      <c r="AF7" t="str">
        <f t="shared" si="0"/>
        <v>SIKAQUICK 1000N/A50LB</v>
      </c>
      <c r="AG7" t="s">
        <v>553</v>
      </c>
      <c r="AH7" t="s">
        <v>398</v>
      </c>
      <c r="AI7" t="s">
        <v>499</v>
      </c>
      <c r="AJ7">
        <v>28.31</v>
      </c>
      <c r="AK7" t="s">
        <v>390</v>
      </c>
    </row>
    <row r="8" spans="2:37" ht="15" customHeight="1" x14ac:dyDescent="0.35">
      <c r="B8" s="268" t="str">
        <f t="shared" si="1"/>
        <v/>
      </c>
      <c r="C8" s="426"/>
      <c r="D8" s="422" t="str">
        <f>IF(SIKAPRIME[[#This Row],[PRODUCT]]="","","N/A")</f>
        <v/>
      </c>
      <c r="E8" s="422" t="str">
        <f t="shared" si="2"/>
        <v/>
      </c>
      <c r="F8" s="405"/>
      <c r="G8" s="16">
        <f>IFERROR(VLOOKUP(B8,P!$X:$Z,3,FALSE),0)</f>
        <v>0</v>
      </c>
      <c r="H8" s="6"/>
      <c r="I8" s="45">
        <f>IF(SIKAPRIME[[#This Row],[QUOTED RATE]]="",SIKAPRIME[[#This Row],[UNIT RATE]]*SIKAPRIME[[#This Row],[QTY]],SIKAPRIME[[#This Row],[QUOTED RATE]]*SIKAPRIME[[#This Row],[QTY]])</f>
        <v>0</v>
      </c>
      <c r="J8" s="78"/>
      <c r="L8" s="268" t="str">
        <f t="shared" si="3"/>
        <v>459046</v>
      </c>
      <c r="M8" s="426" t="s">
        <v>562</v>
      </c>
      <c r="N8" s="422" t="s">
        <v>702</v>
      </c>
      <c r="O8" s="422" t="str">
        <f t="shared" si="4"/>
        <v>KIT</v>
      </c>
      <c r="P8" s="405"/>
      <c r="Q8" s="16">
        <f>IFERROR(VLOOKUP(L8,P!$X:$Z,3,FALSE),0)</f>
        <v>82.22</v>
      </c>
      <c r="R8" s="6"/>
      <c r="S8" s="45">
        <f>IF(SIKACRETE[[#This Row],[QUOTED RATE]]="",SIKACRETE[[#This Row],[UNIT RATE]]*SIKACRETE[[#This Row],[QTY]],SIKACRETE[[#This Row],[QUOTED RATE]]*SIKACRETE[[#This Row],[QTY]])</f>
        <v>0</v>
      </c>
      <c r="AE8" t="s">
        <v>601</v>
      </c>
      <c r="AF8" t="str">
        <f t="shared" si="0"/>
        <v>SIKAFLOOR-315 ABRASION RESISTANT ALIPHATICCLEAR4.68 GAL</v>
      </c>
      <c r="AG8" t="s">
        <v>715</v>
      </c>
      <c r="AH8" t="s">
        <v>315</v>
      </c>
      <c r="AI8" t="s">
        <v>547</v>
      </c>
      <c r="AJ8">
        <v>777.14</v>
      </c>
      <c r="AK8" t="s">
        <v>366</v>
      </c>
    </row>
    <row r="9" spans="2:37" ht="15" customHeight="1" x14ac:dyDescent="0.35">
      <c r="B9" s="268" t="str">
        <f t="shared" si="1"/>
        <v/>
      </c>
      <c r="C9" s="426"/>
      <c r="D9" s="422" t="str">
        <f>IF(SIKAPRIME[[#This Row],[PRODUCT]]="","","N/A")</f>
        <v/>
      </c>
      <c r="E9" s="422" t="str">
        <f t="shared" si="2"/>
        <v/>
      </c>
      <c r="F9" s="406"/>
      <c r="G9" s="16">
        <f>IFERROR(VLOOKUP(B9,P!$X:$Z,3,FALSE),0)</f>
        <v>0</v>
      </c>
      <c r="H9" s="6"/>
      <c r="I9" s="45">
        <f>IF(SIKAPRIME[[#This Row],[QUOTED RATE]]="",SIKAPRIME[[#This Row],[UNIT RATE]]*SIKAPRIME[[#This Row],[QTY]],SIKAPRIME[[#This Row],[QUOTED RATE]]*SIKAPRIME[[#This Row],[QTY]])</f>
        <v>0</v>
      </c>
      <c r="J9" s="78"/>
      <c r="L9" s="268" t="str">
        <f t="shared" si="3"/>
        <v>515677</v>
      </c>
      <c r="M9" s="426" t="s">
        <v>563</v>
      </c>
      <c r="N9" s="422" t="s">
        <v>694</v>
      </c>
      <c r="O9" s="422" t="str">
        <f t="shared" si="4"/>
        <v>KIT</v>
      </c>
      <c r="P9" s="406"/>
      <c r="Q9" s="16">
        <f>IFERROR(VLOOKUP(L9,P!$X:$Z,3,FALSE),0)</f>
        <v>156.69999999999999</v>
      </c>
      <c r="R9" s="6"/>
      <c r="S9" s="45">
        <f>IF(SIKACRETE[[#This Row],[QUOTED RATE]]="",SIKACRETE[[#This Row],[UNIT RATE]]*SIKACRETE[[#This Row],[QTY]],SIKACRETE[[#This Row],[QUOTED RATE]]*SIKACRETE[[#This Row],[QTY]])</f>
        <v>0</v>
      </c>
      <c r="AE9" t="s">
        <v>602</v>
      </c>
      <c r="AF9" t="str">
        <f t="shared" si="0"/>
        <v>SIKAFLOOR-315 ABRASION RESISTANT ALIPHATICCOLOR4.68 GAL</v>
      </c>
      <c r="AG9" t="s">
        <v>715</v>
      </c>
      <c r="AH9" t="s">
        <v>334</v>
      </c>
      <c r="AI9" t="s">
        <v>547</v>
      </c>
      <c r="AJ9">
        <v>777.49</v>
      </c>
      <c r="AK9" t="s">
        <v>366</v>
      </c>
    </row>
    <row r="10" spans="2:37" ht="15" customHeight="1" x14ac:dyDescent="0.35">
      <c r="B10" s="268" t="str">
        <f t="shared" si="1"/>
        <v/>
      </c>
      <c r="C10" s="426"/>
      <c r="D10" s="422" t="str">
        <f>IF(SIKAPRIME[[#This Row],[PRODUCT]]="","","N/A")</f>
        <v/>
      </c>
      <c r="E10" s="422" t="str">
        <f t="shared" si="2"/>
        <v/>
      </c>
      <c r="F10" s="405"/>
      <c r="G10" s="16">
        <f>IFERROR(VLOOKUP(B10,P!$X:$Z,3,FALSE),0)</f>
        <v>0</v>
      </c>
      <c r="H10" s="6"/>
      <c r="I10" s="45">
        <f>IF(SIKAPRIME[[#This Row],[QUOTED RATE]]="",SIKAPRIME[[#This Row],[UNIT RATE]]*SIKAPRIME[[#This Row],[QTY]],SIKAPRIME[[#This Row],[QUOTED RATE]]*SIKAPRIME[[#This Row],[QTY]])</f>
        <v>0</v>
      </c>
      <c r="J10" s="78"/>
      <c r="L10" s="268" t="str">
        <f t="shared" si="3"/>
        <v>477953</v>
      </c>
      <c r="M10" s="426" t="s">
        <v>564</v>
      </c>
      <c r="N10" s="422" t="s">
        <v>703</v>
      </c>
      <c r="O10" s="422" t="str">
        <f t="shared" si="4"/>
        <v>KIT</v>
      </c>
      <c r="P10" s="405"/>
      <c r="Q10" s="16">
        <f>IFERROR(VLOOKUP(L10,P!$X:$Z,3,FALSE),0)</f>
        <v>105.13</v>
      </c>
      <c r="R10" s="6"/>
      <c r="S10" s="45">
        <f>IF(SIKACRETE[[#This Row],[QUOTED RATE]]="",SIKACRETE[[#This Row],[UNIT RATE]]*SIKACRETE[[#This Row],[QTY]],SIKACRETE[[#This Row],[QUOTED RATE]]*SIKACRETE[[#This Row],[QTY]])</f>
        <v>0</v>
      </c>
      <c r="AE10" t="s">
        <v>603</v>
      </c>
      <c r="AF10" t="str">
        <f t="shared" si="0"/>
        <v>SIKAFLOOR-315 N HS ALIPHATIC POLYURETHANEN/A6 GAL</v>
      </c>
      <c r="AG10" t="s">
        <v>558</v>
      </c>
      <c r="AH10" t="s">
        <v>398</v>
      </c>
      <c r="AI10" t="s">
        <v>548</v>
      </c>
      <c r="AJ10">
        <v>830.73</v>
      </c>
      <c r="AK10" t="s">
        <v>366</v>
      </c>
    </row>
    <row r="11" spans="2:37" ht="15" customHeight="1" x14ac:dyDescent="0.35">
      <c r="B11" s="268" t="str">
        <f t="shared" si="1"/>
        <v/>
      </c>
      <c r="C11" s="426"/>
      <c r="D11" s="422" t="str">
        <f>IF(SIKAPRIME[[#This Row],[PRODUCT]]="","","N/A")</f>
        <v/>
      </c>
      <c r="E11" s="422" t="str">
        <f t="shared" si="2"/>
        <v/>
      </c>
      <c r="F11" s="406"/>
      <c r="G11" s="16">
        <f>IFERROR(VLOOKUP(B11,P!$X:$Z,3,FALSE),0)</f>
        <v>0</v>
      </c>
      <c r="H11" s="6"/>
      <c r="I11" s="45">
        <f>IF(SIKAPRIME[[#This Row],[QUOTED RATE]]="",SIKAPRIME[[#This Row],[UNIT RATE]]*SIKAPRIME[[#This Row],[QTY]],SIKAPRIME[[#This Row],[QUOTED RATE]]*SIKAPRIME[[#This Row],[QTY]])</f>
        <v>0</v>
      </c>
      <c r="J11" s="78"/>
      <c r="L11" s="268" t="str">
        <f t="shared" si="3"/>
        <v>502925</v>
      </c>
      <c r="M11" s="426" t="s">
        <v>565</v>
      </c>
      <c r="N11" s="422" t="s">
        <v>399</v>
      </c>
      <c r="O11" s="422" t="str">
        <f t="shared" si="4"/>
        <v>KIT</v>
      </c>
      <c r="P11" s="406"/>
      <c r="Q11" s="16">
        <f>IFERROR(VLOOKUP(L11,P!$X:$Z,3,FALSE),0)</f>
        <v>91.51</v>
      </c>
      <c r="R11" s="6"/>
      <c r="S11" s="45">
        <f>IF(SIKACRETE[[#This Row],[QUOTED RATE]]="",SIKACRETE[[#This Row],[UNIT RATE]]*SIKACRETE[[#This Row],[QTY]],SIKACRETE[[#This Row],[QUOTED RATE]]*SIKACRETE[[#This Row],[QTY]])</f>
        <v>0</v>
      </c>
      <c r="AE11" t="s">
        <v>574</v>
      </c>
      <c r="AF11" t="str">
        <f t="shared" ref="AF11:AF40" si="5">_xlfn.CONCAT(AG11:AI11)</f>
        <v>SIKAFLOOR-160 CLEAR EPOXY PRIMERN/A15 GAL</v>
      </c>
      <c r="AG11" t="s">
        <v>526</v>
      </c>
      <c r="AH11" t="s">
        <v>398</v>
      </c>
      <c r="AI11" t="s">
        <v>408</v>
      </c>
      <c r="AJ11">
        <v>839.19</v>
      </c>
      <c r="AK11" t="s">
        <v>469</v>
      </c>
    </row>
    <row r="12" spans="2:37" ht="15" customHeight="1" x14ac:dyDescent="0.35">
      <c r="B12" s="268" t="str">
        <f t="shared" si="1"/>
        <v/>
      </c>
      <c r="C12" s="426"/>
      <c r="D12" s="422" t="str">
        <f>IF(SIKAPRIME[[#This Row],[PRODUCT]]="","","N/A")</f>
        <v/>
      </c>
      <c r="E12" s="422" t="str">
        <f t="shared" si="2"/>
        <v/>
      </c>
      <c r="F12" s="405"/>
      <c r="G12" s="16">
        <f>IFERROR(VLOOKUP(B12,P!$X:$Z,3,FALSE),0)</f>
        <v>0</v>
      </c>
      <c r="H12" s="6"/>
      <c r="I12" s="45">
        <f>IF(SIKAPRIME[[#This Row],[QUOTED RATE]]="",SIKAPRIME[[#This Row],[UNIT RATE]]*SIKAPRIME[[#This Row],[QTY]],SIKAPRIME[[#This Row],[QUOTED RATE]]*SIKAPRIME[[#This Row],[QTY]])</f>
        <v>0</v>
      </c>
      <c r="J12" s="78"/>
      <c r="L12" s="268" t="str">
        <f t="shared" si="3"/>
        <v>799918</v>
      </c>
      <c r="M12" s="426" t="s">
        <v>566</v>
      </c>
      <c r="N12" s="422" t="s">
        <v>704</v>
      </c>
      <c r="O12" s="422" t="str">
        <f t="shared" si="4"/>
        <v>KIT</v>
      </c>
      <c r="P12" s="405"/>
      <c r="Q12" s="16">
        <f>IFERROR(VLOOKUP(L12,P!$X:$Z,3,FALSE),0)</f>
        <v>189.2</v>
      </c>
      <c r="R12" s="6"/>
      <c r="S12" s="45">
        <f>IF(SIKACRETE[[#This Row],[QUOTED RATE]]="",SIKACRETE[[#This Row],[UNIT RATE]]*SIKACRETE[[#This Row],[QTY]],SIKACRETE[[#This Row],[QUOTED RATE]]*SIKACRETE[[#This Row],[QTY]])</f>
        <v>0</v>
      </c>
      <c r="AE12" t="s">
        <v>575</v>
      </c>
      <c r="AF12" t="str">
        <f t="shared" si="5"/>
        <v>SIKAFLOOR-161 VERSATILE EPOXY PRIMERN/A4.5 GAL</v>
      </c>
      <c r="AG12" t="s">
        <v>527</v>
      </c>
      <c r="AH12" t="s">
        <v>398</v>
      </c>
      <c r="AI12" t="s">
        <v>528</v>
      </c>
      <c r="AJ12">
        <v>241.04</v>
      </c>
      <c r="AK12" t="s">
        <v>469</v>
      </c>
    </row>
    <row r="13" spans="2:37" ht="15" customHeight="1" x14ac:dyDescent="0.35">
      <c r="B13" s="268" t="str">
        <f t="shared" si="1"/>
        <v/>
      </c>
      <c r="C13" s="426"/>
      <c r="D13" s="422" t="str">
        <f>IF(SIKAPRIME[[#This Row],[PRODUCT]]="","","N/A")</f>
        <v/>
      </c>
      <c r="E13" s="422" t="str">
        <f t="shared" si="2"/>
        <v/>
      </c>
      <c r="F13" s="406"/>
      <c r="G13" s="16">
        <f>IFERROR(VLOOKUP(B13,P!$X:$Z,3,FALSE),0)</f>
        <v>0</v>
      </c>
      <c r="H13" s="6"/>
      <c r="I13" s="45">
        <f>IF(SIKAPRIME[[#This Row],[QUOTED RATE]]="",SIKAPRIME[[#This Row],[UNIT RATE]]*SIKAPRIME[[#This Row],[QTY]],SIKAPRIME[[#This Row],[QUOTED RATE]]*SIKAPRIME[[#This Row],[QTY]])</f>
        <v>0</v>
      </c>
      <c r="J13" s="78"/>
      <c r="L13" s="268" t="str">
        <f t="shared" si="3"/>
        <v>809303</v>
      </c>
      <c r="M13" s="426" t="s">
        <v>568</v>
      </c>
      <c r="N13" s="422" t="s">
        <v>398</v>
      </c>
      <c r="O13" s="422" t="str">
        <f t="shared" si="4"/>
        <v>67 OZ</v>
      </c>
      <c r="P13" s="406"/>
      <c r="Q13" s="16">
        <f>IFERROR(VLOOKUP(L13,P!$X:$Z,3,FALSE),0)</f>
        <v>68.75</v>
      </c>
      <c r="R13" s="6"/>
      <c r="S13" s="45">
        <f>IF(SIKACRETE[[#This Row],[QUOTED RATE]]="",SIKACRETE[[#This Row],[UNIT RATE]]*SIKACRETE[[#This Row],[QTY]],SIKACRETE[[#This Row],[QUOTED RATE]]*SIKACRETE[[#This Row],[QTY]])</f>
        <v>0</v>
      </c>
      <c r="AE13" t="s">
        <v>604</v>
      </c>
      <c r="AF13" t="str">
        <f t="shared" si="5"/>
        <v>SIKAFLOOR-510 LPL HS UV RESISTANT POLYASPARTICN/A8.33 GAL</v>
      </c>
      <c r="AG13" t="s">
        <v>559</v>
      </c>
      <c r="AH13" t="s">
        <v>398</v>
      </c>
      <c r="AI13" t="s">
        <v>549</v>
      </c>
      <c r="AJ13">
        <v>934.96</v>
      </c>
      <c r="AK13" t="s">
        <v>367</v>
      </c>
    </row>
    <row r="14" spans="2:37" ht="15" customHeight="1" thickBot="1" x14ac:dyDescent="0.4">
      <c r="B14" s="268" t="str">
        <f t="shared" si="1"/>
        <v/>
      </c>
      <c r="C14" s="427"/>
      <c r="D14" s="423" t="str">
        <f>IF(SIKAPRIME[[#This Row],[PRODUCT]]="","","N/A")</f>
        <v/>
      </c>
      <c r="E14" s="423" t="str">
        <f t="shared" si="2"/>
        <v/>
      </c>
      <c r="F14" s="406"/>
      <c r="G14" s="43">
        <f>IFERROR(VLOOKUP(B14,P!$X:$Z,3,FALSE),0)</f>
        <v>0</v>
      </c>
      <c r="H14" s="42"/>
      <c r="I14" s="46">
        <f>IF(SIKAPRIME[[#This Row],[QUOTED RATE]]="",SIKAPRIME[[#This Row],[UNIT RATE]]*SIKAPRIME[[#This Row],[QTY]],SIKAPRIME[[#This Row],[QUOTED RATE]]*SIKAPRIME[[#This Row],[QTY]])</f>
        <v>0</v>
      </c>
      <c r="J14" s="78"/>
      <c r="L14" s="268" t="str">
        <f t="shared" si="3"/>
        <v/>
      </c>
      <c r="M14" s="427"/>
      <c r="N14" s="423"/>
      <c r="O14" s="423" t="str">
        <f t="shared" si="4"/>
        <v/>
      </c>
      <c r="P14" s="405"/>
      <c r="Q14" s="43">
        <f>IFERROR(VLOOKUP(L14,P!$X:$Z,3,FALSE),0)</f>
        <v>0</v>
      </c>
      <c r="R14" s="42"/>
      <c r="S14" s="46">
        <f>IF(SIKACRETE[[#This Row],[QUOTED RATE]]="",SIKACRETE[[#This Row],[UNIT RATE]]*SIKACRETE[[#This Row],[QTY]],SIKACRETE[[#This Row],[QUOTED RATE]]*SIKACRETE[[#This Row],[QTY]])</f>
        <v>0</v>
      </c>
      <c r="AE14" t="s">
        <v>644</v>
      </c>
      <c r="AF14" t="str">
        <f t="shared" si="5"/>
        <v>SIKAGARD CV 20 VINYL ESTER COATING - MTON/AKIT</v>
      </c>
      <c r="AG14" t="s">
        <v>569</v>
      </c>
      <c r="AH14" t="s">
        <v>398</v>
      </c>
      <c r="AI14" t="s">
        <v>397</v>
      </c>
      <c r="AJ14">
        <v>202.41</v>
      </c>
      <c r="AK14" t="s">
        <v>367</v>
      </c>
    </row>
    <row r="15" spans="2:37" ht="15" customHeight="1" thickTop="1" thickBot="1" x14ac:dyDescent="0.4">
      <c r="B15" s="271" t="s">
        <v>16</v>
      </c>
      <c r="C15" s="251" t="s">
        <v>16</v>
      </c>
      <c r="D15" s="228"/>
      <c r="E15" s="228"/>
      <c r="F15" s="252"/>
      <c r="G15" s="253"/>
      <c r="H15" s="253"/>
      <c r="I15" s="229">
        <f>SUBTOTAL(109,SIKAPRIME[EXTENSION])</f>
        <v>0</v>
      </c>
      <c r="J15" s="78"/>
      <c r="L15" s="271" t="s">
        <v>16</v>
      </c>
      <c r="M15" s="251" t="s">
        <v>16</v>
      </c>
      <c r="N15" s="228"/>
      <c r="O15" s="228"/>
      <c r="P15" s="252"/>
      <c r="Q15" s="253"/>
      <c r="R15" s="253"/>
      <c r="S15" s="229">
        <f>SUBTOTAL(109,SIKACRETE[EXTENSION])</f>
        <v>0</v>
      </c>
      <c r="AE15" t="s">
        <v>634</v>
      </c>
      <c r="AF15" t="str">
        <f t="shared" si="5"/>
        <v>SIKA UCRETE PIGMENT PACKSBLUE25 PACK</v>
      </c>
      <c r="AG15" t="s">
        <v>567</v>
      </c>
      <c r="AH15" t="s">
        <v>391</v>
      </c>
      <c r="AI15" t="s">
        <v>550</v>
      </c>
      <c r="AJ15">
        <v>284.63</v>
      </c>
      <c r="AK15" t="s">
        <v>334</v>
      </c>
    </row>
    <row r="16" spans="2:37" ht="7.5" customHeight="1" thickBot="1" x14ac:dyDescent="0.4">
      <c r="J16" s="78"/>
      <c r="AE16" t="s">
        <v>636</v>
      </c>
      <c r="AF16" t="str">
        <f t="shared" si="5"/>
        <v>SIKA UCRETE PIGMENT PACKSGREEN BROWN/CHARCOAL25 PACK</v>
      </c>
      <c r="AG16" t="s">
        <v>567</v>
      </c>
      <c r="AH16" t="s">
        <v>711</v>
      </c>
      <c r="AI16" t="s">
        <v>550</v>
      </c>
      <c r="AJ16">
        <v>284.63</v>
      </c>
      <c r="AK16" t="s">
        <v>334</v>
      </c>
    </row>
    <row r="17" spans="2:37" ht="19.5" customHeight="1" thickBot="1" x14ac:dyDescent="0.5">
      <c r="B17" s="312" t="s">
        <v>311</v>
      </c>
      <c r="C17" s="812" t="s">
        <v>311</v>
      </c>
      <c r="D17" s="813"/>
      <c r="E17" s="813"/>
      <c r="F17" s="813"/>
      <c r="G17" s="813"/>
      <c r="H17" s="813"/>
      <c r="I17" s="814"/>
      <c r="J17" s="78"/>
      <c r="L17" s="312" t="s">
        <v>471</v>
      </c>
      <c r="M17" s="812" t="s">
        <v>471</v>
      </c>
      <c r="N17" s="813"/>
      <c r="O17" s="813"/>
      <c r="P17" s="813"/>
      <c r="Q17" s="813"/>
      <c r="R17" s="813"/>
      <c r="S17" s="814"/>
      <c r="Z17" t="s">
        <v>572</v>
      </c>
      <c r="AE17" t="s">
        <v>637</v>
      </c>
      <c r="AF17" t="str">
        <f t="shared" si="5"/>
        <v>SIKA UCRETE PIGMENT PACKSCREAM25 PACK</v>
      </c>
      <c r="AG17" t="s">
        <v>567</v>
      </c>
      <c r="AH17" t="s">
        <v>704</v>
      </c>
      <c r="AI17" t="s">
        <v>550</v>
      </c>
      <c r="AJ17">
        <v>284.63</v>
      </c>
      <c r="AK17" t="s">
        <v>334</v>
      </c>
    </row>
    <row r="18" spans="2:37" ht="15.75" customHeight="1" thickBot="1" x14ac:dyDescent="0.4">
      <c r="B18" s="267" t="s">
        <v>185</v>
      </c>
      <c r="C18" s="261" t="s">
        <v>181</v>
      </c>
      <c r="D18" s="262" t="s">
        <v>334</v>
      </c>
      <c r="E18" s="262" t="s">
        <v>182</v>
      </c>
      <c r="F18" s="313" t="s">
        <v>183</v>
      </c>
      <c r="G18" s="79" t="s">
        <v>184</v>
      </c>
      <c r="H18" s="77" t="s">
        <v>196</v>
      </c>
      <c r="I18" s="214" t="s">
        <v>156</v>
      </c>
      <c r="J18" s="78"/>
      <c r="L18" s="267" t="s">
        <v>185</v>
      </c>
      <c r="M18" s="261" t="s">
        <v>181</v>
      </c>
      <c r="N18" s="262" t="s">
        <v>334</v>
      </c>
      <c r="O18" s="262" t="s">
        <v>182</v>
      </c>
      <c r="P18" s="313" t="s">
        <v>183</v>
      </c>
      <c r="Q18" s="79" t="s">
        <v>184</v>
      </c>
      <c r="R18" s="77" t="s">
        <v>196</v>
      </c>
      <c r="S18" s="214" t="s">
        <v>156</v>
      </c>
      <c r="Z18" t="s">
        <v>573</v>
      </c>
      <c r="AE18" t="s">
        <v>638</v>
      </c>
      <c r="AF18" t="str">
        <f t="shared" si="5"/>
        <v>SIKA UCRETE PIGMENT PACKSGREEN25 PACK</v>
      </c>
      <c r="AG18" t="s">
        <v>567</v>
      </c>
      <c r="AH18" t="s">
        <v>395</v>
      </c>
      <c r="AI18" t="s">
        <v>550</v>
      </c>
      <c r="AJ18">
        <v>284.63</v>
      </c>
      <c r="AK18" t="s">
        <v>334</v>
      </c>
    </row>
    <row r="19" spans="2:37" ht="15" customHeight="1" x14ac:dyDescent="0.35">
      <c r="B19" s="268" t="str">
        <f t="shared" ref="B19:B27" si="6">IFERROR(IF(C19="","",_xlfn.XLOOKUP(_xlfn.CONCAT(C19:E19),$AF:$AF,$AE:$AE,"UNAVAILABLE")),"UNAVAILABLE")</f>
        <v>455425</v>
      </c>
      <c r="C19" s="426" t="s">
        <v>554</v>
      </c>
      <c r="D19" s="425" t="s">
        <v>321</v>
      </c>
      <c r="E19" s="422" t="str">
        <f>IF(C19="","",IF(SIKAEPOXY[[#This Row],[PRODUCT]]=$Z$7,"10 GAL","4.5 GAL"))</f>
        <v>4.5 GAL</v>
      </c>
      <c r="F19" s="405"/>
      <c r="G19" s="16">
        <f>IFERROR(VLOOKUP(B19,P!$X:$Z,3,FALSE),0)</f>
        <v>292.99</v>
      </c>
      <c r="H19" s="5"/>
      <c r="I19" s="44">
        <f>IF(SIKAEPOXY[[#This Row],[QUOTED RATE]]="",SIKAEPOXY[[#This Row],[UNIT RATE]]*SIKAEPOXY[[#This Row],[QTY]],SIKAEPOXY[[#This Row],[QUOTED RATE]]*SIKAEPOXY[[#This Row],[QTY]])</f>
        <v>0</v>
      </c>
      <c r="J19" s="78"/>
      <c r="L19" s="268" t="str">
        <f t="shared" ref="L19:L27" si="7">IFERROR(IF(M19="","",_xlfn.XLOOKUP(_xlfn.CONCAT(M19:O19),$AF:$AF,$AE:$AE,"UNAVAILABLE")),"UNAVAILABLE")</f>
        <v>799037</v>
      </c>
      <c r="M19" s="426" t="s">
        <v>567</v>
      </c>
      <c r="N19" s="425" t="s">
        <v>395</v>
      </c>
      <c r="O19" s="422" t="str">
        <f t="shared" ref="O19:O27" si="8">IF(M19="","",IF(M19=$AG$22,$AI$22,$AI$23))</f>
        <v>25 PACK</v>
      </c>
      <c r="P19" s="405"/>
      <c r="Q19" s="16">
        <f>IFERROR(VLOOKUP(L19,P!$X:$Z,3,FALSE),0)</f>
        <v>284.63</v>
      </c>
      <c r="R19" s="5"/>
      <c r="S19" s="44">
        <f>IF(SIKACOLOR[[#This Row],[QUOTED RATE]]="",SIKACOLOR[[#This Row],[UNIT RATE]]*SIKACOLOR[[#This Row],[QTY]],SIKACOLOR[[#This Row],[QUOTED RATE]]*SIKACOLOR[[#This Row],[QTY]])</f>
        <v>0</v>
      </c>
      <c r="Z19" t="s">
        <v>553</v>
      </c>
      <c r="AE19" t="s">
        <v>639</v>
      </c>
      <c r="AF19" t="str">
        <f t="shared" si="5"/>
        <v>SIKA UCRETE PIGMENT PACKSLIGHT GREEN25 PACK</v>
      </c>
      <c r="AG19" t="s">
        <v>567</v>
      </c>
      <c r="AH19" t="s">
        <v>706</v>
      </c>
      <c r="AI19" t="s">
        <v>550</v>
      </c>
      <c r="AJ19">
        <v>284.63</v>
      </c>
      <c r="AK19" t="s">
        <v>334</v>
      </c>
    </row>
    <row r="20" spans="2:37" ht="15" customHeight="1" x14ac:dyDescent="0.35">
      <c r="B20" s="268" t="str">
        <f t="shared" si="6"/>
        <v>686712</v>
      </c>
      <c r="C20" s="426" t="s">
        <v>555</v>
      </c>
      <c r="D20" s="422" t="s">
        <v>690</v>
      </c>
      <c r="E20" s="422" t="str">
        <f>IF(C20="","",IF(SIKAEPOXY[[#This Row],[PRODUCT]]=$Z$7,"10 GAL","4.5 GAL"))</f>
        <v>4.5 GAL</v>
      </c>
      <c r="F20" s="406"/>
      <c r="G20" s="16">
        <f>IFERROR(VLOOKUP(B20,P!$X:$Z,3,FALSE),0)</f>
        <v>356.95</v>
      </c>
      <c r="H20" s="6"/>
      <c r="I20" s="45">
        <f>IF(SIKAEPOXY[[#This Row],[QUOTED RATE]]="",SIKAEPOXY[[#This Row],[UNIT RATE]]*SIKAEPOXY[[#This Row],[QTY]],SIKAEPOXY[[#This Row],[QUOTED RATE]]*SIKAEPOXY[[#This Row],[QTY]])</f>
        <v>0</v>
      </c>
      <c r="J20" s="78"/>
      <c r="L20" s="268" t="str">
        <f t="shared" si="7"/>
        <v>813998</v>
      </c>
      <c r="M20" s="426" t="s">
        <v>570</v>
      </c>
      <c r="N20" s="422" t="s">
        <v>399</v>
      </c>
      <c r="O20" s="422" t="str">
        <f t="shared" si="8"/>
        <v>4 QT</v>
      </c>
      <c r="P20" s="405"/>
      <c r="Q20" s="16">
        <f>IFERROR(VLOOKUP(L20,P!$X:$Z,3,FALSE),0)</f>
        <v>183.33</v>
      </c>
      <c r="R20" s="6"/>
      <c r="S20" s="45">
        <f>IF(SIKACOLOR[[#This Row],[QUOTED RATE]]="",SIKACOLOR[[#This Row],[UNIT RATE]]*SIKACOLOR[[#This Row],[QTY]],SIKACOLOR[[#This Row],[QUOTED RATE]]*SIKACOLOR[[#This Row],[QTY]])</f>
        <v>0</v>
      </c>
      <c r="AE20" t="s">
        <v>640</v>
      </c>
      <c r="AF20" t="str">
        <f t="shared" si="5"/>
        <v>SIKA UCRETE PIGMENT PACKSLIGHT GREY25 PACK</v>
      </c>
      <c r="AG20" t="s">
        <v>567</v>
      </c>
      <c r="AH20" t="s">
        <v>709</v>
      </c>
      <c r="AI20" t="s">
        <v>550</v>
      </c>
      <c r="AJ20">
        <v>284.63</v>
      </c>
      <c r="AK20" t="s">
        <v>334</v>
      </c>
    </row>
    <row r="21" spans="2:37" ht="15" customHeight="1" x14ac:dyDescent="0.35">
      <c r="B21" s="268" t="str">
        <f t="shared" si="6"/>
        <v>455506TL</v>
      </c>
      <c r="C21" s="426" t="s">
        <v>892</v>
      </c>
      <c r="D21" s="422" t="s">
        <v>692</v>
      </c>
      <c r="E21" s="422" t="str">
        <f>IF(C21="","",IF(SIKAEPOXY[[#This Row],[PRODUCT]]=$Z$7,"10 GAL","4.5 GAL"))</f>
        <v>4.5 GAL</v>
      </c>
      <c r="F21" s="406"/>
      <c r="G21" s="16">
        <f>IFERROR(VLOOKUP(B21,P!$X:$Z,3,FALSE),0)</f>
        <v>329.18</v>
      </c>
      <c r="H21" s="6"/>
      <c r="I21" s="45">
        <f>IF(SIKAEPOXY[[#This Row],[QUOTED RATE]]="",SIKAEPOXY[[#This Row],[UNIT RATE]]*SIKAEPOXY[[#This Row],[QTY]],SIKAEPOXY[[#This Row],[QUOTED RATE]]*SIKAEPOXY[[#This Row],[QTY]])</f>
        <v>0</v>
      </c>
      <c r="J21" s="78"/>
      <c r="L21" s="268" t="str">
        <f t="shared" si="7"/>
        <v>822518</v>
      </c>
      <c r="M21" s="426" t="s">
        <v>571</v>
      </c>
      <c r="N21" s="422" t="s">
        <v>699</v>
      </c>
      <c r="O21" s="422" t="str">
        <f t="shared" si="8"/>
        <v>4 QT</v>
      </c>
      <c r="P21" s="405"/>
      <c r="Q21" s="16">
        <f>IFERROR(VLOOKUP(L21,P!$X:$Z,3,FALSE),0)</f>
        <v>154</v>
      </c>
      <c r="R21" s="6"/>
      <c r="S21" s="45">
        <f>IF(SIKACOLOR[[#This Row],[QUOTED RATE]]="",SIKACOLOR[[#This Row],[UNIT RATE]]*SIKACOLOR[[#This Row],[QTY]],SIKACOLOR[[#This Row],[QUOTED RATE]]*SIKACOLOR[[#This Row],[QTY]])</f>
        <v>0</v>
      </c>
      <c r="AE21" t="s">
        <v>641</v>
      </c>
      <c r="AF21" t="str">
        <f t="shared" si="5"/>
        <v>SIKA UCRETE PIGMENT PACKSORANGE25 PACK</v>
      </c>
      <c r="AG21" t="s">
        <v>567</v>
      </c>
      <c r="AH21" t="s">
        <v>707</v>
      </c>
      <c r="AI21" t="s">
        <v>550</v>
      </c>
      <c r="AJ21">
        <v>284.63</v>
      </c>
      <c r="AK21" t="s">
        <v>334</v>
      </c>
    </row>
    <row r="22" spans="2:37" ht="15" customHeight="1" x14ac:dyDescent="0.35">
      <c r="B22" s="268" t="str">
        <f t="shared" si="6"/>
        <v>187543</v>
      </c>
      <c r="C22" s="426" t="s">
        <v>557</v>
      </c>
      <c r="D22" s="422" t="s">
        <v>398</v>
      </c>
      <c r="E22" s="422" t="str">
        <f>IF(C22="","",IF(SIKAEPOXY[[#This Row],[PRODUCT]]=$Z$7,"10 GAL","4.5 GAL"))</f>
        <v>10 GAL</v>
      </c>
      <c r="F22" s="406"/>
      <c r="G22" s="16">
        <f>IFERROR(VLOOKUP(B22,P!$X:$Z,3,FALSE),0)</f>
        <v>798.39</v>
      </c>
      <c r="H22" s="6"/>
      <c r="I22" s="45">
        <f>IF(SIKAEPOXY[[#This Row],[QUOTED RATE]]="",SIKAEPOXY[[#This Row],[UNIT RATE]]*SIKAEPOXY[[#This Row],[QTY]],SIKAEPOXY[[#This Row],[QUOTED RATE]]*SIKAEPOXY[[#This Row],[QTY]])</f>
        <v>0</v>
      </c>
      <c r="J22" s="78"/>
      <c r="L22" s="268" t="str">
        <f t="shared" si="7"/>
        <v>799032</v>
      </c>
      <c r="M22" s="426" t="s">
        <v>567</v>
      </c>
      <c r="N22" s="422" t="s">
        <v>709</v>
      </c>
      <c r="O22" s="422" t="str">
        <f t="shared" si="8"/>
        <v>25 PACK</v>
      </c>
      <c r="P22" s="405"/>
      <c r="Q22" s="16">
        <f>IFERROR(VLOOKUP(L22,P!$X:$Z,3,FALSE),0)</f>
        <v>284.63</v>
      </c>
      <c r="R22" s="6"/>
      <c r="S22" s="45">
        <f>IF(SIKACOLOR[[#This Row],[QUOTED RATE]]="",SIKACOLOR[[#This Row],[UNIT RATE]]*SIKACOLOR[[#This Row],[QTY]],SIKACOLOR[[#This Row],[QUOTED RATE]]*SIKACOLOR[[#This Row],[QTY]])</f>
        <v>0</v>
      </c>
      <c r="AE22" t="s">
        <v>642</v>
      </c>
      <c r="AF22" t="str">
        <f t="shared" si="5"/>
        <v>SIKA UCRETE PIGMENT PACKSRED25 PACK</v>
      </c>
      <c r="AG22" t="s">
        <v>567</v>
      </c>
      <c r="AH22" t="s">
        <v>396</v>
      </c>
      <c r="AI22" t="s">
        <v>550</v>
      </c>
      <c r="AJ22">
        <v>284.63</v>
      </c>
      <c r="AK22" t="s">
        <v>334</v>
      </c>
    </row>
    <row r="23" spans="2:37" ht="15" customHeight="1" x14ac:dyDescent="0.35">
      <c r="B23" s="268" t="str">
        <f t="shared" si="6"/>
        <v/>
      </c>
      <c r="C23" s="426"/>
      <c r="D23" s="422"/>
      <c r="E23" s="422" t="str">
        <f>IF(C23="","",IF(SIKAEPOXY[[#This Row],[PRODUCT]]=$Z$7,"10 GAL","4.5 GAL"))</f>
        <v/>
      </c>
      <c r="F23" s="406"/>
      <c r="G23" s="16">
        <f>IFERROR(VLOOKUP(B23,P!$X:$Z,3,FALSE),0)</f>
        <v>0</v>
      </c>
      <c r="H23" s="6"/>
      <c r="I23" s="45">
        <f>IF(SIKAEPOXY[[#This Row],[QUOTED RATE]]="",SIKAEPOXY[[#This Row],[UNIT RATE]]*SIKAEPOXY[[#This Row],[QTY]],SIKAEPOXY[[#This Row],[QUOTED RATE]]*SIKAEPOXY[[#This Row],[QTY]])</f>
        <v>0</v>
      </c>
      <c r="J23" s="78"/>
      <c r="L23" s="268" t="str">
        <f t="shared" si="7"/>
        <v/>
      </c>
      <c r="M23" s="426"/>
      <c r="N23" s="422"/>
      <c r="O23" s="422" t="str">
        <f t="shared" si="8"/>
        <v/>
      </c>
      <c r="P23" s="406"/>
      <c r="Q23" s="16">
        <f>IFERROR(VLOOKUP(L23,P!$X:$Z,3,FALSE),0)</f>
        <v>0</v>
      </c>
      <c r="R23" s="6"/>
      <c r="S23" s="45">
        <f>IF(SIKACOLOR[[#This Row],[QUOTED RATE]]="",SIKACOLOR[[#This Row],[UNIT RATE]]*SIKACOLOR[[#This Row],[QTY]],SIKACOLOR[[#This Row],[QUOTED RATE]]*SIKACOLOR[[#This Row],[QTY]])</f>
        <v>0</v>
      </c>
      <c r="AE23" t="s">
        <v>645</v>
      </c>
      <c r="AF23" t="str">
        <f t="shared" si="5"/>
        <v>SIKAFLOOR EPOXY PIGMENT PACKBEIGE ROSE4 QT</v>
      </c>
      <c r="AG23" t="s">
        <v>570</v>
      </c>
      <c r="AH23" t="s">
        <v>690</v>
      </c>
      <c r="AI23" t="s">
        <v>552</v>
      </c>
      <c r="AJ23">
        <v>183.33</v>
      </c>
      <c r="AK23" t="s">
        <v>334</v>
      </c>
    </row>
    <row r="24" spans="2:37" ht="15" customHeight="1" x14ac:dyDescent="0.35">
      <c r="B24" s="268" t="str">
        <f t="shared" si="6"/>
        <v/>
      </c>
      <c r="C24" s="426"/>
      <c r="D24" s="422"/>
      <c r="E24" s="422" t="str">
        <f>IF(C24="","",IF(SIKAEPOXY[[#This Row],[PRODUCT]]=$Z$7,"10 GAL","4.5 GAL"))</f>
        <v/>
      </c>
      <c r="F24" s="406"/>
      <c r="G24" s="16">
        <f>IFERROR(VLOOKUP(B24,P!$X:$Z,3,FALSE),0)</f>
        <v>0</v>
      </c>
      <c r="H24" s="6"/>
      <c r="I24" s="45">
        <f>IF(SIKAEPOXY[[#This Row],[QUOTED RATE]]="",SIKAEPOXY[[#This Row],[UNIT RATE]]*SIKAEPOXY[[#This Row],[QTY]],SIKAEPOXY[[#This Row],[QUOTED RATE]]*SIKAEPOXY[[#This Row],[QTY]])</f>
        <v>0</v>
      </c>
      <c r="J24" s="78"/>
      <c r="L24" s="268" t="str">
        <f t="shared" si="7"/>
        <v/>
      </c>
      <c r="M24" s="426"/>
      <c r="N24" s="422"/>
      <c r="O24" s="422" t="str">
        <f t="shared" si="8"/>
        <v/>
      </c>
      <c r="P24" s="406"/>
      <c r="Q24" s="16">
        <f>IFERROR(VLOOKUP(L24,P!$X:$Z,3,FALSE),0)</f>
        <v>0</v>
      </c>
      <c r="R24" s="6"/>
      <c r="S24" s="45">
        <f>IF(SIKACOLOR[[#This Row],[QUOTED RATE]]="",SIKACOLOR[[#This Row],[UNIT RATE]]*SIKACOLOR[[#This Row],[QTY]],SIKACOLOR[[#This Row],[QUOTED RATE]]*SIKACOLOR[[#This Row],[QTY]])</f>
        <v>0</v>
      </c>
      <c r="AE24" t="s">
        <v>646</v>
      </c>
      <c r="AF24" t="str">
        <f t="shared" si="5"/>
        <v>SIKAFLOOR EPOXY PIGMENT PACKBEIGE4 QT</v>
      </c>
      <c r="AG24" t="s">
        <v>570</v>
      </c>
      <c r="AH24" t="s">
        <v>399</v>
      </c>
      <c r="AI24" t="s">
        <v>552</v>
      </c>
      <c r="AJ24">
        <v>183.33</v>
      </c>
      <c r="AK24" t="s">
        <v>334</v>
      </c>
    </row>
    <row r="25" spans="2:37" ht="15" customHeight="1" x14ac:dyDescent="0.35">
      <c r="B25" s="268" t="str">
        <f t="shared" si="6"/>
        <v/>
      </c>
      <c r="C25" s="426"/>
      <c r="D25" s="422"/>
      <c r="E25" s="422" t="str">
        <f>IF(C25="","",IF(SIKAEPOXY[[#This Row],[PRODUCT]]=$Z$7,"10 GAL","4.5 GAL"))</f>
        <v/>
      </c>
      <c r="F25" s="406"/>
      <c r="G25" s="16">
        <f>IFERROR(VLOOKUP(B25,P!$X:$Z,3,FALSE),0)</f>
        <v>0</v>
      </c>
      <c r="H25" s="6"/>
      <c r="I25" s="45">
        <f>IF(SIKAEPOXY[[#This Row],[QUOTED RATE]]="",SIKAEPOXY[[#This Row],[UNIT RATE]]*SIKAEPOXY[[#This Row],[QTY]],SIKAEPOXY[[#This Row],[QUOTED RATE]]*SIKAEPOXY[[#This Row],[QTY]])</f>
        <v>0</v>
      </c>
      <c r="J25" s="78"/>
      <c r="L25" s="268" t="str">
        <f t="shared" si="7"/>
        <v/>
      </c>
      <c r="M25" s="426"/>
      <c r="N25" s="422"/>
      <c r="O25" s="422" t="str">
        <f t="shared" si="8"/>
        <v/>
      </c>
      <c r="P25" s="406"/>
      <c r="Q25" s="16">
        <f>IFERROR(VLOOKUP(L25,P!$X:$Z,3,FALSE),0)</f>
        <v>0</v>
      </c>
      <c r="R25" s="6"/>
      <c r="S25" s="45">
        <f>IF(SIKACOLOR[[#This Row],[QUOTED RATE]]="",SIKACOLOR[[#This Row],[UNIT RATE]]*SIKACOLOR[[#This Row],[QTY]],SIKACOLOR[[#This Row],[QUOTED RATE]]*SIKACOLOR[[#This Row],[QTY]])</f>
        <v>0</v>
      </c>
      <c r="AE25" t="s">
        <v>647</v>
      </c>
      <c r="AF25" t="str">
        <f t="shared" si="5"/>
        <v>SIKAFLOOR EPOXY PIGMENT PACKRAFFIA BEIGE4 QT</v>
      </c>
      <c r="AG25" t="s">
        <v>570</v>
      </c>
      <c r="AH25" t="s">
        <v>691</v>
      </c>
      <c r="AI25" t="s">
        <v>552</v>
      </c>
      <c r="AJ25">
        <v>183.33</v>
      </c>
      <c r="AK25" t="s">
        <v>334</v>
      </c>
    </row>
    <row r="26" spans="2:37" ht="15" customHeight="1" x14ac:dyDescent="0.35">
      <c r="B26" s="268" t="str">
        <f t="shared" si="6"/>
        <v/>
      </c>
      <c r="C26" s="426"/>
      <c r="D26" s="422"/>
      <c r="E26" s="422" t="str">
        <f>IF(C26="","",IF(SIKAEPOXY[[#This Row],[PRODUCT]]=$Z$7,"10 GAL","4.5 GAL"))</f>
        <v/>
      </c>
      <c r="F26" s="406"/>
      <c r="G26" s="16">
        <f>IFERROR(VLOOKUP(B26,P!$X:$Z,3,FALSE),0)</f>
        <v>0</v>
      </c>
      <c r="H26" s="6"/>
      <c r="I26" s="45">
        <f>IF(SIKAEPOXY[[#This Row],[QUOTED RATE]]="",SIKAEPOXY[[#This Row],[UNIT RATE]]*SIKAEPOXY[[#This Row],[QTY]],SIKAEPOXY[[#This Row],[QUOTED RATE]]*SIKAEPOXY[[#This Row],[QTY]])</f>
        <v>0</v>
      </c>
      <c r="J26" s="78"/>
      <c r="L26" s="268" t="str">
        <f t="shared" si="7"/>
        <v/>
      </c>
      <c r="M26" s="426"/>
      <c r="N26" s="422"/>
      <c r="O26" s="422" t="str">
        <f t="shared" si="8"/>
        <v/>
      </c>
      <c r="P26" s="406"/>
      <c r="Q26" s="16">
        <f>IFERROR(VLOOKUP(L26,P!$X:$Z,3,FALSE),0)</f>
        <v>0</v>
      </c>
      <c r="R26" s="6"/>
      <c r="S26" s="45">
        <f>IF(SIKACOLOR[[#This Row],[QUOTED RATE]]="",SIKACOLOR[[#This Row],[UNIT RATE]]*SIKACOLOR[[#This Row],[QTY]],SIKACOLOR[[#This Row],[QUOTED RATE]]*SIKACOLOR[[#This Row],[QTY]])</f>
        <v>0</v>
      </c>
      <c r="AE26" t="s">
        <v>648</v>
      </c>
      <c r="AF26" t="str">
        <f t="shared" si="5"/>
        <v>SIKAFLOOR EPOXY PIGMENT PACKSILVER GRAY4 QT</v>
      </c>
      <c r="AG26" t="s">
        <v>570</v>
      </c>
      <c r="AH26" t="s">
        <v>321</v>
      </c>
      <c r="AI26" t="s">
        <v>552</v>
      </c>
      <c r="AJ26">
        <v>183.33</v>
      </c>
      <c r="AK26" t="s">
        <v>334</v>
      </c>
    </row>
    <row r="27" spans="2:37" ht="15" customHeight="1" thickBot="1" x14ac:dyDescent="0.4">
      <c r="B27" s="268" t="str">
        <f t="shared" si="6"/>
        <v/>
      </c>
      <c r="C27" s="427"/>
      <c r="D27" s="423"/>
      <c r="E27" s="423" t="str">
        <f>IF(C27="","",IF(SIKAEPOXY[[#This Row],[PRODUCT]]=$Z$7,"10 GAL","4.5 GAL"))</f>
        <v/>
      </c>
      <c r="F27" s="407"/>
      <c r="G27" s="43">
        <f>IFERROR(VLOOKUP(B27,P!$X:$Z,3,FALSE),0)</f>
        <v>0</v>
      </c>
      <c r="H27" s="42"/>
      <c r="I27" s="46">
        <f>IF(SIKAEPOXY[[#This Row],[QUOTED RATE]]="",SIKAEPOXY[[#This Row],[UNIT RATE]]*SIKAEPOXY[[#This Row],[QTY]],SIKAEPOXY[[#This Row],[QUOTED RATE]]*SIKAEPOXY[[#This Row],[QTY]])</f>
        <v>0</v>
      </c>
      <c r="J27" s="78"/>
      <c r="L27" s="268" t="str">
        <f t="shared" si="7"/>
        <v/>
      </c>
      <c r="M27" s="427"/>
      <c r="N27" s="423"/>
      <c r="O27" s="423" t="str">
        <f t="shared" si="8"/>
        <v/>
      </c>
      <c r="P27" s="407"/>
      <c r="Q27" s="43">
        <f>IFERROR(VLOOKUP(L27,P!$X:$Z,3,FALSE),0)</f>
        <v>0</v>
      </c>
      <c r="R27" s="42"/>
      <c r="S27" s="46">
        <f>IF(SIKACOLOR[[#This Row],[QUOTED RATE]]="",SIKACOLOR[[#This Row],[UNIT RATE]]*SIKACOLOR[[#This Row],[QTY]],SIKACOLOR[[#This Row],[QUOTED RATE]]*SIKACOLOR[[#This Row],[QTY]])</f>
        <v>0</v>
      </c>
      <c r="AE27" t="s">
        <v>649</v>
      </c>
      <c r="AF27" t="str">
        <f t="shared" si="5"/>
        <v>SIKAFLOOR EPOXY PIGMENT PACKBASALT GRAY4 QT</v>
      </c>
      <c r="AG27" t="s">
        <v>570</v>
      </c>
      <c r="AH27" t="s">
        <v>694</v>
      </c>
      <c r="AI27" t="s">
        <v>552</v>
      </c>
      <c r="AJ27">
        <v>183.33</v>
      </c>
      <c r="AK27" t="s">
        <v>334</v>
      </c>
    </row>
    <row r="28" spans="2:37" ht="15" customHeight="1" thickTop="1" thickBot="1" x14ac:dyDescent="0.4">
      <c r="B28" s="271" t="s">
        <v>16</v>
      </c>
      <c r="C28" s="251" t="s">
        <v>16</v>
      </c>
      <c r="D28" s="228"/>
      <c r="E28" s="228"/>
      <c r="F28" s="252"/>
      <c r="G28" s="253"/>
      <c r="H28" s="253"/>
      <c r="I28" s="229">
        <f>SUBTOTAL(109,SIKAEPOXY[EXTENSION])</f>
        <v>0</v>
      </c>
      <c r="J28" s="78"/>
      <c r="L28" s="271" t="s">
        <v>16</v>
      </c>
      <c r="M28" s="251" t="s">
        <v>16</v>
      </c>
      <c r="N28" s="228"/>
      <c r="O28" s="228"/>
      <c r="P28" s="252"/>
      <c r="Q28" s="253"/>
      <c r="R28" s="253"/>
      <c r="S28" s="229">
        <f>SUBTOTAL(109,SIKACOLOR[EXTENSION])</f>
        <v>0</v>
      </c>
      <c r="AE28" t="s">
        <v>650</v>
      </c>
      <c r="AF28" t="str">
        <f t="shared" si="5"/>
        <v>SIKAFLOOR EPOXY PIGMENT PACKSIGNAL YELLOW4 QT</v>
      </c>
      <c r="AG28" t="s">
        <v>570</v>
      </c>
      <c r="AH28" t="s">
        <v>697</v>
      </c>
      <c r="AI28" t="s">
        <v>552</v>
      </c>
      <c r="AJ28">
        <v>183.33</v>
      </c>
      <c r="AK28" t="s">
        <v>334</v>
      </c>
    </row>
    <row r="29" spans="2:37" ht="7.5" customHeight="1" thickBot="1" x14ac:dyDescent="0.4">
      <c r="J29" s="78"/>
      <c r="Z29" t="s">
        <v>558</v>
      </c>
      <c r="AE29" t="s">
        <v>652</v>
      </c>
      <c r="AF29" t="str">
        <f t="shared" si="5"/>
        <v>SIKAFLOOR EPOXY PIGMENT PACKTRAFFIC RED4 QT</v>
      </c>
      <c r="AG29" t="s">
        <v>570</v>
      </c>
      <c r="AH29" t="s">
        <v>699</v>
      </c>
      <c r="AI29" t="s">
        <v>552</v>
      </c>
      <c r="AJ29">
        <v>183.33</v>
      </c>
      <c r="AK29" t="s">
        <v>334</v>
      </c>
    </row>
    <row r="30" spans="2:37" ht="19.5" customHeight="1" thickBot="1" x14ac:dyDescent="0.5">
      <c r="B30" s="312" t="s">
        <v>467</v>
      </c>
      <c r="C30" s="812" t="s">
        <v>467</v>
      </c>
      <c r="D30" s="813"/>
      <c r="E30" s="813"/>
      <c r="F30" s="813"/>
      <c r="G30" s="813"/>
      <c r="H30" s="813"/>
      <c r="I30" s="814"/>
      <c r="J30" s="78"/>
      <c r="L30" s="312" t="s">
        <v>893</v>
      </c>
      <c r="M30" s="812" t="s">
        <v>893</v>
      </c>
      <c r="N30" s="813"/>
      <c r="O30" s="813"/>
      <c r="P30" s="813"/>
      <c r="Q30" s="813"/>
      <c r="R30" s="813"/>
      <c r="S30" s="814"/>
      <c r="Z30" t="s">
        <v>559</v>
      </c>
      <c r="AE30" t="s">
        <v>653</v>
      </c>
      <c r="AF30" t="str">
        <f t="shared" si="5"/>
        <v>SIKAFLOOR EPOXY PIGMENT PACKJET BLACK4 QT</v>
      </c>
      <c r="AG30" t="s">
        <v>570</v>
      </c>
      <c r="AH30" t="s">
        <v>701</v>
      </c>
      <c r="AI30" t="s">
        <v>552</v>
      </c>
      <c r="AJ30">
        <v>183.33</v>
      </c>
      <c r="AK30" t="s">
        <v>334</v>
      </c>
    </row>
    <row r="31" spans="2:37" ht="15" customHeight="1" thickBot="1" x14ac:dyDescent="0.4">
      <c r="B31" s="267" t="s">
        <v>185</v>
      </c>
      <c r="C31" s="261" t="s">
        <v>181</v>
      </c>
      <c r="D31" s="262" t="s">
        <v>334</v>
      </c>
      <c r="E31" s="262" t="s">
        <v>182</v>
      </c>
      <c r="F31" s="313" t="s">
        <v>183</v>
      </c>
      <c r="G31" s="79" t="s">
        <v>184</v>
      </c>
      <c r="H31" s="77" t="s">
        <v>196</v>
      </c>
      <c r="I31" s="214" t="s">
        <v>156</v>
      </c>
      <c r="J31" s="78"/>
      <c r="L31" s="267" t="s">
        <v>185</v>
      </c>
      <c r="M31" s="261" t="s">
        <v>181</v>
      </c>
      <c r="N31" s="262" t="s">
        <v>334</v>
      </c>
      <c r="O31" s="262" t="s">
        <v>182</v>
      </c>
      <c r="P31" s="313" t="s">
        <v>183</v>
      </c>
      <c r="Q31" s="79" t="s">
        <v>184</v>
      </c>
      <c r="R31" s="77" t="s">
        <v>196</v>
      </c>
      <c r="S31" s="214" t="s">
        <v>156</v>
      </c>
      <c r="Z31" t="s">
        <v>569</v>
      </c>
      <c r="AE31" t="s">
        <v>654</v>
      </c>
      <c r="AF31" t="str">
        <f t="shared" si="5"/>
        <v>SIKAFLOOR EPOXY PIGMENT PACKRAFFIC BLUE4 QT</v>
      </c>
      <c r="AG31" t="s">
        <v>570</v>
      </c>
      <c r="AH31" t="s">
        <v>712</v>
      </c>
      <c r="AI31" t="s">
        <v>552</v>
      </c>
      <c r="AJ31">
        <v>183.33</v>
      </c>
      <c r="AK31" t="s">
        <v>334</v>
      </c>
    </row>
    <row r="32" spans="2:37" ht="15" customHeight="1" x14ac:dyDescent="0.35">
      <c r="B32" s="268" t="str">
        <f t="shared" ref="B32:B40" si="9">IFERROR(IF(C32="","",_xlfn.XLOOKUP(_xlfn.CONCAT(C32:E32),$AF:$AF,$AE:$AE,"UNAVAILABLE")),"UNAVAILABLE")</f>
        <v>516274</v>
      </c>
      <c r="C32" s="426" t="s">
        <v>558</v>
      </c>
      <c r="D32" s="425" t="str">
        <f>IF(SIKAPOLY[[#This Row],[PRODUCT]]="","","N/A")</f>
        <v>N/A</v>
      </c>
      <c r="E32" s="422" t="s">
        <v>548</v>
      </c>
      <c r="F32" s="405"/>
      <c r="G32" s="16">
        <f>IFERROR(VLOOKUP(B32,P!$X:$Z,3,FALSE),0)</f>
        <v>830.73</v>
      </c>
      <c r="H32" s="205"/>
      <c r="I32" s="44">
        <f>IF(SIKAPOLY[[#This Row],[QUOTED RATE]]="",SIKAPOLY[[#This Row],[UNIT RATE]]*SIKAPOLY[[#This Row],[QTY]],SIKAPOLY[[#This Row],[QUOTED RATE]]*SIKAPOLY[[#This Row],[QTY]])</f>
        <v>0</v>
      </c>
      <c r="J32" s="78"/>
      <c r="L32" s="268" t="str">
        <f t="shared" ref="L32:L40" si="10">IFERROR(IF(M32="","",_xlfn.XLOOKUP(_xlfn.CONCAT(M32:O32),$AF:$AF,$AE:$AE,"UNAVAILABLE")),"UNAVAILABLE")</f>
        <v>465670</v>
      </c>
      <c r="M32" s="426" t="s">
        <v>572</v>
      </c>
      <c r="N32" s="425" t="str">
        <f>IF(SIKAAGG[[#This Row],[PRODUCT]]="","","N/A")</f>
        <v>N/A</v>
      </c>
      <c r="O32" s="422" t="str">
        <f>IF(M32="","","50LB")</f>
        <v>50LB</v>
      </c>
      <c r="P32" s="405"/>
      <c r="Q32" s="16">
        <f>IFERROR(VLOOKUP(L32,P!$X:$Z,3,FALSE),0)</f>
        <v>15.04</v>
      </c>
      <c r="R32" s="5"/>
      <c r="S32" s="44">
        <f>IF(SIKAAGG[[#This Row],[QUOTED RATE]]="",SIKAAGG[[#This Row],[UNIT RATE]]*SIKAAGG[[#This Row],[QTY]],SIKAAGG[[#This Row],[QUOTED RATE]]*SIKAAGG[[#This Row],[QTY]])</f>
        <v>0</v>
      </c>
      <c r="AE32" t="s">
        <v>655</v>
      </c>
      <c r="AF32" t="str">
        <f t="shared" si="5"/>
        <v>SIKAFLOOR EPOXY PIGMENT PACKSIGNAL WHITE4 QT</v>
      </c>
      <c r="AG32" t="s">
        <v>570</v>
      </c>
      <c r="AH32" t="s">
        <v>700</v>
      </c>
      <c r="AI32" t="s">
        <v>552</v>
      </c>
      <c r="AJ32">
        <v>183.33</v>
      </c>
      <c r="AK32" t="s">
        <v>334</v>
      </c>
    </row>
    <row r="33" spans="2:37" ht="15" customHeight="1" x14ac:dyDescent="0.35">
      <c r="B33" s="268" t="str">
        <f t="shared" si="9"/>
        <v>436246</v>
      </c>
      <c r="C33" s="426" t="s">
        <v>559</v>
      </c>
      <c r="D33" s="422" t="str">
        <f>IF(SIKAPOLY[[#This Row],[PRODUCT]]="","","N/A")</f>
        <v>N/A</v>
      </c>
      <c r="E33" s="422" t="s">
        <v>549</v>
      </c>
      <c r="F33" s="406"/>
      <c r="G33" s="16">
        <f>IFERROR(VLOOKUP(B33,P!$X:$Z,3,FALSE),0)</f>
        <v>934.96</v>
      </c>
      <c r="H33" s="206"/>
      <c r="I33" s="45">
        <f>IF(SIKAPOLY[[#This Row],[QUOTED RATE]]="",SIKAPOLY[[#This Row],[UNIT RATE]]*SIKAPOLY[[#This Row],[QTY]],SIKAPOLY[[#This Row],[QUOTED RATE]]*SIKAPOLY[[#This Row],[QTY]])</f>
        <v>0</v>
      </c>
      <c r="J33" s="78"/>
      <c r="L33" s="268" t="str">
        <f t="shared" si="10"/>
        <v>465609</v>
      </c>
      <c r="M33" s="426" t="s">
        <v>573</v>
      </c>
      <c r="N33" s="422" t="str">
        <f>IF(SIKAAGG[[#This Row],[PRODUCT]]="","","N/A")</f>
        <v>N/A</v>
      </c>
      <c r="O33" s="422" t="str">
        <f t="shared" ref="O33:O40" si="11">IF(M33="","","50LB")</f>
        <v>50LB</v>
      </c>
      <c r="P33" s="406"/>
      <c r="Q33" s="16">
        <f>IFERROR(VLOOKUP(L33,P!$X:$Z,3,FALSE),0)</f>
        <v>21.14</v>
      </c>
      <c r="R33" s="6"/>
      <c r="S33" s="45">
        <f>IF(SIKAAGG[[#This Row],[QUOTED RATE]]="",SIKAAGG[[#This Row],[UNIT RATE]]*SIKAAGG[[#This Row],[QTY]],SIKAAGG[[#This Row],[QUOTED RATE]]*SIKAAGG[[#This Row],[QTY]])</f>
        <v>0</v>
      </c>
      <c r="AE33" t="s">
        <v>656</v>
      </c>
      <c r="AF33" t="str">
        <f t="shared" si="5"/>
        <v>SIKAFLOOR EPOXY PIGMENT PACKPALE GREEN4 QT</v>
      </c>
      <c r="AG33" t="s">
        <v>570</v>
      </c>
      <c r="AH33" t="s">
        <v>696</v>
      </c>
      <c r="AI33" t="s">
        <v>552</v>
      </c>
      <c r="AJ33">
        <v>183.33</v>
      </c>
      <c r="AK33" t="s">
        <v>334</v>
      </c>
    </row>
    <row r="34" spans="2:37" ht="15" customHeight="1" x14ac:dyDescent="0.35">
      <c r="B34" s="268" t="str">
        <f t="shared" si="9"/>
        <v>468852</v>
      </c>
      <c r="C34" s="426" t="s">
        <v>569</v>
      </c>
      <c r="D34" s="422" t="str">
        <f>IF(SIKAPOLY[[#This Row],[PRODUCT]]="","","N/A")</f>
        <v>N/A</v>
      </c>
      <c r="E34" s="422" t="s">
        <v>397</v>
      </c>
      <c r="F34" s="406"/>
      <c r="G34" s="16">
        <f>IFERROR(VLOOKUP(B34,P!$X:$Z,3,FALSE),0)</f>
        <v>202.41</v>
      </c>
      <c r="H34" s="206"/>
      <c r="I34" s="45">
        <f>IF(SIKAPOLY[[#This Row],[QUOTED RATE]]="",SIKAPOLY[[#This Row],[UNIT RATE]]*SIKAPOLY[[#This Row],[QTY]],SIKAPOLY[[#This Row],[QUOTED RATE]]*SIKAPOLY[[#This Row],[QTY]])</f>
        <v>0</v>
      </c>
      <c r="J34" s="78"/>
      <c r="L34" s="268" t="str">
        <f t="shared" si="10"/>
        <v>91336</v>
      </c>
      <c r="M34" s="426" t="s">
        <v>553</v>
      </c>
      <c r="N34" s="422" t="str">
        <f>IF(SIKAAGG[[#This Row],[PRODUCT]]="","","N/A")</f>
        <v>N/A</v>
      </c>
      <c r="O34" s="422" t="str">
        <f t="shared" si="11"/>
        <v>50LB</v>
      </c>
      <c r="P34" s="406"/>
      <c r="Q34" s="16">
        <f>IFERROR(VLOOKUP(L34,P!$X:$Z,3,FALSE),0)</f>
        <v>28.31</v>
      </c>
      <c r="R34" s="6"/>
      <c r="S34" s="45">
        <f>IF(SIKAAGG[[#This Row],[QUOTED RATE]]="",SIKAAGG[[#This Row],[UNIT RATE]]*SIKAAGG[[#This Row],[QTY]],SIKAAGG[[#This Row],[QUOTED RATE]]*SIKAAGG[[#This Row],[QTY]])</f>
        <v>0</v>
      </c>
      <c r="AE34" t="s">
        <v>657</v>
      </c>
      <c r="AF34" t="str">
        <f t="shared" si="5"/>
        <v>SIKAFLOOR EPOXY PIGMENT PACKWINDOW GRAY4 QT</v>
      </c>
      <c r="AG34" t="s">
        <v>570</v>
      </c>
      <c r="AH34" t="s">
        <v>688</v>
      </c>
      <c r="AI34" t="s">
        <v>552</v>
      </c>
      <c r="AJ34">
        <v>183.33</v>
      </c>
      <c r="AK34" t="s">
        <v>334</v>
      </c>
    </row>
    <row r="35" spans="2:37" ht="15" customHeight="1" x14ac:dyDescent="0.35">
      <c r="B35" s="268" t="str">
        <f t="shared" si="9"/>
        <v/>
      </c>
      <c r="C35" s="426"/>
      <c r="D35" s="422" t="str">
        <f>IF(SIKAPOLY[[#This Row],[PRODUCT]]="","","N/A")</f>
        <v/>
      </c>
      <c r="E35" s="422"/>
      <c r="F35" s="406"/>
      <c r="G35" s="16">
        <f>IFERROR(VLOOKUP(B35,P!$X:$Z,3,FALSE),0)</f>
        <v>0</v>
      </c>
      <c r="H35" s="206"/>
      <c r="I35" s="45">
        <f>IF(SIKAPOLY[[#This Row],[QUOTED RATE]]="",SIKAPOLY[[#This Row],[UNIT RATE]]*SIKAPOLY[[#This Row],[QTY]],SIKAPOLY[[#This Row],[QUOTED RATE]]*SIKAPOLY[[#This Row],[QTY]])</f>
        <v>0</v>
      </c>
      <c r="J35" s="78"/>
      <c r="L35" s="268" t="str">
        <f t="shared" si="10"/>
        <v/>
      </c>
      <c r="M35" s="426"/>
      <c r="N35" s="422" t="str">
        <f>IF(SIKAAGG[[#This Row],[PRODUCT]]="","","N/A")</f>
        <v/>
      </c>
      <c r="O35" s="422" t="str">
        <f t="shared" si="11"/>
        <v/>
      </c>
      <c r="P35" s="406"/>
      <c r="Q35" s="16">
        <f>IFERROR(VLOOKUP(L35,P!$X:$Z,3,FALSE),0)</f>
        <v>0</v>
      </c>
      <c r="R35" s="6"/>
      <c r="S35" s="45">
        <f>IF(SIKAAGG[[#This Row],[QUOTED RATE]]="",SIKAAGG[[#This Row],[UNIT RATE]]*SIKAAGG[[#This Row],[QTY]],SIKAAGG[[#This Row],[QUOTED RATE]]*SIKAAGG[[#This Row],[QTY]])</f>
        <v>0</v>
      </c>
      <c r="AE35" t="s">
        <v>658</v>
      </c>
      <c r="AF35" t="str">
        <f t="shared" si="5"/>
        <v>SIKAFLOOR EPOXY PIGMENT PACKOXIDE RED4 QT</v>
      </c>
      <c r="AG35" t="s">
        <v>570</v>
      </c>
      <c r="AH35" t="s">
        <v>698</v>
      </c>
      <c r="AI35" t="s">
        <v>552</v>
      </c>
      <c r="AJ35">
        <v>183.33</v>
      </c>
      <c r="AK35" t="s">
        <v>334</v>
      </c>
    </row>
    <row r="36" spans="2:37" ht="15" customHeight="1" x14ac:dyDescent="0.35">
      <c r="B36" s="268" t="str">
        <f t="shared" si="9"/>
        <v/>
      </c>
      <c r="C36" s="426"/>
      <c r="D36" s="422" t="str">
        <f>IF(SIKAPOLY[[#This Row],[PRODUCT]]="","","N/A")</f>
        <v/>
      </c>
      <c r="E36" s="422"/>
      <c r="F36" s="406"/>
      <c r="G36" s="16">
        <f>IFERROR(VLOOKUP(B36,P!$X:$Z,3,FALSE),0)</f>
        <v>0</v>
      </c>
      <c r="H36" s="206"/>
      <c r="I36" s="45">
        <f>IF(SIKAPOLY[[#This Row],[QUOTED RATE]]="",SIKAPOLY[[#This Row],[UNIT RATE]]*SIKAPOLY[[#This Row],[QTY]],SIKAPOLY[[#This Row],[QUOTED RATE]]*SIKAPOLY[[#This Row],[QTY]])</f>
        <v>0</v>
      </c>
      <c r="J36" s="78"/>
      <c r="L36" s="268" t="str">
        <f t="shared" si="10"/>
        <v/>
      </c>
      <c r="M36" s="426"/>
      <c r="N36" s="422" t="str">
        <f>IF(SIKAAGG[[#This Row],[PRODUCT]]="","","N/A")</f>
        <v/>
      </c>
      <c r="O36" s="422" t="str">
        <f t="shared" si="11"/>
        <v/>
      </c>
      <c r="P36" s="406"/>
      <c r="Q36" s="16">
        <f>IFERROR(VLOOKUP(L36,P!$X:$Z,3,FALSE),0)</f>
        <v>0</v>
      </c>
      <c r="R36" s="6"/>
      <c r="S36" s="45">
        <f>IF(SIKAAGG[[#This Row],[QUOTED RATE]]="",SIKAAGG[[#This Row],[UNIT RATE]]*SIKAAGG[[#This Row],[QTY]],SIKAAGG[[#This Row],[QUOTED RATE]]*SIKAAGG[[#This Row],[QTY]])</f>
        <v>0</v>
      </c>
      <c r="AE36" t="s">
        <v>659</v>
      </c>
      <c r="AF36" t="str">
        <f t="shared" si="5"/>
        <v>SIKAFLOOR EPOXY PIGMENT PACKLIGHT GRAY4 QT</v>
      </c>
      <c r="AG36" t="s">
        <v>570</v>
      </c>
      <c r="AH36" t="s">
        <v>384</v>
      </c>
      <c r="AI36" t="s">
        <v>552</v>
      </c>
      <c r="AJ36">
        <v>183.33</v>
      </c>
      <c r="AK36" t="s">
        <v>334</v>
      </c>
    </row>
    <row r="37" spans="2:37" ht="15" customHeight="1" x14ac:dyDescent="0.35">
      <c r="B37" s="268" t="str">
        <f t="shared" si="9"/>
        <v/>
      </c>
      <c r="C37" s="426"/>
      <c r="D37" s="422" t="str">
        <f>IF(SIKAPOLY[[#This Row],[PRODUCT]]="","","N/A")</f>
        <v/>
      </c>
      <c r="E37" s="422"/>
      <c r="F37" s="406"/>
      <c r="G37" s="16">
        <f>IFERROR(VLOOKUP(B37,P!$X:$Z,3,FALSE),0)</f>
        <v>0</v>
      </c>
      <c r="H37" s="206"/>
      <c r="I37" s="45">
        <f>IF(SIKAPOLY[[#This Row],[QUOTED RATE]]="",SIKAPOLY[[#This Row],[UNIT RATE]]*SIKAPOLY[[#This Row],[QTY]],SIKAPOLY[[#This Row],[QUOTED RATE]]*SIKAPOLY[[#This Row],[QTY]])</f>
        <v>0</v>
      </c>
      <c r="J37" s="78"/>
      <c r="L37" s="268" t="str">
        <f t="shared" si="10"/>
        <v/>
      </c>
      <c r="M37" s="426"/>
      <c r="N37" s="422" t="str">
        <f>IF(SIKAAGG[[#This Row],[PRODUCT]]="","","N/A")</f>
        <v/>
      </c>
      <c r="O37" s="422" t="str">
        <f t="shared" si="11"/>
        <v/>
      </c>
      <c r="P37" s="406"/>
      <c r="Q37" s="16">
        <f>IFERROR(VLOOKUP(L37,P!$X:$Z,3,FALSE),0)</f>
        <v>0</v>
      </c>
      <c r="R37" s="6"/>
      <c r="S37" s="45">
        <f>IF(SIKAAGG[[#This Row],[QUOTED RATE]]="",SIKAAGG[[#This Row],[UNIT RATE]]*SIKAAGG[[#This Row],[QTY]],SIKAAGG[[#This Row],[QUOTED RATE]]*SIKAAGG[[#This Row],[QTY]])</f>
        <v>0</v>
      </c>
      <c r="AE37" t="s">
        <v>660</v>
      </c>
      <c r="AF37" t="str">
        <f t="shared" si="5"/>
        <v>SIKAFLOOR EPOXY PIGMENT PACKTRAFFIC GRAY4 QT</v>
      </c>
      <c r="AG37" t="s">
        <v>570</v>
      </c>
      <c r="AH37" t="s">
        <v>689</v>
      </c>
      <c r="AI37" t="s">
        <v>552</v>
      </c>
      <c r="AJ37">
        <v>183.33</v>
      </c>
      <c r="AK37" t="s">
        <v>334</v>
      </c>
    </row>
    <row r="38" spans="2:37" ht="15" customHeight="1" x14ac:dyDescent="0.35">
      <c r="B38" s="268" t="str">
        <f t="shared" si="9"/>
        <v/>
      </c>
      <c r="C38" s="426"/>
      <c r="D38" s="422" t="str">
        <f>IF(SIKAPOLY[[#This Row],[PRODUCT]]="","","N/A")</f>
        <v/>
      </c>
      <c r="E38" s="422"/>
      <c r="F38" s="406"/>
      <c r="G38" s="16">
        <f>IFERROR(VLOOKUP(B38,P!$X:$Z,3,FALSE),0)</f>
        <v>0</v>
      </c>
      <c r="H38" s="206"/>
      <c r="I38" s="45">
        <f>IF(SIKAPOLY[[#This Row],[QUOTED RATE]]="",SIKAPOLY[[#This Row],[UNIT RATE]]*SIKAPOLY[[#This Row],[QTY]],SIKAPOLY[[#This Row],[QUOTED RATE]]*SIKAPOLY[[#This Row],[QTY]])</f>
        <v>0</v>
      </c>
      <c r="J38" s="78"/>
      <c r="L38" s="268" t="str">
        <f t="shared" si="10"/>
        <v/>
      </c>
      <c r="M38" s="426"/>
      <c r="N38" s="422" t="str">
        <f>IF(SIKAAGG[[#This Row],[PRODUCT]]="","","N/A")</f>
        <v/>
      </c>
      <c r="O38" s="422" t="str">
        <f t="shared" si="11"/>
        <v/>
      </c>
      <c r="P38" s="406"/>
      <c r="Q38" s="16">
        <f>IFERROR(VLOOKUP(L38,P!$X:$Z,3,FALSE),0)</f>
        <v>0</v>
      </c>
      <c r="R38" s="6"/>
      <c r="S38" s="45">
        <f>IF(SIKAAGG[[#This Row],[QUOTED RATE]]="",SIKAAGG[[#This Row],[UNIT RATE]]*SIKAAGG[[#This Row],[QTY]],SIKAAGG[[#This Row],[QUOTED RATE]]*SIKAAGG[[#This Row],[QTY]])</f>
        <v>0</v>
      </c>
      <c r="AE38" t="s">
        <v>661</v>
      </c>
      <c r="AF38" t="str">
        <f t="shared" si="5"/>
        <v>SIKAFLOOR EPOXY PIGMENT PACKTAN 2514 QT</v>
      </c>
      <c r="AG38" t="s">
        <v>570</v>
      </c>
      <c r="AH38" t="s">
        <v>692</v>
      </c>
      <c r="AI38" t="s">
        <v>552</v>
      </c>
      <c r="AJ38">
        <v>183.33</v>
      </c>
      <c r="AK38" t="s">
        <v>334</v>
      </c>
    </row>
    <row r="39" spans="2:37" ht="15" customHeight="1" x14ac:dyDescent="0.35">
      <c r="B39" s="268" t="str">
        <f t="shared" si="9"/>
        <v/>
      </c>
      <c r="C39" s="426"/>
      <c r="D39" s="422" t="str">
        <f>IF(SIKAPOLY[[#This Row],[PRODUCT]]="","","N/A")</f>
        <v/>
      </c>
      <c r="E39" s="422"/>
      <c r="F39" s="406"/>
      <c r="G39" s="16">
        <f>IFERROR(VLOOKUP(B39,P!$X:$Z,3,FALSE),0)</f>
        <v>0</v>
      </c>
      <c r="H39" s="206"/>
      <c r="I39" s="45">
        <f>IF(SIKAPOLY[[#This Row],[QUOTED RATE]]="",SIKAPOLY[[#This Row],[UNIT RATE]]*SIKAPOLY[[#This Row],[QTY]],SIKAPOLY[[#This Row],[QUOTED RATE]]*SIKAPOLY[[#This Row],[QTY]])</f>
        <v>0</v>
      </c>
      <c r="J39" s="78"/>
      <c r="L39" s="268" t="str">
        <f t="shared" si="10"/>
        <v/>
      </c>
      <c r="M39" s="426"/>
      <c r="N39" s="422" t="str">
        <f>IF(SIKAAGG[[#This Row],[PRODUCT]]="","","N/A")</f>
        <v/>
      </c>
      <c r="O39" s="422" t="str">
        <f t="shared" si="11"/>
        <v/>
      </c>
      <c r="P39" s="406"/>
      <c r="Q39" s="16">
        <f>IFERROR(VLOOKUP(L39,P!$X:$Z,3,FALSE),0)</f>
        <v>0</v>
      </c>
      <c r="R39" s="6"/>
      <c r="S39" s="45">
        <f>IF(SIKAAGG[[#This Row],[QUOTED RATE]]="",SIKAAGG[[#This Row],[UNIT RATE]]*SIKAAGG[[#This Row],[QTY]],SIKAAGG[[#This Row],[QUOTED RATE]]*SIKAAGG[[#This Row],[QTY]])</f>
        <v>0</v>
      </c>
      <c r="AE39" t="s">
        <v>662</v>
      </c>
      <c r="AF39" t="str">
        <f t="shared" si="5"/>
        <v>SIKAFLOOR EPOXY PIGMENT PACKGRAY BEIGE4 QT</v>
      </c>
      <c r="AG39" t="s">
        <v>570</v>
      </c>
      <c r="AH39" t="s">
        <v>693</v>
      </c>
      <c r="AI39" t="s">
        <v>552</v>
      </c>
      <c r="AJ39">
        <v>183.33</v>
      </c>
      <c r="AK39" t="s">
        <v>334</v>
      </c>
    </row>
    <row r="40" spans="2:37" ht="15" customHeight="1" thickBot="1" x14ac:dyDescent="0.4">
      <c r="B40" s="268" t="str">
        <f t="shared" si="9"/>
        <v/>
      </c>
      <c r="C40" s="427"/>
      <c r="D40" s="423" t="str">
        <f>IF(SIKAPOLY[[#This Row],[PRODUCT]]="","","N/A")</f>
        <v/>
      </c>
      <c r="E40" s="423"/>
      <c r="F40" s="407"/>
      <c r="G40" s="43">
        <f>IFERROR(VLOOKUP(B40,P!$X:$Z,3,FALSE),0)</f>
        <v>0</v>
      </c>
      <c r="H40" s="207"/>
      <c r="I40" s="46">
        <f>IF(SIKAPOLY[[#This Row],[QUOTED RATE]]="",SIKAPOLY[[#This Row],[UNIT RATE]]*SIKAPOLY[[#This Row],[QTY]],SIKAPOLY[[#This Row],[QUOTED RATE]]*SIKAPOLY[[#This Row],[QTY]])</f>
        <v>0</v>
      </c>
      <c r="J40" s="78"/>
      <c r="L40" s="268" t="str">
        <f t="shared" si="10"/>
        <v/>
      </c>
      <c r="M40" s="427"/>
      <c r="N40" s="423" t="str">
        <f>IF(SIKAAGG[[#This Row],[PRODUCT]]="","","N/A")</f>
        <v/>
      </c>
      <c r="O40" s="423" t="str">
        <f t="shared" si="11"/>
        <v/>
      </c>
      <c r="P40" s="407"/>
      <c r="Q40" s="43">
        <f>IFERROR(VLOOKUP(L40,P!$X:$Z,3,FALSE),0)</f>
        <v>0</v>
      </c>
      <c r="R40" s="42"/>
      <c r="S40" s="46">
        <f>IF(SIKAAGG[[#This Row],[QUOTED RATE]]="",SIKAAGG[[#This Row],[UNIT RATE]]*SIKAAGG[[#This Row],[QTY]],SIKAAGG[[#This Row],[QUOTED RATE]]*SIKAAGG[[#This Row],[QTY]])</f>
        <v>0</v>
      </c>
      <c r="AE40" t="s">
        <v>663</v>
      </c>
      <c r="AF40" t="str">
        <f t="shared" si="5"/>
        <v>SIKAFLOOR EPOXY PIGMENT PACKCUSTOM COLOR4 QT</v>
      </c>
      <c r="AG40" t="s">
        <v>570</v>
      </c>
      <c r="AH40" t="s">
        <v>713</v>
      </c>
      <c r="AI40" t="s">
        <v>552</v>
      </c>
      <c r="AJ40">
        <v>218.35</v>
      </c>
      <c r="AK40" t="s">
        <v>334</v>
      </c>
    </row>
    <row r="41" spans="2:37" ht="15" customHeight="1" thickTop="1" thickBot="1" x14ac:dyDescent="0.4">
      <c r="B41" s="271" t="s">
        <v>16</v>
      </c>
      <c r="C41" s="251" t="s">
        <v>16</v>
      </c>
      <c r="D41" s="228"/>
      <c r="E41" s="228"/>
      <c r="F41" s="252"/>
      <c r="G41" s="253"/>
      <c r="H41" s="253"/>
      <c r="I41" s="229">
        <f>SUBTOTAL(109,SIKAPOLY[EXTENSION])</f>
        <v>0</v>
      </c>
      <c r="J41" s="78"/>
      <c r="L41" s="271" t="s">
        <v>16</v>
      </c>
      <c r="M41" s="251" t="s">
        <v>16</v>
      </c>
      <c r="N41" s="228"/>
      <c r="O41" s="228"/>
      <c r="P41" s="252"/>
      <c r="Q41" s="253"/>
      <c r="R41" s="253"/>
      <c r="S41" s="229">
        <f>SUBTOTAL(109,SIKAAGG[EXTENSION])</f>
        <v>0</v>
      </c>
      <c r="AE41" t="s">
        <v>664</v>
      </c>
      <c r="AF41" t="str">
        <f t="shared" ref="AF41:AF71" si="12">_xlfn.CONCAT(AG41:AI41)</f>
        <v>SIKAFLOOR URETHANE PIGMENT PACKBEIGE ROSE4 QT</v>
      </c>
      <c r="AG41" t="s">
        <v>571</v>
      </c>
      <c r="AH41" t="s">
        <v>690</v>
      </c>
      <c r="AI41" t="s">
        <v>552</v>
      </c>
      <c r="AJ41">
        <v>154</v>
      </c>
      <c r="AK41" t="s">
        <v>334</v>
      </c>
    </row>
    <row r="42" spans="2:37" ht="7.5" customHeight="1" thickBot="1" x14ac:dyDescent="0.4">
      <c r="J42" s="78"/>
      <c r="AE42" t="s">
        <v>666</v>
      </c>
      <c r="AF42" t="str">
        <f t="shared" si="12"/>
        <v>SIKAFLOOR URETHANE PIGMENT PACKRAFFIA BEIGE4 QT</v>
      </c>
      <c r="AG42" t="s">
        <v>571</v>
      </c>
      <c r="AH42" t="s">
        <v>691</v>
      </c>
      <c r="AI42" t="s">
        <v>552</v>
      </c>
      <c r="AJ42">
        <v>154</v>
      </c>
      <c r="AK42" t="s">
        <v>334</v>
      </c>
    </row>
    <row r="43" spans="2:37" ht="19.5" customHeight="1" thickBot="1" x14ac:dyDescent="0.5">
      <c r="B43" s="255"/>
      <c r="C43" s="812" t="s">
        <v>436</v>
      </c>
      <c r="D43" s="813"/>
      <c r="E43" s="813"/>
      <c r="F43" s="813"/>
      <c r="G43" s="813"/>
      <c r="H43" s="813"/>
      <c r="I43" s="814"/>
      <c r="J43" s="78"/>
      <c r="M43" s="812" t="s">
        <v>437</v>
      </c>
      <c r="N43" s="813"/>
      <c r="O43" s="813"/>
      <c r="P43" s="813"/>
      <c r="Q43" s="813"/>
      <c r="R43" s="813"/>
      <c r="S43" s="814"/>
      <c r="T43" s="258"/>
      <c r="Z43" t="s">
        <v>526</v>
      </c>
      <c r="AE43" t="s">
        <v>667</v>
      </c>
      <c r="AF43" t="str">
        <f t="shared" si="12"/>
        <v>SIKAFLOOR URETHANE PIGMENT PACKSILVER GRAY4 QT</v>
      </c>
      <c r="AG43" t="s">
        <v>571</v>
      </c>
      <c r="AH43" t="s">
        <v>321</v>
      </c>
      <c r="AI43" t="s">
        <v>552</v>
      </c>
      <c r="AJ43">
        <v>154</v>
      </c>
      <c r="AK43" t="s">
        <v>334</v>
      </c>
    </row>
    <row r="44" spans="2:37" ht="15" customHeight="1" thickBot="1" x14ac:dyDescent="0.4">
      <c r="B44" s="255"/>
      <c r="C44" s="895" t="s">
        <v>153</v>
      </c>
      <c r="D44" s="896"/>
      <c r="E44" s="897"/>
      <c r="F44" s="74" t="s">
        <v>154</v>
      </c>
      <c r="G44" s="75" t="s">
        <v>430</v>
      </c>
      <c r="H44" s="75" t="s">
        <v>155</v>
      </c>
      <c r="I44" s="76" t="s">
        <v>156</v>
      </c>
      <c r="J44" s="78"/>
      <c r="M44" s="284" t="s">
        <v>181</v>
      </c>
      <c r="N44" s="262" t="s">
        <v>334</v>
      </c>
      <c r="O44" s="262" t="s">
        <v>182</v>
      </c>
      <c r="P44" s="263" t="s">
        <v>183</v>
      </c>
      <c r="Q44" s="285" t="s">
        <v>184</v>
      </c>
      <c r="R44" s="82" t="s">
        <v>302</v>
      </c>
      <c r="S44" s="286" t="s">
        <v>156</v>
      </c>
      <c r="T44" s="315" t="s">
        <v>180</v>
      </c>
      <c r="Z44" t="s">
        <v>527</v>
      </c>
      <c r="AE44" t="s">
        <v>668</v>
      </c>
      <c r="AF44" t="str">
        <f t="shared" si="12"/>
        <v>SIKAFLOOR URETHANE PIGMENT PACKBASALT GRAY4 QT</v>
      </c>
      <c r="AG44" t="s">
        <v>571</v>
      </c>
      <c r="AH44" t="s">
        <v>694</v>
      </c>
      <c r="AI44" t="s">
        <v>552</v>
      </c>
      <c r="AJ44">
        <v>154</v>
      </c>
      <c r="AK44" t="s">
        <v>334</v>
      </c>
    </row>
    <row r="45" spans="2:37" ht="15" customHeight="1" x14ac:dyDescent="0.35">
      <c r="B45" s="255" t="s">
        <v>1</v>
      </c>
      <c r="C45" s="907" t="s">
        <v>1089</v>
      </c>
      <c r="D45" s="908"/>
      <c r="E45" s="909"/>
      <c r="F45" s="408"/>
      <c r="G45" s="439"/>
      <c r="H45" s="69">
        <v>600</v>
      </c>
      <c r="I45" s="71">
        <f>F45*G45*H45</f>
        <v>0</v>
      </c>
      <c r="J45" s="78"/>
      <c r="M45" s="577" t="s">
        <v>465</v>
      </c>
      <c r="N45" s="234" t="s">
        <v>1037</v>
      </c>
      <c r="O45" s="235"/>
      <c r="P45" s="91"/>
      <c r="Q45" s="200"/>
      <c r="R45" s="235"/>
      <c r="S45" s="291">
        <f>IF(P45="", Q45, P45*Q45)</f>
        <v>0</v>
      </c>
      <c r="T45" s="316"/>
      <c r="AE45" t="s">
        <v>669</v>
      </c>
      <c r="AF45" t="str">
        <f t="shared" si="12"/>
        <v>SIKAFLOOR URETHANE PIGMENT PACKSIGNAL YELLOW4 QT</v>
      </c>
      <c r="AG45" t="s">
        <v>571</v>
      </c>
      <c r="AH45" t="s">
        <v>697</v>
      </c>
      <c r="AI45" t="s">
        <v>552</v>
      </c>
      <c r="AJ45">
        <v>154</v>
      </c>
      <c r="AK45" t="s">
        <v>334</v>
      </c>
    </row>
    <row r="46" spans="2:37" ht="15" customHeight="1" x14ac:dyDescent="0.35">
      <c r="B46" s="255" t="s">
        <v>1</v>
      </c>
      <c r="C46" s="910" t="s">
        <v>1090</v>
      </c>
      <c r="D46" s="911"/>
      <c r="E46" s="912"/>
      <c r="F46" s="408"/>
      <c r="G46" s="439"/>
      <c r="H46" s="69">
        <v>600</v>
      </c>
      <c r="I46" s="71">
        <f t="shared" ref="I46:I57" si="13">F46*G46*H46</f>
        <v>0</v>
      </c>
      <c r="J46" s="78"/>
      <c r="M46" s="577" t="s">
        <v>465</v>
      </c>
      <c r="N46" s="234" t="s">
        <v>1037</v>
      </c>
      <c r="O46" s="235"/>
      <c r="P46" s="91"/>
      <c r="Q46" s="200"/>
      <c r="R46" s="235"/>
      <c r="S46" s="291">
        <f>IF(P46="", Q46, P46*Q46)</f>
        <v>0</v>
      </c>
      <c r="T46" s="316"/>
      <c r="AE46" t="s">
        <v>670</v>
      </c>
      <c r="AF46" t="str">
        <f t="shared" si="12"/>
        <v>SIKAFLOOR URETHANE PIGMENT PACKOXFORD GRAY4 QT</v>
      </c>
      <c r="AG46" t="s">
        <v>571</v>
      </c>
      <c r="AH46" t="s">
        <v>687</v>
      </c>
      <c r="AI46" t="s">
        <v>552</v>
      </c>
      <c r="AJ46">
        <v>154</v>
      </c>
      <c r="AK46" t="s">
        <v>334</v>
      </c>
    </row>
    <row r="47" spans="2:37" ht="15" customHeight="1" x14ac:dyDescent="0.35">
      <c r="B47" s="255" t="s">
        <v>1</v>
      </c>
      <c r="C47" s="910" t="s">
        <v>1091</v>
      </c>
      <c r="D47" s="911"/>
      <c r="E47" s="912"/>
      <c r="F47" s="408"/>
      <c r="G47" s="439"/>
      <c r="H47" s="69">
        <v>600</v>
      </c>
      <c r="I47" s="71">
        <f t="shared" si="13"/>
        <v>0</v>
      </c>
      <c r="J47" s="78"/>
      <c r="M47" s="577" t="s">
        <v>465</v>
      </c>
      <c r="N47" s="234" t="s">
        <v>1037</v>
      </c>
      <c r="O47" s="235"/>
      <c r="P47" s="91"/>
      <c r="Q47" s="200"/>
      <c r="R47" s="235"/>
      <c r="S47" s="291">
        <f>IF(P47="", Q47, P47*Q47)</f>
        <v>0</v>
      </c>
      <c r="T47" s="316"/>
      <c r="AE47" t="s">
        <v>671</v>
      </c>
      <c r="AF47" t="str">
        <f t="shared" si="12"/>
        <v>SIKAFLOOR URETHANE PIGMENT PACKTRAFFIC RED4 QT</v>
      </c>
      <c r="AG47" t="s">
        <v>571</v>
      </c>
      <c r="AH47" t="s">
        <v>699</v>
      </c>
      <c r="AI47" t="s">
        <v>552</v>
      </c>
      <c r="AJ47">
        <v>154</v>
      </c>
      <c r="AK47" t="s">
        <v>334</v>
      </c>
    </row>
    <row r="48" spans="2:37" ht="15" customHeight="1" x14ac:dyDescent="0.35">
      <c r="B48" s="255" t="s">
        <v>1</v>
      </c>
      <c r="C48" s="910" t="s">
        <v>1092</v>
      </c>
      <c r="D48" s="911"/>
      <c r="E48" s="912"/>
      <c r="F48" s="408"/>
      <c r="G48" s="439"/>
      <c r="H48" s="69">
        <v>600</v>
      </c>
      <c r="I48" s="71">
        <f t="shared" si="13"/>
        <v>0</v>
      </c>
      <c r="J48" s="78"/>
      <c r="M48" s="247" t="s">
        <v>166</v>
      </c>
      <c r="N48" s="234"/>
      <c r="O48" s="235"/>
      <c r="P48" s="235"/>
      <c r="Q48" s="201"/>
      <c r="R48" s="235"/>
      <c r="S48" s="291">
        <f>Q48</f>
        <v>0</v>
      </c>
      <c r="T48" s="317"/>
      <c r="AE48" t="s">
        <v>672</v>
      </c>
      <c r="AF48" t="str">
        <f t="shared" si="12"/>
        <v>SIKAFLOOR URETHANE PIGMENT PACKJET BLACK4 QT</v>
      </c>
      <c r="AG48" t="s">
        <v>571</v>
      </c>
      <c r="AH48" t="s">
        <v>701</v>
      </c>
      <c r="AI48" t="s">
        <v>552</v>
      </c>
      <c r="AJ48">
        <v>154</v>
      </c>
      <c r="AK48" t="s">
        <v>334</v>
      </c>
    </row>
    <row r="49" spans="2:37" ht="15" customHeight="1" x14ac:dyDescent="0.35">
      <c r="B49" s="255" t="s">
        <v>1</v>
      </c>
      <c r="C49" s="910" t="s">
        <v>431</v>
      </c>
      <c r="D49" s="911"/>
      <c r="E49" s="912"/>
      <c r="F49" s="408"/>
      <c r="G49" s="439"/>
      <c r="H49" s="69">
        <v>600</v>
      </c>
      <c r="I49" s="71">
        <f t="shared" si="13"/>
        <v>0</v>
      </c>
      <c r="J49" s="78"/>
      <c r="M49" s="247" t="s">
        <v>438</v>
      </c>
      <c r="N49" s="234"/>
      <c r="O49" s="235"/>
      <c r="P49" s="235"/>
      <c r="Q49" s="201"/>
      <c r="R49" s="235"/>
      <c r="S49" s="291">
        <f>Q49</f>
        <v>0</v>
      </c>
      <c r="T49" s="317"/>
      <c r="AE49" t="s">
        <v>673</v>
      </c>
      <c r="AF49" t="str">
        <f t="shared" si="12"/>
        <v>SIKAFLOOR URETHANE PIGMENT PACKRAFFIC BLUE4 QT</v>
      </c>
      <c r="AG49" t="s">
        <v>571</v>
      </c>
      <c r="AH49" t="s">
        <v>712</v>
      </c>
      <c r="AI49" t="s">
        <v>552</v>
      </c>
      <c r="AJ49">
        <v>154</v>
      </c>
      <c r="AK49" t="s">
        <v>334</v>
      </c>
    </row>
    <row r="50" spans="2:37" ht="15" customHeight="1" x14ac:dyDescent="0.35">
      <c r="B50" s="255" t="s">
        <v>1</v>
      </c>
      <c r="C50" s="910"/>
      <c r="D50" s="911"/>
      <c r="E50" s="912"/>
      <c r="F50" s="408"/>
      <c r="G50" s="439"/>
      <c r="H50" s="69">
        <v>600</v>
      </c>
      <c r="I50" s="71">
        <f t="shared" si="13"/>
        <v>0</v>
      </c>
      <c r="J50" s="78"/>
      <c r="L50" s="294" t="str">
        <f>IFERROR(IF(M50="","",_xlfn.XLOOKUP(_xlfn.CONCAT(M50:O50),P!$Y:$Y,P!$X:$X,"UNAVAILABLE")),"UNAVAILABLE")</f>
        <v>S (30 TUBEN//ACA</v>
      </c>
      <c r="M50" s="426" t="s">
        <v>719</v>
      </c>
      <c r="N50" s="424" t="s">
        <v>398</v>
      </c>
      <c r="O50" s="422" t="s">
        <v>878</v>
      </c>
      <c r="P50" s="400"/>
      <c r="Q50" s="203">
        <f>IFERROR(VLOOKUP(L50,P!$X:$Z,3,FALSE),0)</f>
        <v>210</v>
      </c>
      <c r="R50" s="235"/>
      <c r="S50" s="291">
        <f t="shared" ref="S50:S55" si="14">Q50*P50</f>
        <v>0</v>
      </c>
      <c r="T50" s="318"/>
      <c r="AE50" t="s">
        <v>674</v>
      </c>
      <c r="AF50" t="str">
        <f t="shared" si="12"/>
        <v>SIKAFLOOR URETHANE PIGMENT PACKSIGNAL WHITE4 QT</v>
      </c>
      <c r="AG50" t="s">
        <v>571</v>
      </c>
      <c r="AH50" t="s">
        <v>700</v>
      </c>
      <c r="AI50" t="s">
        <v>552</v>
      </c>
      <c r="AJ50">
        <v>154</v>
      </c>
      <c r="AK50" t="s">
        <v>334</v>
      </c>
    </row>
    <row r="51" spans="2:37" ht="15" customHeight="1" x14ac:dyDescent="0.35">
      <c r="B51" s="255" t="s">
        <v>1</v>
      </c>
      <c r="C51" s="910"/>
      <c r="D51" s="911"/>
      <c r="E51" s="912"/>
      <c r="F51" s="408"/>
      <c r="G51" s="439"/>
      <c r="H51" s="69">
        <v>600</v>
      </c>
      <c r="I51" s="71">
        <f t="shared" si="13"/>
        <v>0</v>
      </c>
      <c r="J51" s="78"/>
      <c r="L51" s="268" t="str">
        <f ca="1">IF(M51="","",_xlfn.XLOOKUP(_xlfn.CONCAT(M51:O51),P!$J:$J,P!$I:$I,"UNAVAILABLE"))</f>
        <v>JS4U-SG</v>
      </c>
      <c r="M51" s="426" t="s">
        <v>1047</v>
      </c>
      <c r="N51" s="424" t="s">
        <v>521</v>
      </c>
      <c r="O51" s="422" t="s">
        <v>718</v>
      </c>
      <c r="P51" s="400"/>
      <c r="Q51" s="203">
        <f ca="1">IFERROR(VLOOKUP(L51,P!$X:$Z,3,FALSE),0)</f>
        <v>125.4</v>
      </c>
      <c r="R51" s="235"/>
      <c r="S51" s="291">
        <f t="shared" ca="1" si="14"/>
        <v>0</v>
      </c>
      <c r="T51" s="318"/>
      <c r="AE51" t="s">
        <v>675</v>
      </c>
      <c r="AF51" t="str">
        <f t="shared" si="12"/>
        <v>SIKAFLOOR URETHANE PIGMENT PACKPALE GREEN4 QT</v>
      </c>
      <c r="AG51" t="s">
        <v>571</v>
      </c>
      <c r="AH51" t="s">
        <v>696</v>
      </c>
      <c r="AI51" t="s">
        <v>552</v>
      </c>
      <c r="AJ51">
        <v>154</v>
      </c>
      <c r="AK51" t="s">
        <v>334</v>
      </c>
    </row>
    <row r="52" spans="2:37" ht="15" customHeight="1" x14ac:dyDescent="0.35">
      <c r="B52" s="255" t="s">
        <v>1</v>
      </c>
      <c r="C52" s="910"/>
      <c r="D52" s="911"/>
      <c r="E52" s="912"/>
      <c r="F52" s="408"/>
      <c r="G52" s="439"/>
      <c r="H52" s="69">
        <v>600</v>
      </c>
      <c r="I52" s="71">
        <f t="shared" si="13"/>
        <v>0</v>
      </c>
      <c r="J52" s="78"/>
      <c r="L52" s="268" t="str">
        <f ca="1">IF(M52="","",_xlfn.XLOOKUP(_xlfn.CONCAT(M52:O52),P!$J:$J,P!$I:$I,"UNAVAILABLE"))</f>
        <v>S-RS88-SG1</v>
      </c>
      <c r="M52" s="426" t="s">
        <v>720</v>
      </c>
      <c r="N52" s="424" t="s">
        <v>521</v>
      </c>
      <c r="O52" s="422" t="s">
        <v>503</v>
      </c>
      <c r="P52" s="400"/>
      <c r="Q52" s="203">
        <f ca="1">IFERROR(VLOOKUP(L52,P!$X:$Z,3,FALSE),0)</f>
        <v>38.5</v>
      </c>
      <c r="R52" s="235"/>
      <c r="S52" s="291">
        <f t="shared" ca="1" si="14"/>
        <v>0</v>
      </c>
      <c r="T52" s="318"/>
      <c r="AE52" t="s">
        <v>676</v>
      </c>
      <c r="AF52" t="str">
        <f t="shared" si="12"/>
        <v>SIKAFLOOR URETHANE PIGMENT PACKWINDOW GRAY4 QT</v>
      </c>
      <c r="AG52" t="s">
        <v>571</v>
      </c>
      <c r="AH52" t="s">
        <v>688</v>
      </c>
      <c r="AI52" t="s">
        <v>552</v>
      </c>
      <c r="AJ52">
        <v>154</v>
      </c>
      <c r="AK52" t="s">
        <v>334</v>
      </c>
    </row>
    <row r="53" spans="2:37" ht="15" customHeight="1" x14ac:dyDescent="0.35">
      <c r="B53" s="255" t="s">
        <v>1</v>
      </c>
      <c r="C53" s="910"/>
      <c r="D53" s="911"/>
      <c r="E53" s="912"/>
      <c r="F53" s="408"/>
      <c r="G53" s="439"/>
      <c r="H53" s="69">
        <v>600</v>
      </c>
      <c r="I53" s="71">
        <f t="shared" si="13"/>
        <v>0</v>
      </c>
      <c r="J53" s="78"/>
      <c r="M53" s="322"/>
      <c r="N53" s="589"/>
      <c r="O53" s="91"/>
      <c r="P53" s="400"/>
      <c r="Q53" s="201"/>
      <c r="R53" s="235"/>
      <c r="S53" s="291">
        <f t="shared" si="14"/>
        <v>0</v>
      </c>
      <c r="T53" s="318"/>
      <c r="AE53" t="s">
        <v>677</v>
      </c>
      <c r="AF53" t="str">
        <f t="shared" si="12"/>
        <v>SIKAFLOOR URETHANE PIGMENT PACKOXIDE RED4 QT</v>
      </c>
      <c r="AG53" t="s">
        <v>571</v>
      </c>
      <c r="AH53" t="s">
        <v>698</v>
      </c>
      <c r="AI53" t="s">
        <v>552</v>
      </c>
      <c r="AJ53">
        <v>154</v>
      </c>
      <c r="AK53" t="s">
        <v>334</v>
      </c>
    </row>
    <row r="54" spans="2:37" ht="15" customHeight="1" x14ac:dyDescent="0.35">
      <c r="B54" s="255" t="s">
        <v>1</v>
      </c>
      <c r="C54" s="910"/>
      <c r="D54" s="911"/>
      <c r="E54" s="912"/>
      <c r="F54" s="408"/>
      <c r="G54" s="439"/>
      <c r="H54" s="69">
        <v>600</v>
      </c>
      <c r="I54" s="71">
        <f t="shared" si="13"/>
        <v>0</v>
      </c>
      <c r="J54" s="78"/>
      <c r="M54" s="323"/>
      <c r="N54" s="589"/>
      <c r="O54" s="91"/>
      <c r="P54" s="400"/>
      <c r="Q54" s="201"/>
      <c r="R54" s="235"/>
      <c r="S54" s="291">
        <f t="shared" si="14"/>
        <v>0</v>
      </c>
      <c r="T54" s="318"/>
      <c r="AE54" t="s">
        <v>678</v>
      </c>
      <c r="AF54" t="str">
        <f t="shared" si="12"/>
        <v>SIKAFLOOR URETHANE PIGMENT PACKLIGHT GRAY4 QT</v>
      </c>
      <c r="AG54" t="s">
        <v>571</v>
      </c>
      <c r="AH54" t="s">
        <v>384</v>
      </c>
      <c r="AI54" t="s">
        <v>552</v>
      </c>
      <c r="AJ54">
        <v>154</v>
      </c>
      <c r="AK54" t="s">
        <v>334</v>
      </c>
    </row>
    <row r="55" spans="2:37" ht="15" customHeight="1" x14ac:dyDescent="0.35">
      <c r="B55" s="255" t="s">
        <v>2</v>
      </c>
      <c r="C55" s="904" t="s">
        <v>158</v>
      </c>
      <c r="D55" s="905"/>
      <c r="E55" s="906"/>
      <c r="F55" s="409"/>
      <c r="G55" s="442"/>
      <c r="H55" s="69"/>
      <c r="I55" s="71">
        <f>H55</f>
        <v>0</v>
      </c>
      <c r="J55" s="78"/>
      <c r="M55" s="323"/>
      <c r="N55" s="589"/>
      <c r="O55" s="91"/>
      <c r="P55" s="400"/>
      <c r="Q55" s="201"/>
      <c r="R55" s="235"/>
      <c r="S55" s="291">
        <f t="shared" si="14"/>
        <v>0</v>
      </c>
      <c r="T55" s="318"/>
      <c r="AE55" t="s">
        <v>679</v>
      </c>
      <c r="AF55" t="str">
        <f t="shared" si="12"/>
        <v>SIKAFLOOR URETHANE PIGMENT PACKTRAFFIC GRAY4 QT</v>
      </c>
      <c r="AG55" t="s">
        <v>571</v>
      </c>
      <c r="AH55" t="s">
        <v>689</v>
      </c>
      <c r="AI55" t="s">
        <v>552</v>
      </c>
      <c r="AJ55">
        <v>154</v>
      </c>
      <c r="AK55" t="s">
        <v>334</v>
      </c>
    </row>
    <row r="56" spans="2:37" ht="15" customHeight="1" x14ac:dyDescent="0.35">
      <c r="B56" s="255" t="s">
        <v>3</v>
      </c>
      <c r="C56" s="904" t="s">
        <v>159</v>
      </c>
      <c r="D56" s="905"/>
      <c r="E56" s="906"/>
      <c r="F56" s="408"/>
      <c r="G56" s="439"/>
      <c r="H56" s="72">
        <v>420</v>
      </c>
      <c r="I56" s="71">
        <f t="shared" si="13"/>
        <v>0</v>
      </c>
      <c r="J56" s="78"/>
      <c r="M56" s="323"/>
      <c r="N56" s="589"/>
      <c r="O56" s="91"/>
      <c r="P56" s="400"/>
      <c r="Q56" s="201"/>
      <c r="R56" s="235"/>
      <c r="S56" s="291">
        <f t="shared" ref="S56:S61" si="15">Q56*P56</f>
        <v>0</v>
      </c>
      <c r="T56" s="318"/>
      <c r="AE56" t="s">
        <v>680</v>
      </c>
      <c r="AF56" t="str">
        <f t="shared" si="12"/>
        <v>SIKAFLOOR URETHANE PIGMENT PACKTAN 2514 QT</v>
      </c>
      <c r="AG56" t="s">
        <v>571</v>
      </c>
      <c r="AH56" t="s">
        <v>692</v>
      </c>
      <c r="AI56" t="s">
        <v>552</v>
      </c>
      <c r="AJ56">
        <v>154</v>
      </c>
      <c r="AK56" t="s">
        <v>334</v>
      </c>
    </row>
    <row r="57" spans="2:37" ht="15" customHeight="1" x14ac:dyDescent="0.35">
      <c r="B57" s="255" t="s">
        <v>4</v>
      </c>
      <c r="C57" s="904" t="s">
        <v>160</v>
      </c>
      <c r="D57" s="905"/>
      <c r="E57" s="906"/>
      <c r="F57" s="408"/>
      <c r="G57" s="439"/>
      <c r="H57" s="72">
        <v>180</v>
      </c>
      <c r="I57" s="71">
        <f t="shared" si="13"/>
        <v>0</v>
      </c>
      <c r="J57" s="78"/>
      <c r="M57" s="323"/>
      <c r="N57" s="589"/>
      <c r="O57" s="91"/>
      <c r="P57" s="400"/>
      <c r="Q57" s="201"/>
      <c r="R57" s="246"/>
      <c r="S57" s="291">
        <f t="shared" si="15"/>
        <v>0</v>
      </c>
      <c r="T57" s="318"/>
      <c r="AE57" t="s">
        <v>681</v>
      </c>
      <c r="AF57" t="str">
        <f t="shared" si="12"/>
        <v>SIKAFLOOR URETHANE PIGMENT PACKGRAY BEIGE4 QT</v>
      </c>
      <c r="AG57" t="s">
        <v>571</v>
      </c>
      <c r="AH57" t="s">
        <v>693</v>
      </c>
      <c r="AI57" t="s">
        <v>552</v>
      </c>
      <c r="AJ57">
        <v>154</v>
      </c>
      <c r="AK57" t="s">
        <v>334</v>
      </c>
    </row>
    <row r="58" spans="2:37" ht="15" customHeight="1" x14ac:dyDescent="0.35">
      <c r="B58" s="255" t="s">
        <v>5</v>
      </c>
      <c r="C58" s="884" t="s">
        <v>161</v>
      </c>
      <c r="D58" s="885"/>
      <c r="E58" s="886"/>
      <c r="F58" s="408"/>
      <c r="G58" s="439"/>
      <c r="H58" s="73">
        <v>65</v>
      </c>
      <c r="I58" s="71">
        <f>G58*H58</f>
        <v>0</v>
      </c>
      <c r="J58" s="78"/>
      <c r="M58" s="323"/>
      <c r="N58" s="589"/>
      <c r="O58" s="91"/>
      <c r="P58" s="400"/>
      <c r="Q58" s="201"/>
      <c r="R58" s="246"/>
      <c r="S58" s="291">
        <f t="shared" si="15"/>
        <v>0</v>
      </c>
      <c r="T58" s="318"/>
      <c r="AE58" t="s">
        <v>682</v>
      </c>
      <c r="AF58" t="str">
        <f t="shared" si="12"/>
        <v>SIKAFLOOR URETHANE PIGMENT PACKAGATE GRAY4 QT</v>
      </c>
      <c r="AG58" t="s">
        <v>571</v>
      </c>
      <c r="AH58" t="s">
        <v>714</v>
      </c>
      <c r="AI58" t="s">
        <v>552</v>
      </c>
      <c r="AJ58">
        <v>154</v>
      </c>
      <c r="AK58" t="s">
        <v>334</v>
      </c>
    </row>
    <row r="59" spans="2:37" ht="15" customHeight="1" x14ac:dyDescent="0.35">
      <c r="B59" s="255" t="s">
        <v>6</v>
      </c>
      <c r="C59" s="884" t="s">
        <v>162</v>
      </c>
      <c r="D59" s="885"/>
      <c r="E59" s="886"/>
      <c r="F59" s="408"/>
      <c r="G59" s="442"/>
      <c r="H59" s="73">
        <v>0.7</v>
      </c>
      <c r="I59" s="71">
        <f>H59*F59</f>
        <v>0</v>
      </c>
      <c r="J59" s="78"/>
      <c r="M59" s="323"/>
      <c r="N59" s="589"/>
      <c r="O59" s="91"/>
      <c r="P59" s="400"/>
      <c r="Q59" s="201"/>
      <c r="R59" s="235"/>
      <c r="S59" s="291">
        <f t="shared" si="15"/>
        <v>0</v>
      </c>
      <c r="T59" s="318"/>
      <c r="AE59" t="s">
        <v>683</v>
      </c>
      <c r="AF59" t="str">
        <f t="shared" si="12"/>
        <v>SIKAFLOOR URETHANE PIGMENT PACKCUSTOM COLOR4 QT</v>
      </c>
      <c r="AG59" t="s">
        <v>571</v>
      </c>
      <c r="AH59" t="s">
        <v>713</v>
      </c>
      <c r="AI59" t="s">
        <v>552</v>
      </c>
      <c r="AJ59">
        <v>189.59</v>
      </c>
      <c r="AK59" t="s">
        <v>334</v>
      </c>
    </row>
    <row r="60" spans="2:37" ht="15" customHeight="1" x14ac:dyDescent="0.35">
      <c r="B60" s="255" t="s">
        <v>7</v>
      </c>
      <c r="C60" s="884" t="s">
        <v>163</v>
      </c>
      <c r="D60" s="885"/>
      <c r="E60" s="886"/>
      <c r="F60" s="409"/>
      <c r="G60" s="442"/>
      <c r="H60" s="73"/>
      <c r="I60" s="71">
        <f>H60</f>
        <v>0</v>
      </c>
      <c r="J60" s="78"/>
      <c r="M60" s="323"/>
      <c r="N60" s="589"/>
      <c r="O60" s="91"/>
      <c r="P60" s="400"/>
      <c r="Q60" s="201"/>
      <c r="R60" s="235"/>
      <c r="S60" s="291">
        <f t="shared" si="15"/>
        <v>0</v>
      </c>
      <c r="T60" s="319"/>
      <c r="AE60" t="s">
        <v>605</v>
      </c>
      <c r="AF60" t="str">
        <f t="shared" si="12"/>
        <v>SIKA UCRETE UD200 TROWEL APPLIED CRETEN/AKIT</v>
      </c>
      <c r="AG60" t="s">
        <v>560</v>
      </c>
      <c r="AH60" t="s">
        <v>398</v>
      </c>
      <c r="AI60" t="s">
        <v>397</v>
      </c>
      <c r="AJ60">
        <v>260.76</v>
      </c>
      <c r="AK60" t="s">
        <v>368</v>
      </c>
    </row>
    <row r="61" spans="2:37" ht="15" customHeight="1" thickBot="1" x14ac:dyDescent="0.4">
      <c r="B61" s="255" t="s">
        <v>8</v>
      </c>
      <c r="C61" s="884" t="s">
        <v>164</v>
      </c>
      <c r="D61" s="885"/>
      <c r="E61" s="886"/>
      <c r="F61" s="408"/>
      <c r="G61" s="439"/>
      <c r="H61" s="73">
        <v>38.25</v>
      </c>
      <c r="I61" s="71">
        <f>F61*G61*H61</f>
        <v>0</v>
      </c>
      <c r="J61" s="78"/>
      <c r="M61" s="323"/>
      <c r="N61" s="589"/>
      <c r="O61" s="91"/>
      <c r="P61" s="400"/>
      <c r="Q61" s="201"/>
      <c r="R61" s="235"/>
      <c r="S61" s="291">
        <f t="shared" si="15"/>
        <v>0</v>
      </c>
      <c r="T61" s="320"/>
      <c r="Z61" t="s">
        <v>567</v>
      </c>
      <c r="AE61" t="s">
        <v>606</v>
      </c>
      <c r="AF61" t="str">
        <f t="shared" si="12"/>
        <v>SIKA UCRETE UD200SR SLIP RESISTANT TROWEL APPLIED CRETEN/AKIT</v>
      </c>
      <c r="AG61" t="s">
        <v>561</v>
      </c>
      <c r="AH61" t="s">
        <v>398</v>
      </c>
      <c r="AI61" t="s">
        <v>397</v>
      </c>
      <c r="AJ61">
        <v>279.02</v>
      </c>
      <c r="AK61" t="s">
        <v>368</v>
      </c>
    </row>
    <row r="62" spans="2:37" ht="15" customHeight="1" thickTop="1" thickBot="1" x14ac:dyDescent="0.4">
      <c r="B62" s="255" t="s">
        <v>9</v>
      </c>
      <c r="C62" s="884" t="s">
        <v>165</v>
      </c>
      <c r="D62" s="885"/>
      <c r="E62" s="886"/>
      <c r="F62" s="408"/>
      <c r="G62" s="439"/>
      <c r="H62" s="73">
        <v>51</v>
      </c>
      <c r="I62" s="71">
        <f>F62*G62*H62</f>
        <v>0</v>
      </c>
      <c r="J62" s="78"/>
      <c r="M62" s="323"/>
      <c r="N62" s="589"/>
      <c r="O62" s="91"/>
      <c r="P62" s="400"/>
      <c r="Q62" s="201"/>
      <c r="R62" s="235"/>
      <c r="S62" s="291">
        <f>Q62*P62</f>
        <v>0</v>
      </c>
      <c r="T62" s="321">
        <f>SUM(T48:T61)</f>
        <v>0</v>
      </c>
      <c r="Z62" t="s">
        <v>570</v>
      </c>
      <c r="AE62" t="s">
        <v>607</v>
      </c>
      <c r="AF62" t="str">
        <f t="shared" si="12"/>
        <v>SIKA UCRETE HS22 NA HIGH BUILD SL SLURRYBEIGEKIT</v>
      </c>
      <c r="AG62" t="s">
        <v>562</v>
      </c>
      <c r="AH62" t="s">
        <v>399</v>
      </c>
      <c r="AI62" t="s">
        <v>397</v>
      </c>
      <c r="AJ62">
        <v>82.22</v>
      </c>
      <c r="AK62" t="s">
        <v>368</v>
      </c>
    </row>
    <row r="63" spans="2:37" ht="15" customHeight="1" thickBot="1" x14ac:dyDescent="0.4">
      <c r="B63" s="255" t="s">
        <v>10</v>
      </c>
      <c r="C63" s="887" t="s">
        <v>256</v>
      </c>
      <c r="D63" s="888"/>
      <c r="E63" s="889"/>
      <c r="F63" s="408"/>
      <c r="G63" s="439"/>
      <c r="H63" s="73">
        <v>325</v>
      </c>
      <c r="I63" s="70">
        <f>F63*G63*H63</f>
        <v>0</v>
      </c>
      <c r="J63" s="78"/>
      <c r="M63" s="324"/>
      <c r="N63" s="589"/>
      <c r="O63" s="202"/>
      <c r="P63" s="410"/>
      <c r="Q63" s="204"/>
      <c r="R63" s="249"/>
      <c r="S63" s="250">
        <f>Q63*P63</f>
        <v>0</v>
      </c>
      <c r="Z63" t="s">
        <v>571</v>
      </c>
      <c r="AE63" t="s">
        <v>608</v>
      </c>
      <c r="AF63" t="str">
        <f t="shared" si="12"/>
        <v>SIKA UCRETE HS22 NA HIGH BUILD SL SLURRYOXIDE REDKIT</v>
      </c>
      <c r="AG63" t="s">
        <v>562</v>
      </c>
      <c r="AH63" t="s">
        <v>698</v>
      </c>
      <c r="AI63" t="s">
        <v>397</v>
      </c>
      <c r="AJ63">
        <v>82.22</v>
      </c>
      <c r="AK63" t="s">
        <v>368</v>
      </c>
    </row>
    <row r="64" spans="2:37" ht="15" customHeight="1" thickTop="1" thickBot="1" x14ac:dyDescent="0.4">
      <c r="B64" s="255"/>
      <c r="C64" s="251" t="s">
        <v>167</v>
      </c>
      <c r="D64" s="228"/>
      <c r="E64" s="228"/>
      <c r="F64" s="252"/>
      <c r="G64" s="253"/>
      <c r="H64" s="253"/>
      <c r="I64" s="229">
        <f>SUM(I45:I63)</f>
        <v>0</v>
      </c>
      <c r="J64" s="78"/>
      <c r="M64" s="251" t="s">
        <v>16</v>
      </c>
      <c r="N64" s="228"/>
      <c r="O64" s="228"/>
      <c r="P64" s="252"/>
      <c r="Q64" s="253"/>
      <c r="R64" s="253"/>
      <c r="S64" s="229">
        <f ca="1">SUBTOTAL(109,SIKAADDS[EXTENSION])</f>
        <v>0</v>
      </c>
      <c r="AE64" t="s">
        <v>609</v>
      </c>
      <c r="AF64" t="str">
        <f t="shared" si="12"/>
        <v>SIKA UCRETE HS22 NA HIGH BUILD SL SLURRYAGATE GREYKIT</v>
      </c>
      <c r="AG64" t="s">
        <v>562</v>
      </c>
      <c r="AH64" t="s">
        <v>702</v>
      </c>
      <c r="AI64" t="s">
        <v>397</v>
      </c>
      <c r="AJ64">
        <v>82.22</v>
      </c>
      <c r="AK64" t="s">
        <v>368</v>
      </c>
    </row>
    <row r="65" spans="3:37" ht="7.5" customHeight="1" thickBot="1" x14ac:dyDescent="0.4">
      <c r="J65" s="78"/>
      <c r="AE65" t="s">
        <v>610</v>
      </c>
      <c r="AF65" t="str">
        <f t="shared" si="12"/>
        <v>SIKA UCRETE HS22 NA HIGH BUILD SL SLURRYTRAFFIC GREYKIT</v>
      </c>
      <c r="AG65" t="s">
        <v>562</v>
      </c>
      <c r="AH65" t="s">
        <v>703</v>
      </c>
      <c r="AI65" t="s">
        <v>397</v>
      </c>
      <c r="AJ65">
        <v>82.22</v>
      </c>
      <c r="AK65" t="s">
        <v>368</v>
      </c>
    </row>
    <row r="66" spans="3:37" ht="18.75" customHeight="1" thickBot="1" x14ac:dyDescent="0.5">
      <c r="C66" s="812" t="s">
        <v>168</v>
      </c>
      <c r="D66" s="813"/>
      <c r="E66" s="813"/>
      <c r="F66" s="813"/>
      <c r="G66" s="813"/>
      <c r="H66" s="813"/>
      <c r="I66" s="814"/>
      <c r="J66" s="78"/>
      <c r="M66" s="812" t="s">
        <v>170</v>
      </c>
      <c r="N66" s="813"/>
      <c r="O66" s="813"/>
      <c r="P66" s="813"/>
      <c r="Q66" s="813"/>
      <c r="R66" s="813"/>
      <c r="S66" s="814"/>
      <c r="AE66" t="s">
        <v>611</v>
      </c>
      <c r="AF66" t="str">
        <f t="shared" si="12"/>
        <v>SIKA UCRETE HS22 NA HIGH BUILD SL SLURRYBASALT GRAYKIT</v>
      </c>
      <c r="AG66" t="s">
        <v>562</v>
      </c>
      <c r="AH66" t="s">
        <v>694</v>
      </c>
      <c r="AI66" t="s">
        <v>397</v>
      </c>
      <c r="AJ66">
        <v>82.22</v>
      </c>
      <c r="AK66" t="s">
        <v>368</v>
      </c>
    </row>
    <row r="67" spans="3:37" ht="15.75" customHeight="1" thickBot="1" x14ac:dyDescent="0.4">
      <c r="C67" s="801" t="s">
        <v>169</v>
      </c>
      <c r="D67" s="802"/>
      <c r="E67" s="802"/>
      <c r="F67" s="802"/>
      <c r="G67" s="802"/>
      <c r="H67" s="802"/>
      <c r="I67" s="803"/>
      <c r="J67" s="78"/>
      <c r="M67" s="801" t="s">
        <v>171</v>
      </c>
      <c r="N67" s="802"/>
      <c r="O67" s="802"/>
      <c r="P67" s="802" t="s">
        <v>172</v>
      </c>
      <c r="Q67" s="802"/>
      <c r="R67" s="802"/>
      <c r="S67" s="803"/>
      <c r="AE67" t="s">
        <v>612</v>
      </c>
      <c r="AF67" t="str">
        <f t="shared" si="12"/>
        <v>SIKA UCRETE HS24 NA SL SLURRYBEIGEKIT</v>
      </c>
      <c r="AG67" t="s">
        <v>563</v>
      </c>
      <c r="AH67" t="s">
        <v>399</v>
      </c>
      <c r="AI67" t="s">
        <v>397</v>
      </c>
      <c r="AJ67">
        <v>156.69999999999999</v>
      </c>
      <c r="AK67" t="s">
        <v>368</v>
      </c>
    </row>
    <row r="68" spans="3:37" ht="15.75" customHeight="1" x14ac:dyDescent="0.35">
      <c r="C68" s="302" t="s">
        <v>0</v>
      </c>
      <c r="D68" s="815">
        <f ca="1">SUM(SIKAPOLY[[#Totals],[EXTENSION]],SIKAEPOXY[[#Totals],[EXTENSION]],SIKACOLOR[[#Totals],[EXTENSION]],SIKACRETE[[#Totals],[EXTENSION]],SIKAPRIME[[#Totals],[EXTENSION]],SIKAAGG[[#Totals],[EXTENSION]],S48:S63)</f>
        <v>0</v>
      </c>
      <c r="E68" s="816"/>
      <c r="F68" s="808" t="s">
        <v>8</v>
      </c>
      <c r="G68" s="809"/>
      <c r="H68" s="810">
        <f>SUMIF($B$45:$B$63,F68,$I$45:$I$63)</f>
        <v>0</v>
      </c>
      <c r="I68" s="811"/>
      <c r="J68" s="78"/>
      <c r="M68" s="303" t="s">
        <v>173</v>
      </c>
      <c r="N68" s="870">
        <f ca="1">SUM(D68:E77,H68:I76,D81:E83,H81:I83,H78)</f>
        <v>0</v>
      </c>
      <c r="O68" s="871"/>
      <c r="P68" s="528" t="s">
        <v>1000</v>
      </c>
      <c r="Q68" s="529">
        <f>PO!Q2</f>
        <v>0.1</v>
      </c>
      <c r="R68" s="529">
        <f>PO!Q4</f>
        <v>0.1</v>
      </c>
      <c r="S68" s="529">
        <f>PO!Q6</f>
        <v>0.1</v>
      </c>
      <c r="AE68" t="s">
        <v>613</v>
      </c>
      <c r="AF68" t="str">
        <f t="shared" si="12"/>
        <v>SIKA UCRETE HS24 NA SL SLURRYOXIDE REDKIT</v>
      </c>
      <c r="AG68" t="s">
        <v>563</v>
      </c>
      <c r="AH68" t="s">
        <v>698</v>
      </c>
      <c r="AI68" t="s">
        <v>397</v>
      </c>
      <c r="AJ68">
        <v>156.69999999999999</v>
      </c>
      <c r="AK68" t="s">
        <v>368</v>
      </c>
    </row>
    <row r="69" spans="3:37" ht="15.75" customHeight="1" x14ac:dyDescent="0.35">
      <c r="C69" s="304" t="s">
        <v>1</v>
      </c>
      <c r="D69" s="789">
        <f>SUMIF($B$45:$B$63,C69,$I$45:$I$63)</f>
        <v>0</v>
      </c>
      <c r="E69" s="790"/>
      <c r="F69" s="791" t="s">
        <v>9</v>
      </c>
      <c r="G69" s="792"/>
      <c r="H69" s="795">
        <f>SUMIF($B$45:$B$63,F69,$I$45:$I$63)</f>
        <v>0</v>
      </c>
      <c r="I69" s="796"/>
      <c r="J69" s="78"/>
      <c r="M69" s="303" t="s">
        <v>732</v>
      </c>
      <c r="N69" s="789">
        <f ca="1">IFERROR(ROUND(IF(Q68=0,PO!$Q$2,Q68)*D68,2),0)</f>
        <v>0</v>
      </c>
      <c r="O69" s="790"/>
      <c r="P69" s="817" t="s">
        <v>174</v>
      </c>
      <c r="Q69" s="818"/>
      <c r="R69" s="819">
        <f ca="1">IF(IFERROR(ROUND(SUM(R71/N73),2),0)&gt;(-1),IFERROR(ROUND(SUM(R71/N73),2),0),0)</f>
        <v>0</v>
      </c>
      <c r="S69" s="820"/>
      <c r="AE69" t="s">
        <v>614</v>
      </c>
      <c r="AF69" t="str">
        <f t="shared" si="12"/>
        <v>SIKA UCRETE HS24 NA SL SLURRYAGATE GREYKIT</v>
      </c>
      <c r="AG69" t="s">
        <v>563</v>
      </c>
      <c r="AH69" t="s">
        <v>702</v>
      </c>
      <c r="AI69" t="s">
        <v>397</v>
      </c>
      <c r="AJ69">
        <v>156.69999999999999</v>
      </c>
      <c r="AK69" t="s">
        <v>368</v>
      </c>
    </row>
    <row r="70" spans="3:37" ht="15.75" customHeight="1" x14ac:dyDescent="0.35">
      <c r="C70" s="304" t="s">
        <v>2</v>
      </c>
      <c r="D70" s="789">
        <f t="shared" ref="D70:D75" si="16">SUMIF($B$45:$B$63,C70,$I$45:$I$63)</f>
        <v>0</v>
      </c>
      <c r="E70" s="790"/>
      <c r="F70" s="791" t="s">
        <v>10</v>
      </c>
      <c r="G70" s="792"/>
      <c r="H70" s="795">
        <f>SUMIF($B$45:$B$63,F70,$I$45:$I$63)</f>
        <v>0</v>
      </c>
      <c r="I70" s="796"/>
      <c r="J70" s="78"/>
      <c r="M70" s="303" t="s">
        <v>733</v>
      </c>
      <c r="N70" s="789">
        <f>IFERROR(ROUND(IF(R68=0,PO!$Q$4,R68)*H74,2),0)</f>
        <v>0</v>
      </c>
      <c r="O70" s="790"/>
      <c r="P70" s="826" t="s">
        <v>175</v>
      </c>
      <c r="Q70" s="827"/>
      <c r="R70" s="821">
        <f ca="1">IFERROR(ROUND(SUM(R71/Q74),2),0)</f>
        <v>0</v>
      </c>
      <c r="S70" s="822"/>
      <c r="AE70" t="s">
        <v>615</v>
      </c>
      <c r="AF70" t="str">
        <f t="shared" si="12"/>
        <v>SIKA UCRETE HS24 NA SL SLURRYTRAFFIC GREYKIT</v>
      </c>
      <c r="AG70" t="s">
        <v>563</v>
      </c>
      <c r="AH70" t="s">
        <v>703</v>
      </c>
      <c r="AI70" t="s">
        <v>397</v>
      </c>
      <c r="AJ70">
        <v>156.69999999999999</v>
      </c>
      <c r="AK70" t="s">
        <v>368</v>
      </c>
    </row>
    <row r="71" spans="3:37" ht="15.75" customHeight="1" x14ac:dyDescent="0.35">
      <c r="C71" s="304" t="s">
        <v>3</v>
      </c>
      <c r="D71" s="789">
        <f t="shared" si="16"/>
        <v>0</v>
      </c>
      <c r="E71" s="790"/>
      <c r="F71" s="791" t="s">
        <v>11</v>
      </c>
      <c r="G71" s="792"/>
      <c r="H71" s="793"/>
      <c r="I71" s="794"/>
      <c r="J71" s="78"/>
      <c r="M71" s="303" t="s">
        <v>980</v>
      </c>
      <c r="N71" s="795">
        <f>IFERROR(ROUND(IF(S68=0,PO!$Q$6,S68)*SUM(H72:I73),2),0)</f>
        <v>0</v>
      </c>
      <c r="O71" s="796"/>
      <c r="P71" s="826" t="s">
        <v>178</v>
      </c>
      <c r="Q71" s="827"/>
      <c r="R71" s="795">
        <f ca="1">Q74-N73</f>
        <v>0</v>
      </c>
      <c r="S71" s="796"/>
      <c r="AE71" t="s">
        <v>616</v>
      </c>
      <c r="AF71" t="str">
        <f t="shared" si="12"/>
        <v>SIKA UCRETE HS24 NA SL SLURRYBASALT GRAYKIT</v>
      </c>
      <c r="AG71" t="s">
        <v>563</v>
      </c>
      <c r="AH71" t="s">
        <v>694</v>
      </c>
      <c r="AI71" t="s">
        <v>397</v>
      </c>
      <c r="AJ71">
        <v>156.69999999999999</v>
      </c>
      <c r="AK71" t="s">
        <v>368</v>
      </c>
    </row>
    <row r="72" spans="3:37" ht="15.75" customHeight="1" thickBot="1" x14ac:dyDescent="0.4">
      <c r="C72" s="304" t="s">
        <v>4</v>
      </c>
      <c r="D72" s="789">
        <f t="shared" si="16"/>
        <v>0</v>
      </c>
      <c r="E72" s="790"/>
      <c r="F72" s="791" t="s">
        <v>12</v>
      </c>
      <c r="G72" s="792"/>
      <c r="H72" s="793"/>
      <c r="I72" s="794"/>
      <c r="J72" s="78"/>
      <c r="M72" s="303" t="s">
        <v>177</v>
      </c>
      <c r="N72" s="789">
        <f>ROUND(Q74*0.007,2)</f>
        <v>0</v>
      </c>
      <c r="O72" s="790"/>
      <c r="P72" s="826" t="str">
        <f>IF(P73="","","BASE RECOMMENDED BID AMT")</f>
        <v/>
      </c>
      <c r="Q72" s="827"/>
      <c r="R72" s="795" t="str">
        <f>IF(P73="","",ROUND(SUM(N68)*1.45+N69+N70+N71,0)+(ROUND(SUM(N68)*1.45+N69+N70+N71,0)*0.007))</f>
        <v/>
      </c>
      <c r="S72" s="796"/>
      <c r="T72" s="414"/>
      <c r="AE72" t="s">
        <v>617</v>
      </c>
      <c r="AF72" t="str">
        <f t="shared" ref="AF72:AF103" si="17">_xlfn.CONCAT(AG72:AI72)</f>
        <v>SIKA UCRETE RG 29 NA VERTICAL GRADE COVE MORTARTRAFFIC GREYKIT</v>
      </c>
      <c r="AG72" t="s">
        <v>564</v>
      </c>
      <c r="AH72" t="s">
        <v>703</v>
      </c>
      <c r="AI72" t="s">
        <v>397</v>
      </c>
      <c r="AJ72">
        <v>105.13</v>
      </c>
      <c r="AK72" t="s">
        <v>368</v>
      </c>
    </row>
    <row r="73" spans="3:37" ht="15.75" customHeight="1" thickBot="1" x14ac:dyDescent="0.4">
      <c r="C73" s="304" t="s">
        <v>5</v>
      </c>
      <c r="D73" s="789">
        <f t="shared" si="16"/>
        <v>0</v>
      </c>
      <c r="E73" s="790"/>
      <c r="F73" s="791" t="s">
        <v>13</v>
      </c>
      <c r="G73" s="792"/>
      <c r="H73" s="793"/>
      <c r="I73" s="794"/>
      <c r="J73" s="78"/>
      <c r="M73" s="303" t="s">
        <v>176</v>
      </c>
      <c r="N73" s="828">
        <f ca="1">SUM(N68:O72)+IF(R73="",0,R73)</f>
        <v>0</v>
      </c>
      <c r="O73" s="829"/>
      <c r="P73" s="839" t="str">
        <f>IF(OR(INFO!D21="CA",INFO!I21="CA"),"CA LITIGATION FUND - 7.8%","")</f>
        <v/>
      </c>
      <c r="Q73" s="840"/>
      <c r="R73" s="841" t="str">
        <f>IF(OR(INFO!$D$21="CA",INFO!I21="CA"),IF(D70=0,R72*0.078,""),"")</f>
        <v/>
      </c>
      <c r="S73" s="842"/>
      <c r="AE73" t="s">
        <v>618</v>
      </c>
      <c r="AF73" t="str">
        <f t="shared" si="17"/>
        <v>SIKA UCRETE TC31 NA MULTI PURPOSE HIGH BUILD COATINGBEIGEKIT</v>
      </c>
      <c r="AG73" t="s">
        <v>565</v>
      </c>
      <c r="AH73" t="s">
        <v>399</v>
      </c>
      <c r="AI73" t="s">
        <v>397</v>
      </c>
      <c r="AJ73">
        <v>91.51</v>
      </c>
      <c r="AK73" t="s">
        <v>368</v>
      </c>
    </row>
    <row r="74" spans="3:37" ht="15.75" customHeight="1" thickBot="1" x14ac:dyDescent="0.4">
      <c r="C74" s="304" t="s">
        <v>6</v>
      </c>
      <c r="D74" s="789">
        <f t="shared" si="16"/>
        <v>0</v>
      </c>
      <c r="E74" s="790"/>
      <c r="F74" s="791" t="s">
        <v>14</v>
      </c>
      <c r="G74" s="792"/>
      <c r="H74" s="795">
        <f>SUM(S45,S46,S47, S49)</f>
        <v>0</v>
      </c>
      <c r="I74" s="796"/>
      <c r="J74" s="78"/>
      <c r="M74" s="833" t="str">
        <f ca="1">"CUSTOMER BID AMOUNT ("&amp;TEXT(ROUND(SUM(N68)*1.45+N69+N70+N71,0)+(ROUND(SUM(N68)*1.45+N69+N70+N71,0)*0.007)+IF(R73="",0,R73),"$###,##0.00")&amp;" Recommended)"</f>
        <v>CUSTOMER BID AMOUNT ($0.00 Recommended)</v>
      </c>
      <c r="N74" s="834"/>
      <c r="O74" s="834"/>
      <c r="P74" s="835"/>
      <c r="Q74" s="836"/>
      <c r="R74" s="837"/>
      <c r="S74" s="838"/>
      <c r="AE74" t="s">
        <v>619</v>
      </c>
      <c r="AF74" t="str">
        <f t="shared" si="17"/>
        <v>SIKA UCRETE TC31 NA MULTI PURPOSE HIGH BUILD COATINGOXIDE REDKIT</v>
      </c>
      <c r="AG74" t="s">
        <v>565</v>
      </c>
      <c r="AH74" t="s">
        <v>698</v>
      </c>
      <c r="AI74" t="s">
        <v>397</v>
      </c>
      <c r="AJ74">
        <v>91.51</v>
      </c>
      <c r="AK74" t="s">
        <v>368</v>
      </c>
    </row>
    <row r="75" spans="3:37" ht="15.75" customHeight="1" thickBot="1" x14ac:dyDescent="0.4">
      <c r="C75" s="304" t="s">
        <v>7</v>
      </c>
      <c r="D75" s="789">
        <f t="shared" si="16"/>
        <v>0</v>
      </c>
      <c r="E75" s="790"/>
      <c r="F75" s="791" t="s">
        <v>853</v>
      </c>
      <c r="G75" s="792"/>
      <c r="H75" s="793"/>
      <c r="I75" s="794"/>
      <c r="J75" s="78"/>
      <c r="AE75" t="s">
        <v>620</v>
      </c>
      <c r="AF75" t="str">
        <f t="shared" si="17"/>
        <v>SIKA UCRETE TC31 NA MULTI PURPOSE HIGH BUILD COATINGAGATE GREYKIT</v>
      </c>
      <c r="AG75" t="s">
        <v>565</v>
      </c>
      <c r="AH75" t="s">
        <v>702</v>
      </c>
      <c r="AI75" t="s">
        <v>397</v>
      </c>
      <c r="AJ75">
        <v>91.51</v>
      </c>
      <c r="AK75" t="s">
        <v>368</v>
      </c>
    </row>
    <row r="76" spans="3:37" ht="15" thickBot="1" x14ac:dyDescent="0.4">
      <c r="C76" s="304" t="s">
        <v>850</v>
      </c>
      <c r="D76" s="793"/>
      <c r="E76" s="794"/>
      <c r="F76" s="791" t="s">
        <v>852</v>
      </c>
      <c r="G76" s="792"/>
      <c r="H76" s="793"/>
      <c r="I76" s="794"/>
      <c r="J76" s="78"/>
      <c r="M76" s="823" t="s">
        <v>440</v>
      </c>
      <c r="N76" s="824"/>
      <c r="O76" s="824"/>
      <c r="P76" s="824"/>
      <c r="Q76" s="824"/>
      <c r="R76" s="824"/>
      <c r="S76" s="825"/>
      <c r="Z76" t="s">
        <v>560</v>
      </c>
      <c r="AE76" t="s">
        <v>621</v>
      </c>
      <c r="AF76" t="str">
        <f t="shared" si="17"/>
        <v>SIKA UCRETE TC31 NA MULTI PURPOSE HIGH BUILD COATINGTRAFFIC GREYKIT</v>
      </c>
      <c r="AG76" t="s">
        <v>565</v>
      </c>
      <c r="AH76" t="s">
        <v>703</v>
      </c>
      <c r="AI76" t="s">
        <v>397</v>
      </c>
      <c r="AJ76">
        <v>91.51</v>
      </c>
      <c r="AK76" t="s">
        <v>368</v>
      </c>
    </row>
    <row r="77" spans="3:37" ht="15.75" customHeight="1" x14ac:dyDescent="0.35">
      <c r="C77" s="304" t="s">
        <v>851</v>
      </c>
      <c r="D77" s="793"/>
      <c r="E77" s="794"/>
      <c r="F77" s="791" t="s">
        <v>15</v>
      </c>
      <c r="G77" s="792"/>
      <c r="H77" s="795">
        <f>N72</f>
        <v>0</v>
      </c>
      <c r="I77" s="796"/>
      <c r="J77" s="78"/>
      <c r="M77" s="875"/>
      <c r="N77" s="876"/>
      <c r="O77" s="876"/>
      <c r="P77" s="876"/>
      <c r="Q77" s="876"/>
      <c r="R77" s="876"/>
      <c r="S77" s="877"/>
      <c r="Z77" t="s">
        <v>561</v>
      </c>
      <c r="AE77" t="s">
        <v>622</v>
      </c>
      <c r="AF77" t="str">
        <f t="shared" si="17"/>
        <v>SIKA UCRETE TC31 NA MULTI PURPOSE HIGH BUILD COATINGBASALT GRAYKIT</v>
      </c>
      <c r="AG77" t="s">
        <v>565</v>
      </c>
      <c r="AH77" t="s">
        <v>694</v>
      </c>
      <c r="AI77" t="s">
        <v>397</v>
      </c>
      <c r="AJ77">
        <v>91.51</v>
      </c>
      <c r="AK77" t="s">
        <v>368</v>
      </c>
    </row>
    <row r="78" spans="3:37" ht="15.75" customHeight="1" thickBot="1" x14ac:dyDescent="0.4">
      <c r="C78" s="306" t="str">
        <f>IF(P73="","","CA LITIGATION FUND")</f>
        <v/>
      </c>
      <c r="D78" s="828" t="str">
        <f>IF(P73="","",R73)</f>
        <v/>
      </c>
      <c r="E78" s="829"/>
      <c r="F78" s="799" t="s">
        <v>894</v>
      </c>
      <c r="G78" s="800"/>
      <c r="H78" s="830">
        <f>S48</f>
        <v>0</v>
      </c>
      <c r="I78" s="831"/>
      <c r="J78" s="78"/>
      <c r="M78" s="878"/>
      <c r="N78" s="879"/>
      <c r="O78" s="879"/>
      <c r="P78" s="879"/>
      <c r="Q78" s="879"/>
      <c r="R78" s="879"/>
      <c r="S78" s="880"/>
      <c r="Z78" t="s">
        <v>562</v>
      </c>
      <c r="AE78" t="s">
        <v>623</v>
      </c>
      <c r="AF78" t="str">
        <f t="shared" si="17"/>
        <v>SIKA UCRETE TCCS COLOR STABLE TOP COATBLUEKIT</v>
      </c>
      <c r="AG78" t="s">
        <v>566</v>
      </c>
      <c r="AH78" t="s">
        <v>391</v>
      </c>
      <c r="AI78" t="s">
        <v>397</v>
      </c>
      <c r="AJ78">
        <v>189.2</v>
      </c>
      <c r="AK78" t="s">
        <v>368</v>
      </c>
    </row>
    <row r="79" spans="3:37" ht="7.5" customHeight="1" thickBot="1" x14ac:dyDescent="0.4">
      <c r="J79" s="78"/>
      <c r="M79" s="878"/>
      <c r="N79" s="879"/>
      <c r="O79" s="879"/>
      <c r="P79" s="879"/>
      <c r="Q79" s="879"/>
      <c r="R79" s="879"/>
      <c r="S79" s="880"/>
      <c r="Z79" t="s">
        <v>563</v>
      </c>
      <c r="AE79" t="s">
        <v>624</v>
      </c>
      <c r="AF79" t="str">
        <f t="shared" si="17"/>
        <v>SIKA UCRETE TCCS COLOR STABLE TOP COATCREAMKIT</v>
      </c>
      <c r="AG79" t="s">
        <v>566</v>
      </c>
      <c r="AH79" t="s">
        <v>704</v>
      </c>
      <c r="AI79" t="s">
        <v>397</v>
      </c>
      <c r="AJ79">
        <v>189.2</v>
      </c>
      <c r="AK79" t="s">
        <v>368</v>
      </c>
    </row>
    <row r="80" spans="3:37" ht="15" thickBot="1" x14ac:dyDescent="0.4">
      <c r="C80" s="801" t="s">
        <v>725</v>
      </c>
      <c r="D80" s="802"/>
      <c r="E80" s="802"/>
      <c r="F80" s="802"/>
      <c r="G80" s="802"/>
      <c r="H80" s="802"/>
      <c r="I80" s="803"/>
      <c r="J80" s="78"/>
      <c r="M80" s="878"/>
      <c r="N80" s="879"/>
      <c r="O80" s="879"/>
      <c r="P80" s="879"/>
      <c r="Q80" s="879"/>
      <c r="R80" s="879"/>
      <c r="S80" s="880"/>
      <c r="Z80" t="s">
        <v>564</v>
      </c>
      <c r="AE80" t="s">
        <v>625</v>
      </c>
      <c r="AF80" t="str">
        <f t="shared" si="17"/>
        <v>SIKA UCRETE TCCS COLOR STABLE TOP COATGREEN BOWN/CHARCOALKIT</v>
      </c>
      <c r="AG80" t="s">
        <v>566</v>
      </c>
      <c r="AH80" t="s">
        <v>705</v>
      </c>
      <c r="AI80" t="s">
        <v>397</v>
      </c>
      <c r="AJ80">
        <v>189.2</v>
      </c>
      <c r="AK80" t="s">
        <v>368</v>
      </c>
    </row>
    <row r="81" spans="3:37" x14ac:dyDescent="0.35">
      <c r="C81" s="302" t="s">
        <v>726</v>
      </c>
      <c r="D81" s="806"/>
      <c r="E81" s="807"/>
      <c r="F81" s="808" t="s">
        <v>727</v>
      </c>
      <c r="G81" s="809"/>
      <c r="H81" s="806"/>
      <c r="I81" s="807"/>
      <c r="M81" s="878"/>
      <c r="N81" s="879"/>
      <c r="O81" s="879"/>
      <c r="P81" s="879"/>
      <c r="Q81" s="879"/>
      <c r="R81" s="879"/>
      <c r="S81" s="880"/>
      <c r="Z81" t="s">
        <v>565</v>
      </c>
      <c r="AE81" t="s">
        <v>626</v>
      </c>
      <c r="AF81" t="str">
        <f t="shared" si="17"/>
        <v>SIKA UCRETE TCCS COLOR STABLE TOP COATLIGHT GREENKIT</v>
      </c>
      <c r="AG81" t="s">
        <v>566</v>
      </c>
      <c r="AH81" t="s">
        <v>706</v>
      </c>
      <c r="AI81" t="s">
        <v>397</v>
      </c>
      <c r="AJ81">
        <v>189.2</v>
      </c>
      <c r="AK81" t="s">
        <v>368</v>
      </c>
    </row>
    <row r="82" spans="3:37" x14ac:dyDescent="0.35">
      <c r="C82" s="304" t="s">
        <v>728</v>
      </c>
      <c r="D82" s="793"/>
      <c r="E82" s="794"/>
      <c r="F82" s="791" t="s">
        <v>729</v>
      </c>
      <c r="G82" s="792"/>
      <c r="H82" s="793"/>
      <c r="I82" s="794"/>
      <c r="M82" s="878"/>
      <c r="N82" s="879"/>
      <c r="O82" s="879"/>
      <c r="P82" s="879"/>
      <c r="Q82" s="879"/>
      <c r="R82" s="879"/>
      <c r="S82" s="880"/>
      <c r="Z82" t="s">
        <v>566</v>
      </c>
      <c r="AE82" t="s">
        <v>627</v>
      </c>
      <c r="AF82" t="str">
        <f t="shared" si="17"/>
        <v>SIKA UCRETE TCCS COLOR STABLE TOP COATORANGEKIT</v>
      </c>
      <c r="AG82" t="s">
        <v>566</v>
      </c>
      <c r="AH82" t="s">
        <v>707</v>
      </c>
      <c r="AI82" t="s">
        <v>397</v>
      </c>
      <c r="AJ82">
        <v>189.2</v>
      </c>
      <c r="AK82" t="s">
        <v>368</v>
      </c>
    </row>
    <row r="83" spans="3:37" ht="15" thickBot="1" x14ac:dyDescent="0.4">
      <c r="C83" s="306" t="s">
        <v>730</v>
      </c>
      <c r="D83" s="797"/>
      <c r="E83" s="798"/>
      <c r="F83" s="799" t="s">
        <v>731</v>
      </c>
      <c r="G83" s="800"/>
      <c r="H83" s="797"/>
      <c r="I83" s="798"/>
      <c r="M83" s="881"/>
      <c r="N83" s="882"/>
      <c r="O83" s="882"/>
      <c r="P83" s="882"/>
      <c r="Q83" s="882"/>
      <c r="R83" s="882"/>
      <c r="S83" s="883"/>
      <c r="Z83" t="s">
        <v>568</v>
      </c>
      <c r="AE83" t="s">
        <v>628</v>
      </c>
      <c r="AF83" t="str">
        <f t="shared" si="17"/>
        <v>SIKA UCRETE TCCS COLOR STABLE TOP COATYELLOWKIT</v>
      </c>
      <c r="AG83" t="s">
        <v>566</v>
      </c>
      <c r="AH83" t="s">
        <v>383</v>
      </c>
      <c r="AI83" t="s">
        <v>397</v>
      </c>
      <c r="AJ83">
        <v>189.2</v>
      </c>
      <c r="AK83" t="s">
        <v>368</v>
      </c>
    </row>
    <row r="84" spans="3:37" ht="16" thickBot="1" x14ac:dyDescent="0.4">
      <c r="P84" s="599" t="s">
        <v>1082</v>
      </c>
      <c r="Q84" s="600">
        <f>SUM(INFO!$D$8:'INFO'!$D$14)</f>
        <v>0</v>
      </c>
      <c r="R84" s="599" t="s">
        <v>1083</v>
      </c>
      <c r="S84" s="601" t="str">
        <f>IFERROR(INFO!$I$54/INFO!$H$56, "")</f>
        <v/>
      </c>
      <c r="AE84" t="s">
        <v>629</v>
      </c>
      <c r="AF84" t="str">
        <f t="shared" si="17"/>
        <v>SIKA UCRETE TCCS COLOR STABLE TOP COATBRIGHT YELLOWKIT</v>
      </c>
      <c r="AG84" t="s">
        <v>566</v>
      </c>
      <c r="AH84" t="s">
        <v>400</v>
      </c>
      <c r="AI84" t="s">
        <v>397</v>
      </c>
      <c r="AJ84">
        <v>189.2</v>
      </c>
      <c r="AK84" t="s">
        <v>368</v>
      </c>
    </row>
    <row r="85" spans="3:37" ht="15" thickBot="1" x14ac:dyDescent="0.4">
      <c r="AE85" t="s">
        <v>630</v>
      </c>
      <c r="AF85" t="str">
        <f t="shared" si="17"/>
        <v>SIKA UCRETE TCCS COLOR STABLE TOP COATGREENKIT</v>
      </c>
      <c r="AG85" t="s">
        <v>566</v>
      </c>
      <c r="AH85" t="s">
        <v>395</v>
      </c>
      <c r="AI85" t="s">
        <v>397</v>
      </c>
      <c r="AJ85">
        <v>189.2</v>
      </c>
      <c r="AK85" t="s">
        <v>368</v>
      </c>
    </row>
    <row r="86" spans="3:37" ht="15" thickBot="1" x14ac:dyDescent="0.4">
      <c r="C86" s="642" t="s">
        <v>1085</v>
      </c>
      <c r="F86"/>
      <c r="G86"/>
      <c r="H86"/>
      <c r="I86"/>
      <c r="J86"/>
      <c r="P86"/>
      <c r="Q86"/>
      <c r="R86"/>
      <c r="AE86" t="s">
        <v>631</v>
      </c>
      <c r="AF86" t="str">
        <f t="shared" si="17"/>
        <v>SIKA UCRETE TCCS COLOR STABLE TOP COATLIGHT BLUEKIT</v>
      </c>
      <c r="AG86" t="s">
        <v>566</v>
      </c>
      <c r="AH86" t="s">
        <v>708</v>
      </c>
      <c r="AI86" t="s">
        <v>397</v>
      </c>
      <c r="AJ86">
        <v>189.2</v>
      </c>
      <c r="AK86" t="s">
        <v>368</v>
      </c>
    </row>
    <row r="87" spans="3:37" x14ac:dyDescent="0.35">
      <c r="C87" s="624"/>
      <c r="D87" s="625"/>
      <c r="E87" s="625"/>
      <c r="F87" s="625"/>
      <c r="G87" s="625"/>
      <c r="H87" s="625"/>
      <c r="I87" s="625"/>
      <c r="J87" s="625"/>
      <c r="K87" s="626"/>
      <c r="L87" s="625"/>
      <c r="M87" s="626"/>
      <c r="N87" s="625"/>
      <c r="O87" s="625"/>
      <c r="P87" s="625"/>
      <c r="Q87" s="625"/>
      <c r="R87" s="625"/>
      <c r="S87" s="627"/>
      <c r="AE87" t="s">
        <v>632</v>
      </c>
      <c r="AF87" t="str">
        <f t="shared" si="17"/>
        <v>SIKA UCRETE TCCS COLOR STABLE TOP COATLIGHT GREYKIT</v>
      </c>
      <c r="AG87" t="s">
        <v>566</v>
      </c>
      <c r="AH87" t="s">
        <v>709</v>
      </c>
      <c r="AI87" t="s">
        <v>397</v>
      </c>
      <c r="AJ87">
        <v>189.2</v>
      </c>
      <c r="AK87" t="s">
        <v>368</v>
      </c>
    </row>
    <row r="88" spans="3:37" x14ac:dyDescent="0.35">
      <c r="C88" s="628"/>
      <c r="D88" s="629"/>
      <c r="E88" s="629"/>
      <c r="F88" s="629"/>
      <c r="G88" s="629"/>
      <c r="H88" s="629"/>
      <c r="I88" s="629"/>
      <c r="J88" s="629"/>
      <c r="K88" s="630"/>
      <c r="L88" s="629"/>
      <c r="M88" s="630"/>
      <c r="N88" s="629"/>
      <c r="O88" s="629"/>
      <c r="P88" s="629"/>
      <c r="Q88" s="629"/>
      <c r="R88" s="629"/>
      <c r="S88" s="631"/>
      <c r="AE88" t="s">
        <v>633</v>
      </c>
      <c r="AF88" t="str">
        <f t="shared" si="17"/>
        <v>SIKA UCRETE TCCS COLOR STABLE TOP COATREDKIT</v>
      </c>
      <c r="AG88" t="s">
        <v>566</v>
      </c>
      <c r="AH88" t="s">
        <v>396</v>
      </c>
      <c r="AI88" t="s">
        <v>397</v>
      </c>
      <c r="AJ88">
        <v>189.2</v>
      </c>
      <c r="AK88" t="s">
        <v>368</v>
      </c>
    </row>
    <row r="89" spans="3:37" x14ac:dyDescent="0.35">
      <c r="C89" s="628"/>
      <c r="D89" s="629"/>
      <c r="E89" s="629"/>
      <c r="F89" s="629"/>
      <c r="G89" s="629"/>
      <c r="H89" s="629"/>
      <c r="I89" s="629"/>
      <c r="J89" s="629"/>
      <c r="K89" s="630"/>
      <c r="L89" s="629"/>
      <c r="M89" s="630"/>
      <c r="N89" s="629"/>
      <c r="O89" s="629"/>
      <c r="P89" s="629"/>
      <c r="Q89" s="629"/>
      <c r="R89" s="629"/>
      <c r="S89" s="631"/>
      <c r="AE89" t="s">
        <v>643</v>
      </c>
      <c r="AF89" t="str">
        <f t="shared" si="17"/>
        <v>SIKA UCRETE ACCELERATORN/A67 OZ</v>
      </c>
      <c r="AG89" t="s">
        <v>568</v>
      </c>
      <c r="AH89" t="s">
        <v>398</v>
      </c>
      <c r="AI89" t="s">
        <v>551</v>
      </c>
      <c r="AJ89">
        <v>68.75</v>
      </c>
      <c r="AK89" t="s">
        <v>368</v>
      </c>
    </row>
    <row r="90" spans="3:37" x14ac:dyDescent="0.35">
      <c r="C90" s="628"/>
      <c r="D90" s="629"/>
      <c r="E90" s="629"/>
      <c r="F90" s="629"/>
      <c r="G90" s="629"/>
      <c r="H90" s="629"/>
      <c r="I90" s="629"/>
      <c r="J90" s="629"/>
      <c r="K90" s="630"/>
      <c r="L90" s="629"/>
      <c r="M90" s="630"/>
      <c r="N90" s="629"/>
      <c r="O90" s="629"/>
      <c r="P90" s="629"/>
      <c r="Q90" s="629"/>
      <c r="R90" s="629"/>
      <c r="S90" s="631"/>
      <c r="AE90" t="s">
        <v>576</v>
      </c>
      <c r="AF90" t="str">
        <f t="shared" si="17"/>
        <v>SIKAFLOOR-264 VERSATILE PIGMENTED EPOXYSILVER GRAY4.5 GAL</v>
      </c>
      <c r="AG90" t="s">
        <v>554</v>
      </c>
      <c r="AH90" t="s">
        <v>321</v>
      </c>
      <c r="AI90" t="s">
        <v>528</v>
      </c>
      <c r="AJ90">
        <v>292.99</v>
      </c>
      <c r="AK90" t="s">
        <v>311</v>
      </c>
    </row>
    <row r="91" spans="3:37" x14ac:dyDescent="0.35">
      <c r="C91" s="628"/>
      <c r="D91" s="629"/>
      <c r="E91" s="629"/>
      <c r="F91" s="629"/>
      <c r="G91" s="629"/>
      <c r="H91" s="629"/>
      <c r="I91" s="629"/>
      <c r="J91" s="629"/>
      <c r="K91" s="630"/>
      <c r="L91" s="629"/>
      <c r="M91" s="630"/>
      <c r="N91" s="629"/>
      <c r="O91" s="629"/>
      <c r="P91" s="629"/>
      <c r="Q91" s="629"/>
      <c r="R91" s="629"/>
      <c r="S91" s="631"/>
      <c r="AE91" t="s">
        <v>577</v>
      </c>
      <c r="AF91" t="str">
        <f t="shared" si="17"/>
        <v>SIKAFLOOR-264 VERSATILE PIGMENTED EPOXYLIGHT GRAY4.5 GAL</v>
      </c>
      <c r="AG91" t="s">
        <v>554</v>
      </c>
      <c r="AH91" t="s">
        <v>384</v>
      </c>
      <c r="AI91" t="s">
        <v>528</v>
      </c>
      <c r="AJ91">
        <v>292.99</v>
      </c>
      <c r="AK91" t="s">
        <v>311</v>
      </c>
    </row>
    <row r="92" spans="3:37" x14ac:dyDescent="0.35">
      <c r="C92" s="628"/>
      <c r="D92" s="629"/>
      <c r="E92" s="629"/>
      <c r="F92" s="629"/>
      <c r="G92" s="629"/>
      <c r="H92" s="629"/>
      <c r="I92" s="629"/>
      <c r="J92" s="629"/>
      <c r="K92" s="630"/>
      <c r="L92" s="629"/>
      <c r="M92" s="630"/>
      <c r="N92" s="629"/>
      <c r="O92" s="629"/>
      <c r="P92" s="629"/>
      <c r="Q92" s="629"/>
      <c r="R92" s="629"/>
      <c r="S92" s="631"/>
      <c r="AE92" t="s">
        <v>578</v>
      </c>
      <c r="AF92" t="str">
        <f t="shared" si="17"/>
        <v>SIKAFLOOR-264 VERSATILE PIGMENTED EPOXYOXFORD GRAY4.5 GAL</v>
      </c>
      <c r="AG92" t="s">
        <v>554</v>
      </c>
      <c r="AH92" t="s">
        <v>687</v>
      </c>
      <c r="AI92" t="s">
        <v>528</v>
      </c>
      <c r="AJ92">
        <v>292.99</v>
      </c>
      <c r="AK92" t="s">
        <v>311</v>
      </c>
    </row>
    <row r="93" spans="3:37" x14ac:dyDescent="0.35">
      <c r="C93" s="628"/>
      <c r="D93" s="629"/>
      <c r="E93" s="629"/>
      <c r="F93" s="629"/>
      <c r="G93" s="629"/>
      <c r="H93" s="629"/>
      <c r="I93" s="629"/>
      <c r="J93" s="629"/>
      <c r="K93" s="630"/>
      <c r="L93" s="629"/>
      <c r="M93" s="630"/>
      <c r="N93" s="629"/>
      <c r="O93" s="629"/>
      <c r="P93" s="629"/>
      <c r="Q93" s="629"/>
      <c r="R93" s="629"/>
      <c r="S93" s="631"/>
      <c r="AE93" t="s">
        <v>579</v>
      </c>
      <c r="AF93" t="str">
        <f t="shared" si="17"/>
        <v>SIKAFLOOR-264 VERSATILE PIGMENTED EPOXYWINDOW GRAY4.5 GAL</v>
      </c>
      <c r="AG93" t="s">
        <v>554</v>
      </c>
      <c r="AH93" t="s">
        <v>688</v>
      </c>
      <c r="AI93" t="s">
        <v>528</v>
      </c>
      <c r="AJ93">
        <v>292.99</v>
      </c>
      <c r="AK93" t="s">
        <v>311</v>
      </c>
    </row>
    <row r="94" spans="3:37" x14ac:dyDescent="0.35">
      <c r="C94" s="628"/>
      <c r="D94" s="629"/>
      <c r="E94" s="629"/>
      <c r="F94" s="629"/>
      <c r="G94" s="629"/>
      <c r="H94" s="629"/>
      <c r="I94" s="629"/>
      <c r="J94" s="629"/>
      <c r="K94" s="630"/>
      <c r="L94" s="629"/>
      <c r="M94" s="630"/>
      <c r="N94" s="629"/>
      <c r="O94" s="629"/>
      <c r="P94" s="629"/>
      <c r="Q94" s="629"/>
      <c r="R94" s="629"/>
      <c r="S94" s="631"/>
      <c r="AE94" t="s">
        <v>580</v>
      </c>
      <c r="AF94" t="str">
        <f t="shared" si="17"/>
        <v>SIKAFLOOR-264 VERSATILE PIGMENTED EPOXYTRAFFIC GRAY4.5 GAL</v>
      </c>
      <c r="AG94" t="s">
        <v>554</v>
      </c>
      <c r="AH94" t="s">
        <v>689</v>
      </c>
      <c r="AI94" t="s">
        <v>528</v>
      </c>
      <c r="AJ94">
        <v>292.99</v>
      </c>
      <c r="AK94" t="s">
        <v>311</v>
      </c>
    </row>
    <row r="95" spans="3:37" x14ac:dyDescent="0.35">
      <c r="C95" s="628"/>
      <c r="D95" s="629"/>
      <c r="E95" s="629"/>
      <c r="F95" s="629"/>
      <c r="G95" s="629"/>
      <c r="H95" s="629"/>
      <c r="I95" s="629"/>
      <c r="J95" s="629"/>
      <c r="K95" s="630"/>
      <c r="L95" s="629"/>
      <c r="M95" s="630"/>
      <c r="N95" s="629"/>
      <c r="O95" s="629"/>
      <c r="P95" s="629"/>
      <c r="Q95" s="629"/>
      <c r="R95" s="629"/>
      <c r="S95" s="631"/>
      <c r="AE95" t="s">
        <v>581</v>
      </c>
      <c r="AF95" t="str">
        <f t="shared" si="17"/>
        <v>SIKAFLOOR-264 VERSATILE PIGMENTED EPOXYBEIGE ROSE4.5 GAL</v>
      </c>
      <c r="AG95" t="s">
        <v>554</v>
      </c>
      <c r="AH95" t="s">
        <v>690</v>
      </c>
      <c r="AI95" t="s">
        <v>528</v>
      </c>
      <c r="AJ95">
        <v>292.99</v>
      </c>
      <c r="AK95" t="s">
        <v>311</v>
      </c>
    </row>
    <row r="96" spans="3:37" x14ac:dyDescent="0.35">
      <c r="C96" s="628"/>
      <c r="D96" s="629"/>
      <c r="E96" s="629"/>
      <c r="F96" s="629"/>
      <c r="G96" s="629"/>
      <c r="H96" s="629"/>
      <c r="I96" s="629"/>
      <c r="J96" s="629"/>
      <c r="K96" s="630"/>
      <c r="L96" s="629"/>
      <c r="M96" s="630"/>
      <c r="N96" s="629"/>
      <c r="O96" s="629"/>
      <c r="P96" s="629"/>
      <c r="Q96" s="629"/>
      <c r="R96" s="629"/>
      <c r="S96" s="631"/>
      <c r="AE96" t="s">
        <v>582</v>
      </c>
      <c r="AF96" t="str">
        <f t="shared" si="17"/>
        <v>SIKAFLOOR-264 VERSATILE PIGMENTED EPOXYRAFFIA BEIGE4.5 GAL</v>
      </c>
      <c r="AG96" t="s">
        <v>554</v>
      </c>
      <c r="AH96" t="s">
        <v>691</v>
      </c>
      <c r="AI96" t="s">
        <v>528</v>
      </c>
      <c r="AJ96">
        <v>292.99</v>
      </c>
      <c r="AK96" t="s">
        <v>311</v>
      </c>
    </row>
    <row r="97" spans="3:37" x14ac:dyDescent="0.35">
      <c r="C97" s="628"/>
      <c r="D97" s="629"/>
      <c r="E97" s="629"/>
      <c r="F97" s="629"/>
      <c r="G97" s="629"/>
      <c r="H97" s="629"/>
      <c r="I97" s="629"/>
      <c r="J97" s="629"/>
      <c r="K97" s="630"/>
      <c r="L97" s="629"/>
      <c r="M97" s="630"/>
      <c r="N97" s="629"/>
      <c r="O97" s="629"/>
      <c r="P97" s="629"/>
      <c r="Q97" s="629"/>
      <c r="R97" s="629"/>
      <c r="S97" s="631"/>
      <c r="AE97" t="s">
        <v>583</v>
      </c>
      <c r="AF97" t="str">
        <f t="shared" si="17"/>
        <v>SIKAFLOOR-264 VERSATILE PIGMENTED EPOXYBEIGE4.5 GAL</v>
      </c>
      <c r="AG97" t="s">
        <v>554</v>
      </c>
      <c r="AH97" t="s">
        <v>399</v>
      </c>
      <c r="AI97" t="s">
        <v>528</v>
      </c>
      <c r="AJ97">
        <v>292.99</v>
      </c>
      <c r="AK97" t="s">
        <v>311</v>
      </c>
    </row>
    <row r="98" spans="3:37" x14ac:dyDescent="0.35">
      <c r="C98" s="628"/>
      <c r="D98" s="629"/>
      <c r="E98" s="629"/>
      <c r="F98" s="629"/>
      <c r="G98" s="629"/>
      <c r="H98" s="629"/>
      <c r="I98" s="629"/>
      <c r="J98" s="629"/>
      <c r="K98" s="630"/>
      <c r="L98" s="629"/>
      <c r="M98" s="630"/>
      <c r="N98" s="629"/>
      <c r="O98" s="629"/>
      <c r="P98" s="629"/>
      <c r="Q98" s="629"/>
      <c r="R98" s="629"/>
      <c r="S98" s="631"/>
      <c r="AE98" t="s">
        <v>584</v>
      </c>
      <c r="AF98" t="str">
        <f t="shared" si="17"/>
        <v>SIKAFLOOR-264 VERSATILE PIGMENTED EPOXYTAN 2514.5 GAL</v>
      </c>
      <c r="AG98" t="s">
        <v>554</v>
      </c>
      <c r="AH98" t="s">
        <v>692</v>
      </c>
      <c r="AI98" t="s">
        <v>528</v>
      </c>
      <c r="AJ98">
        <v>292.99</v>
      </c>
      <c r="AK98" t="s">
        <v>311</v>
      </c>
    </row>
    <row r="99" spans="3:37" x14ac:dyDescent="0.35">
      <c r="C99" s="628"/>
      <c r="D99" s="629"/>
      <c r="E99" s="629"/>
      <c r="F99" s="629"/>
      <c r="G99" s="629"/>
      <c r="H99" s="629"/>
      <c r="I99" s="629"/>
      <c r="J99" s="629"/>
      <c r="K99" s="630"/>
      <c r="L99" s="629"/>
      <c r="M99" s="630"/>
      <c r="N99" s="629"/>
      <c r="O99" s="629"/>
      <c r="P99" s="629"/>
      <c r="Q99" s="629"/>
      <c r="R99" s="629"/>
      <c r="S99" s="631"/>
      <c r="AE99" t="s">
        <v>585</v>
      </c>
      <c r="AF99" t="str">
        <f t="shared" si="17"/>
        <v>SIKAFLOOR-264 VERSATILE PIGMENTED EPOXYGRAY BEIGE4.5 GAL</v>
      </c>
      <c r="AG99" t="s">
        <v>554</v>
      </c>
      <c r="AH99" t="s">
        <v>693</v>
      </c>
      <c r="AI99" t="s">
        <v>528</v>
      </c>
      <c r="AJ99">
        <v>292.99</v>
      </c>
      <c r="AK99" t="s">
        <v>311</v>
      </c>
    </row>
    <row r="100" spans="3:37" x14ac:dyDescent="0.35">
      <c r="C100" s="628"/>
      <c r="D100" s="629"/>
      <c r="E100" s="629"/>
      <c r="F100" s="629"/>
      <c r="G100" s="629"/>
      <c r="H100" s="629"/>
      <c r="I100" s="629"/>
      <c r="J100" s="629"/>
      <c r="K100" s="630"/>
      <c r="L100" s="629"/>
      <c r="M100" s="630"/>
      <c r="N100" s="629"/>
      <c r="O100" s="629"/>
      <c r="P100" s="629"/>
      <c r="Q100" s="629"/>
      <c r="R100" s="629"/>
      <c r="S100" s="631"/>
      <c r="AE100" t="s">
        <v>586</v>
      </c>
      <c r="AF100" t="str">
        <f t="shared" si="17"/>
        <v>SIKAFLOOR-264 VERSATILE PIGMENTED EPOXYBASALT GRAY4.5 GAL</v>
      </c>
      <c r="AG100" t="s">
        <v>554</v>
      </c>
      <c r="AH100" t="s">
        <v>694</v>
      </c>
      <c r="AI100" t="s">
        <v>528</v>
      </c>
      <c r="AJ100">
        <v>292.99</v>
      </c>
      <c r="AK100" t="s">
        <v>311</v>
      </c>
    </row>
    <row r="101" spans="3:37" x14ac:dyDescent="0.35">
      <c r="C101" s="628"/>
      <c r="D101" s="629"/>
      <c r="E101" s="629"/>
      <c r="F101" s="629"/>
      <c r="G101" s="629"/>
      <c r="H101" s="629"/>
      <c r="I101" s="629"/>
      <c r="J101" s="629"/>
      <c r="K101" s="630"/>
      <c r="L101" s="629"/>
      <c r="M101" s="630"/>
      <c r="N101" s="629"/>
      <c r="O101" s="629"/>
      <c r="P101" s="629"/>
      <c r="Q101" s="629"/>
      <c r="R101" s="629"/>
      <c r="S101" s="631"/>
      <c r="AE101" t="s">
        <v>587</v>
      </c>
      <c r="AF101" t="str">
        <f t="shared" si="17"/>
        <v>SIKAFLOOR-264 VERSATILE PIGMENTED EPOXYTRAFFIC BLUE4.5 GAL</v>
      </c>
      <c r="AG101" t="s">
        <v>554</v>
      </c>
      <c r="AH101" t="s">
        <v>695</v>
      </c>
      <c r="AI101" t="s">
        <v>528</v>
      </c>
      <c r="AJ101">
        <v>292.99</v>
      </c>
      <c r="AK101" t="s">
        <v>311</v>
      </c>
    </row>
    <row r="102" spans="3:37" x14ac:dyDescent="0.35">
      <c r="C102" s="628"/>
      <c r="D102" s="629"/>
      <c r="E102" s="629"/>
      <c r="F102" s="629"/>
      <c r="G102" s="629"/>
      <c r="H102" s="629"/>
      <c r="I102" s="629"/>
      <c r="J102" s="629"/>
      <c r="K102" s="630"/>
      <c r="L102" s="629"/>
      <c r="M102" s="630"/>
      <c r="N102" s="629"/>
      <c r="O102" s="629"/>
      <c r="P102" s="629"/>
      <c r="Q102" s="629"/>
      <c r="R102" s="629"/>
      <c r="S102" s="631"/>
      <c r="AE102" t="s">
        <v>588</v>
      </c>
      <c r="AF102" t="str">
        <f t="shared" si="17"/>
        <v>SIKAFLOOR-264 VERSATILE PIGMENTED EPOXYPALE GREEN4.5 GAL</v>
      </c>
      <c r="AG102" t="s">
        <v>554</v>
      </c>
      <c r="AH102" t="s">
        <v>696</v>
      </c>
      <c r="AI102" t="s">
        <v>528</v>
      </c>
      <c r="AJ102">
        <v>292.99</v>
      </c>
      <c r="AK102" t="s">
        <v>311</v>
      </c>
    </row>
    <row r="103" spans="3:37" x14ac:dyDescent="0.35">
      <c r="C103" s="628"/>
      <c r="D103" s="629"/>
      <c r="E103" s="629"/>
      <c r="F103" s="629"/>
      <c r="G103" s="629"/>
      <c r="H103" s="629"/>
      <c r="I103" s="629"/>
      <c r="J103" s="629"/>
      <c r="K103" s="630"/>
      <c r="L103" s="629"/>
      <c r="M103" s="630"/>
      <c r="N103" s="629"/>
      <c r="O103" s="629"/>
      <c r="P103" s="629"/>
      <c r="Q103" s="629"/>
      <c r="R103" s="629"/>
      <c r="S103" s="631"/>
      <c r="AE103" t="s">
        <v>589</v>
      </c>
      <c r="AF103" t="str">
        <f t="shared" si="17"/>
        <v>SIKAFLOOR-264 VERSATILE PIGMENTED EPOXYSIGNAL YELLOW4.5 GAL</v>
      </c>
      <c r="AG103" t="s">
        <v>554</v>
      </c>
      <c r="AH103" t="s">
        <v>697</v>
      </c>
      <c r="AI103" t="s">
        <v>528</v>
      </c>
      <c r="AJ103">
        <v>292.99</v>
      </c>
      <c r="AK103" t="s">
        <v>311</v>
      </c>
    </row>
    <row r="104" spans="3:37" x14ac:dyDescent="0.35">
      <c r="C104" s="628"/>
      <c r="D104" s="629"/>
      <c r="E104" s="629"/>
      <c r="F104" s="629"/>
      <c r="G104" s="629"/>
      <c r="H104" s="629"/>
      <c r="I104" s="629"/>
      <c r="J104" s="629"/>
      <c r="K104" s="630"/>
      <c r="L104" s="629"/>
      <c r="M104" s="630"/>
      <c r="N104" s="629"/>
      <c r="O104" s="629"/>
      <c r="P104" s="629"/>
      <c r="Q104" s="629"/>
      <c r="R104" s="629"/>
      <c r="S104" s="631"/>
      <c r="AE104" t="s">
        <v>590</v>
      </c>
      <c r="AF104" t="str">
        <f t="shared" ref="AF104:AF132" si="18">_xlfn.CONCAT(AG104:AI104)</f>
        <v>SIKAFLOOR-264 VERSATILE PIGMENTED EPOXYOXIDE RED4.5 GAL</v>
      </c>
      <c r="AG104" t="s">
        <v>554</v>
      </c>
      <c r="AH104" t="s">
        <v>698</v>
      </c>
      <c r="AI104" t="s">
        <v>528</v>
      </c>
      <c r="AJ104">
        <v>292.99</v>
      </c>
      <c r="AK104" t="s">
        <v>311</v>
      </c>
    </row>
    <row r="105" spans="3:37" x14ac:dyDescent="0.35">
      <c r="C105" s="628"/>
      <c r="D105" s="629"/>
      <c r="E105" s="629"/>
      <c r="F105" s="629"/>
      <c r="G105" s="629"/>
      <c r="H105" s="629"/>
      <c r="I105" s="629"/>
      <c r="J105" s="629"/>
      <c r="K105" s="630"/>
      <c r="L105" s="629"/>
      <c r="M105" s="630"/>
      <c r="N105" s="629"/>
      <c r="O105" s="629"/>
      <c r="P105" s="629"/>
      <c r="Q105" s="629"/>
      <c r="R105" s="629"/>
      <c r="S105" s="631"/>
      <c r="AE105" t="s">
        <v>591</v>
      </c>
      <c r="AF105" t="str">
        <f t="shared" si="18"/>
        <v>SIKAFLOOR-264 VERSATILE PIGMENTED EPOXYTRAFFIC RED4.5 GAL</v>
      </c>
      <c r="AG105" t="s">
        <v>554</v>
      </c>
      <c r="AH105" t="s">
        <v>699</v>
      </c>
      <c r="AI105" t="s">
        <v>528</v>
      </c>
      <c r="AJ105">
        <v>292.99</v>
      </c>
      <c r="AK105" t="s">
        <v>311</v>
      </c>
    </row>
    <row r="106" spans="3:37" x14ac:dyDescent="0.35">
      <c r="C106" s="628"/>
      <c r="D106" s="629"/>
      <c r="E106" s="629"/>
      <c r="F106" s="629"/>
      <c r="G106" s="629"/>
      <c r="H106" s="629"/>
      <c r="I106" s="629"/>
      <c r="J106" s="629"/>
      <c r="K106" s="630"/>
      <c r="L106" s="629"/>
      <c r="M106" s="630"/>
      <c r="N106" s="629"/>
      <c r="O106" s="629"/>
      <c r="P106" s="629"/>
      <c r="Q106" s="629"/>
      <c r="R106" s="629"/>
      <c r="S106" s="631"/>
      <c r="AE106" t="s">
        <v>592</v>
      </c>
      <c r="AF106" t="str">
        <f t="shared" si="18"/>
        <v>SIKAFLOOR-264 VERSATILE PIGMENTED EPOXYSIGNAL WHITE4.5 GAL</v>
      </c>
      <c r="AG106" t="s">
        <v>554</v>
      </c>
      <c r="AH106" t="s">
        <v>700</v>
      </c>
      <c r="AI106" t="s">
        <v>528</v>
      </c>
      <c r="AJ106">
        <v>292.99</v>
      </c>
      <c r="AK106" t="s">
        <v>311</v>
      </c>
    </row>
    <row r="107" spans="3:37" x14ac:dyDescent="0.35">
      <c r="C107" s="628"/>
      <c r="D107" s="629"/>
      <c r="E107" s="629"/>
      <c r="F107" s="629"/>
      <c r="G107" s="629"/>
      <c r="H107" s="629"/>
      <c r="I107" s="629"/>
      <c r="J107" s="629"/>
      <c r="K107" s="630"/>
      <c r="L107" s="629"/>
      <c r="M107" s="630"/>
      <c r="N107" s="629"/>
      <c r="O107" s="629"/>
      <c r="P107" s="629"/>
      <c r="Q107" s="629"/>
      <c r="R107" s="629"/>
      <c r="S107" s="631"/>
      <c r="AE107" t="s">
        <v>593</v>
      </c>
      <c r="AF107" t="str">
        <f t="shared" si="18"/>
        <v>SIKAFLOOR-264 VERSATILE PIGMENTED EPOXYJET BLACK4.5 GAL</v>
      </c>
      <c r="AG107" t="s">
        <v>554</v>
      </c>
      <c r="AH107" t="s">
        <v>701</v>
      </c>
      <c r="AI107" t="s">
        <v>528</v>
      </c>
      <c r="AJ107">
        <v>292.99</v>
      </c>
      <c r="AK107" t="s">
        <v>311</v>
      </c>
    </row>
    <row r="108" spans="3:37" x14ac:dyDescent="0.35">
      <c r="C108" s="628"/>
      <c r="D108" s="629"/>
      <c r="E108" s="629"/>
      <c r="F108" s="629"/>
      <c r="G108" s="629"/>
      <c r="H108" s="629"/>
      <c r="I108" s="629"/>
      <c r="J108" s="629"/>
      <c r="K108" s="630"/>
      <c r="L108" s="629"/>
      <c r="M108" s="630"/>
      <c r="N108" s="629"/>
      <c r="O108" s="629"/>
      <c r="P108" s="629"/>
      <c r="Q108" s="629"/>
      <c r="R108" s="629"/>
      <c r="S108" s="631"/>
      <c r="AE108" t="s">
        <v>594</v>
      </c>
      <c r="AF108" t="str">
        <f t="shared" si="18"/>
        <v>SIKAFLOOR-264 FS FAST SETTING EPOXYSILVER GRAY4.5 GAL</v>
      </c>
      <c r="AG108" t="s">
        <v>555</v>
      </c>
      <c r="AH108" t="s">
        <v>321</v>
      </c>
      <c r="AI108" t="s">
        <v>528</v>
      </c>
      <c r="AJ108">
        <v>356.95</v>
      </c>
      <c r="AK108" t="s">
        <v>311</v>
      </c>
    </row>
    <row r="109" spans="3:37" x14ac:dyDescent="0.35">
      <c r="C109" s="628"/>
      <c r="D109" s="629"/>
      <c r="E109" s="629"/>
      <c r="F109" s="629"/>
      <c r="G109" s="629"/>
      <c r="H109" s="629"/>
      <c r="I109" s="629"/>
      <c r="J109" s="629"/>
      <c r="K109" s="630"/>
      <c r="L109" s="629"/>
      <c r="M109" s="630"/>
      <c r="N109" s="629"/>
      <c r="O109" s="629"/>
      <c r="P109" s="629"/>
      <c r="Q109" s="629"/>
      <c r="R109" s="629"/>
      <c r="S109" s="631"/>
      <c r="AE109" t="s">
        <v>595</v>
      </c>
      <c r="AF109" t="str">
        <f t="shared" si="18"/>
        <v>SIKAFLOOR-264 FS FAST SETTING EPOXYLIGHT GRAY4.5 GAL</v>
      </c>
      <c r="AG109" t="s">
        <v>555</v>
      </c>
      <c r="AH109" t="s">
        <v>384</v>
      </c>
      <c r="AI109" t="s">
        <v>528</v>
      </c>
      <c r="AJ109">
        <v>356.95</v>
      </c>
      <c r="AK109" t="s">
        <v>311</v>
      </c>
    </row>
    <row r="110" spans="3:37" x14ac:dyDescent="0.35">
      <c r="C110" s="628"/>
      <c r="D110" s="629"/>
      <c r="E110" s="629"/>
      <c r="F110" s="629"/>
      <c r="G110" s="629"/>
      <c r="H110" s="629"/>
      <c r="I110" s="629"/>
      <c r="J110" s="629"/>
      <c r="K110" s="630"/>
      <c r="L110" s="629"/>
      <c r="M110" s="630"/>
      <c r="N110" s="629"/>
      <c r="O110" s="629"/>
      <c r="P110" s="629"/>
      <c r="Q110" s="629"/>
      <c r="R110" s="629"/>
      <c r="S110" s="631"/>
      <c r="AE110" t="s">
        <v>596</v>
      </c>
      <c r="AF110" t="str">
        <f t="shared" si="18"/>
        <v>SIKAFLOOR-264 FS FAST SETTING EPOXYOXFORD GRAY4.5 GAL</v>
      </c>
      <c r="AG110" t="s">
        <v>555</v>
      </c>
      <c r="AH110" t="s">
        <v>687</v>
      </c>
      <c r="AI110" t="s">
        <v>528</v>
      </c>
      <c r="AJ110">
        <v>356.95</v>
      </c>
      <c r="AK110" t="s">
        <v>311</v>
      </c>
    </row>
    <row r="111" spans="3:37" x14ac:dyDescent="0.35">
      <c r="C111" s="628"/>
      <c r="D111" s="629"/>
      <c r="E111" s="629"/>
      <c r="F111" s="629"/>
      <c r="G111" s="629"/>
      <c r="H111" s="629"/>
      <c r="I111" s="629"/>
      <c r="J111" s="629"/>
      <c r="K111" s="630"/>
      <c r="L111" s="629"/>
      <c r="M111" s="630"/>
      <c r="N111" s="629"/>
      <c r="O111" s="629"/>
      <c r="P111" s="629"/>
      <c r="Q111" s="629"/>
      <c r="R111" s="629"/>
      <c r="S111" s="631"/>
      <c r="AE111" t="s">
        <v>597</v>
      </c>
      <c r="AF111" t="str">
        <f t="shared" si="18"/>
        <v>SIKAFLOOR-264 FS FAST SETTING EPOXYWINDOW GRAY4.5 GAL</v>
      </c>
      <c r="AG111" t="s">
        <v>555</v>
      </c>
      <c r="AH111" t="s">
        <v>688</v>
      </c>
      <c r="AI111" t="s">
        <v>528</v>
      </c>
      <c r="AJ111">
        <v>356.95</v>
      </c>
      <c r="AK111" t="s">
        <v>311</v>
      </c>
    </row>
    <row r="112" spans="3:37" x14ac:dyDescent="0.35">
      <c r="C112" s="628"/>
      <c r="D112" s="629"/>
      <c r="E112" s="629"/>
      <c r="F112" s="629"/>
      <c r="G112" s="629"/>
      <c r="H112" s="629"/>
      <c r="I112" s="629"/>
      <c r="J112" s="629"/>
      <c r="K112" s="630"/>
      <c r="L112" s="629"/>
      <c r="M112" s="630"/>
      <c r="N112" s="629"/>
      <c r="O112" s="629"/>
      <c r="P112" s="629"/>
      <c r="Q112" s="629"/>
      <c r="R112" s="629"/>
      <c r="S112" s="631"/>
      <c r="AE112" t="s">
        <v>598</v>
      </c>
      <c r="AF112" t="str">
        <f t="shared" si="18"/>
        <v>SIKAFLOOR-264 FS FAST SETTING EPOXYTRAFFIC GRAY4.5 GAL</v>
      </c>
      <c r="AG112" t="s">
        <v>555</v>
      </c>
      <c r="AH112" t="s">
        <v>689</v>
      </c>
      <c r="AI112" t="s">
        <v>528</v>
      </c>
      <c r="AJ112">
        <v>356.95</v>
      </c>
      <c r="AK112" t="s">
        <v>311</v>
      </c>
    </row>
    <row r="113" spans="3:37" x14ac:dyDescent="0.35">
      <c r="C113" s="628"/>
      <c r="D113" s="629"/>
      <c r="E113" s="629"/>
      <c r="F113" s="629"/>
      <c r="G113" s="629"/>
      <c r="H113" s="629"/>
      <c r="I113" s="629"/>
      <c r="J113" s="629"/>
      <c r="K113" s="630"/>
      <c r="L113" s="629"/>
      <c r="M113" s="630"/>
      <c r="N113" s="629"/>
      <c r="O113" s="629"/>
      <c r="P113" s="629"/>
      <c r="Q113" s="629"/>
      <c r="R113" s="629"/>
      <c r="S113" s="631"/>
      <c r="AE113" t="s">
        <v>599</v>
      </c>
      <c r="AF113" t="str">
        <f t="shared" si="18"/>
        <v>SIKAFLOOR-264 FS FAST SETTING EPOXYBEIGE ROSE4.5 GAL</v>
      </c>
      <c r="AG113" t="s">
        <v>555</v>
      </c>
      <c r="AH113" t="s">
        <v>690</v>
      </c>
      <c r="AI113" t="s">
        <v>528</v>
      </c>
      <c r="AJ113">
        <v>356.95</v>
      </c>
      <c r="AK113" t="s">
        <v>311</v>
      </c>
    </row>
    <row r="114" spans="3:37" x14ac:dyDescent="0.35">
      <c r="C114" s="628"/>
      <c r="D114" s="629"/>
      <c r="E114" s="629"/>
      <c r="F114" s="629"/>
      <c r="G114" s="629"/>
      <c r="H114" s="629"/>
      <c r="I114" s="629"/>
      <c r="J114" s="629"/>
      <c r="K114" s="630"/>
      <c r="L114" s="629"/>
      <c r="M114" s="630"/>
      <c r="N114" s="629"/>
      <c r="O114" s="629"/>
      <c r="P114" s="629"/>
      <c r="Q114" s="629"/>
      <c r="R114" s="629"/>
      <c r="S114" s="631"/>
      <c r="AE114" t="s">
        <v>529</v>
      </c>
      <c r="AF114" t="str">
        <f t="shared" si="18"/>
        <v>SIKAFLOOR-264 TEXTURED PIGMENTED EPOXYSILVER GRAY4.5 GAL</v>
      </c>
      <c r="AG114" t="s">
        <v>892</v>
      </c>
      <c r="AH114" t="s">
        <v>321</v>
      </c>
      <c r="AI114" t="s">
        <v>528</v>
      </c>
      <c r="AJ114">
        <v>329.18</v>
      </c>
      <c r="AK114" t="s">
        <v>311</v>
      </c>
    </row>
    <row r="115" spans="3:37" x14ac:dyDescent="0.35">
      <c r="C115" s="628"/>
      <c r="D115" s="629"/>
      <c r="E115" s="629"/>
      <c r="F115" s="629"/>
      <c r="G115" s="629"/>
      <c r="H115" s="629"/>
      <c r="I115" s="629"/>
      <c r="J115" s="629"/>
      <c r="K115" s="630"/>
      <c r="L115" s="629"/>
      <c r="M115" s="630"/>
      <c r="N115" s="629"/>
      <c r="O115" s="629"/>
      <c r="P115" s="629"/>
      <c r="Q115" s="629"/>
      <c r="R115" s="629"/>
      <c r="S115" s="631"/>
      <c r="AE115" t="s">
        <v>530</v>
      </c>
      <c r="AF115" t="str">
        <f t="shared" si="18"/>
        <v>SIKAFLOOR-264 TEXTURED PIGMENTED EPOXYLIGHT GRAY4.5 GAL</v>
      </c>
      <c r="AG115" t="s">
        <v>892</v>
      </c>
      <c r="AH115" t="s">
        <v>384</v>
      </c>
      <c r="AI115" t="s">
        <v>528</v>
      </c>
      <c r="AJ115">
        <v>329.18</v>
      </c>
      <c r="AK115" t="s">
        <v>311</v>
      </c>
    </row>
    <row r="116" spans="3:37" x14ac:dyDescent="0.35">
      <c r="C116" s="628"/>
      <c r="D116" s="629"/>
      <c r="E116" s="629"/>
      <c r="F116" s="629"/>
      <c r="G116" s="629"/>
      <c r="H116" s="629"/>
      <c r="I116" s="629"/>
      <c r="J116" s="629"/>
      <c r="K116" s="630"/>
      <c r="L116" s="629"/>
      <c r="M116" s="630"/>
      <c r="N116" s="629"/>
      <c r="O116" s="629"/>
      <c r="P116" s="629"/>
      <c r="Q116" s="629"/>
      <c r="R116" s="629"/>
      <c r="S116" s="631"/>
      <c r="AE116" t="s">
        <v>531</v>
      </c>
      <c r="AF116" t="str">
        <f t="shared" si="18"/>
        <v>SIKAFLOOR-264 TEXTURED PIGMENTED EPOXYOXFORD GRAY4.5 GAL</v>
      </c>
      <c r="AG116" t="s">
        <v>892</v>
      </c>
      <c r="AH116" t="s">
        <v>687</v>
      </c>
      <c r="AI116" t="s">
        <v>528</v>
      </c>
      <c r="AJ116">
        <v>329.18</v>
      </c>
      <c r="AK116" t="s">
        <v>311</v>
      </c>
    </row>
    <row r="117" spans="3:37" x14ac:dyDescent="0.35">
      <c r="C117" s="628"/>
      <c r="D117" s="629"/>
      <c r="E117" s="629"/>
      <c r="F117" s="629"/>
      <c r="G117" s="629"/>
      <c r="H117" s="629"/>
      <c r="I117" s="629"/>
      <c r="J117" s="629"/>
      <c r="K117" s="630"/>
      <c r="L117" s="629"/>
      <c r="M117" s="630"/>
      <c r="N117" s="629"/>
      <c r="O117" s="629"/>
      <c r="P117" s="629"/>
      <c r="Q117" s="629"/>
      <c r="R117" s="629"/>
      <c r="S117" s="631"/>
      <c r="AE117" t="s">
        <v>532</v>
      </c>
      <c r="AF117" t="str">
        <f t="shared" si="18"/>
        <v>SIKAFLOOR-264 TEXTURED PIGMENTED EPOXYWINDOW GRAY4.5 GAL</v>
      </c>
      <c r="AG117" t="s">
        <v>892</v>
      </c>
      <c r="AH117" t="s">
        <v>688</v>
      </c>
      <c r="AI117" t="s">
        <v>528</v>
      </c>
      <c r="AJ117">
        <v>329.18</v>
      </c>
      <c r="AK117" t="s">
        <v>311</v>
      </c>
    </row>
    <row r="118" spans="3:37" x14ac:dyDescent="0.35">
      <c r="C118" s="628"/>
      <c r="D118" s="629"/>
      <c r="E118" s="629"/>
      <c r="F118" s="629"/>
      <c r="G118" s="629"/>
      <c r="H118" s="629"/>
      <c r="I118" s="629"/>
      <c r="J118" s="629"/>
      <c r="K118" s="630"/>
      <c r="L118" s="629"/>
      <c r="M118" s="630"/>
      <c r="N118" s="629"/>
      <c r="O118" s="629"/>
      <c r="P118" s="629"/>
      <c r="Q118" s="629"/>
      <c r="R118" s="629"/>
      <c r="S118" s="631"/>
      <c r="AE118" t="s">
        <v>533</v>
      </c>
      <c r="AF118" t="str">
        <f t="shared" si="18"/>
        <v>SIKAFLOOR-264 TEXTURED PIGMENTED EPOXYTRAFFIC GRAY4.5 GAL</v>
      </c>
      <c r="AG118" t="s">
        <v>892</v>
      </c>
      <c r="AH118" t="s">
        <v>689</v>
      </c>
      <c r="AI118" t="s">
        <v>528</v>
      </c>
      <c r="AJ118">
        <v>329.18</v>
      </c>
      <c r="AK118" t="s">
        <v>311</v>
      </c>
    </row>
    <row r="119" spans="3:37" x14ac:dyDescent="0.35">
      <c r="C119" s="628"/>
      <c r="D119" s="629"/>
      <c r="E119" s="629"/>
      <c r="F119" s="629"/>
      <c r="G119" s="629"/>
      <c r="H119" s="629"/>
      <c r="I119" s="629"/>
      <c r="J119" s="629"/>
      <c r="K119" s="630"/>
      <c r="L119" s="629"/>
      <c r="M119" s="630"/>
      <c r="N119" s="629"/>
      <c r="O119" s="629"/>
      <c r="P119" s="629"/>
      <c r="Q119" s="629"/>
      <c r="R119" s="629"/>
      <c r="S119" s="631"/>
      <c r="AE119" t="s">
        <v>534</v>
      </c>
      <c r="AF119" t="str">
        <f t="shared" si="18"/>
        <v>SIKAFLOOR-264 TEXTURED PIGMENTED EPOXYBEIGE ROSE4.5 GAL</v>
      </c>
      <c r="AG119" t="s">
        <v>892</v>
      </c>
      <c r="AH119" t="s">
        <v>690</v>
      </c>
      <c r="AI119" t="s">
        <v>528</v>
      </c>
      <c r="AJ119">
        <v>329.18</v>
      </c>
      <c r="AK119" t="s">
        <v>311</v>
      </c>
    </row>
    <row r="120" spans="3:37" x14ac:dyDescent="0.35">
      <c r="C120" s="628"/>
      <c r="D120" s="629"/>
      <c r="E120" s="629"/>
      <c r="F120" s="629"/>
      <c r="G120" s="629"/>
      <c r="H120" s="629"/>
      <c r="I120" s="629"/>
      <c r="J120" s="629"/>
      <c r="K120" s="630"/>
      <c r="L120" s="629"/>
      <c r="M120" s="630"/>
      <c r="N120" s="629"/>
      <c r="O120" s="629"/>
      <c r="P120" s="629"/>
      <c r="Q120" s="629"/>
      <c r="R120" s="629"/>
      <c r="S120" s="631"/>
      <c r="AE120" t="s">
        <v>535</v>
      </c>
      <c r="AF120" t="str">
        <f t="shared" si="18"/>
        <v>SIKAFLOOR-264 TEXTURED PIGMENTED EPOXYRAFFIA BEIGE4.5 GAL</v>
      </c>
      <c r="AG120" t="s">
        <v>892</v>
      </c>
      <c r="AH120" t="s">
        <v>691</v>
      </c>
      <c r="AI120" t="s">
        <v>528</v>
      </c>
      <c r="AJ120">
        <v>329.18</v>
      </c>
      <c r="AK120" t="s">
        <v>311</v>
      </c>
    </row>
    <row r="121" spans="3:37" x14ac:dyDescent="0.35">
      <c r="C121" s="628"/>
      <c r="D121" s="629"/>
      <c r="E121" s="629"/>
      <c r="F121" s="629"/>
      <c r="G121" s="629"/>
      <c r="H121" s="629"/>
      <c r="I121" s="629"/>
      <c r="J121" s="629"/>
      <c r="K121" s="630"/>
      <c r="L121" s="629"/>
      <c r="M121" s="630"/>
      <c r="N121" s="629"/>
      <c r="O121" s="629"/>
      <c r="P121" s="629"/>
      <c r="Q121" s="629"/>
      <c r="R121" s="629"/>
      <c r="S121" s="631"/>
      <c r="AE121" t="s">
        <v>536</v>
      </c>
      <c r="AF121" t="str">
        <f t="shared" si="18"/>
        <v>SIKAFLOOR-264 TEXTURED PIGMENTED EPOXYBEIGE4.5 GAL</v>
      </c>
      <c r="AG121" t="s">
        <v>892</v>
      </c>
      <c r="AH121" t="s">
        <v>399</v>
      </c>
      <c r="AI121" t="s">
        <v>528</v>
      </c>
      <c r="AJ121">
        <v>329.18</v>
      </c>
      <c r="AK121" t="s">
        <v>311</v>
      </c>
    </row>
    <row r="122" spans="3:37" x14ac:dyDescent="0.35">
      <c r="C122" s="628"/>
      <c r="D122" s="629"/>
      <c r="E122" s="629"/>
      <c r="F122" s="629"/>
      <c r="G122" s="629"/>
      <c r="H122" s="629"/>
      <c r="I122" s="629"/>
      <c r="J122" s="629"/>
      <c r="K122" s="630"/>
      <c r="L122" s="629"/>
      <c r="M122" s="630"/>
      <c r="N122" s="629"/>
      <c r="O122" s="629"/>
      <c r="P122" s="629"/>
      <c r="Q122" s="629"/>
      <c r="R122" s="629"/>
      <c r="S122" s="631"/>
      <c r="AE122" t="s">
        <v>537</v>
      </c>
      <c r="AF122" t="str">
        <f t="shared" si="18"/>
        <v>SIKAFLOOR-264 TEXTURED PIGMENTED EPOXYTAN 2514.5 GAL</v>
      </c>
      <c r="AG122" t="s">
        <v>892</v>
      </c>
      <c r="AH122" t="s">
        <v>692</v>
      </c>
      <c r="AI122" t="s">
        <v>528</v>
      </c>
      <c r="AJ122">
        <v>329.18</v>
      </c>
      <c r="AK122" t="s">
        <v>311</v>
      </c>
    </row>
    <row r="123" spans="3:37" x14ac:dyDescent="0.35">
      <c r="C123" s="632"/>
      <c r="D123" s="633"/>
      <c r="E123" s="633"/>
      <c r="F123" s="633"/>
      <c r="G123" s="633"/>
      <c r="H123" s="633"/>
      <c r="I123" s="633"/>
      <c r="J123" s="633"/>
      <c r="K123" s="634"/>
      <c r="L123" s="635"/>
      <c r="M123" s="634"/>
      <c r="N123" s="633"/>
      <c r="O123" s="633"/>
      <c r="P123" s="633"/>
      <c r="Q123" s="633"/>
      <c r="R123" s="633"/>
      <c r="S123" s="636"/>
      <c r="AE123" t="s">
        <v>538</v>
      </c>
      <c r="AF123" t="str">
        <f t="shared" si="18"/>
        <v>SIKAFLOOR-264 TEXTURED PIGMENTED EPOXYGRAY BEIGE4.5 GAL</v>
      </c>
      <c r="AG123" t="s">
        <v>892</v>
      </c>
      <c r="AH123" t="s">
        <v>693</v>
      </c>
      <c r="AI123" t="s">
        <v>528</v>
      </c>
      <c r="AJ123">
        <v>329.18</v>
      </c>
      <c r="AK123" t="s">
        <v>311</v>
      </c>
    </row>
    <row r="124" spans="3:37" x14ac:dyDescent="0.35">
      <c r="C124" s="632"/>
      <c r="D124" s="633"/>
      <c r="E124" s="633"/>
      <c r="F124" s="633"/>
      <c r="G124" s="633"/>
      <c r="H124" s="633"/>
      <c r="I124" s="633"/>
      <c r="J124" s="633"/>
      <c r="K124" s="634"/>
      <c r="L124" s="635"/>
      <c r="M124" s="634"/>
      <c r="N124" s="633"/>
      <c r="O124" s="633"/>
      <c r="P124" s="633"/>
      <c r="Q124" s="633"/>
      <c r="R124" s="633"/>
      <c r="S124" s="636"/>
      <c r="AE124" t="s">
        <v>539</v>
      </c>
      <c r="AF124" t="str">
        <f t="shared" si="18"/>
        <v>SIKAFLOOR-264 TEXTURED PIGMENTED EPOXYBASALT GRAY4.5 GAL</v>
      </c>
      <c r="AG124" t="s">
        <v>892</v>
      </c>
      <c r="AH124" t="s">
        <v>694</v>
      </c>
      <c r="AI124" t="s">
        <v>528</v>
      </c>
      <c r="AJ124">
        <v>329.18</v>
      </c>
      <c r="AK124" t="s">
        <v>311</v>
      </c>
    </row>
    <row r="125" spans="3:37" ht="15" thickBot="1" x14ac:dyDescent="0.4">
      <c r="C125" s="637"/>
      <c r="D125" s="638"/>
      <c r="E125" s="638"/>
      <c r="F125" s="638"/>
      <c r="G125" s="638"/>
      <c r="H125" s="638"/>
      <c r="I125" s="638"/>
      <c r="J125" s="638"/>
      <c r="K125" s="639"/>
      <c r="L125" s="640"/>
      <c r="M125" s="639"/>
      <c r="N125" s="638"/>
      <c r="O125" s="638"/>
      <c r="P125" s="638"/>
      <c r="Q125" s="638"/>
      <c r="R125" s="638"/>
      <c r="S125" s="641"/>
      <c r="AE125" t="s">
        <v>540</v>
      </c>
      <c r="AF125" t="str">
        <f t="shared" si="18"/>
        <v>SIKAFLOOR-264 TEXTURED PIGMENTED EPOXYTRAFFIC BLUE4.5 GAL</v>
      </c>
      <c r="AG125" t="s">
        <v>892</v>
      </c>
      <c r="AH125" t="s">
        <v>695</v>
      </c>
      <c r="AI125" t="s">
        <v>528</v>
      </c>
      <c r="AJ125">
        <v>329.18</v>
      </c>
      <c r="AK125" t="s">
        <v>311</v>
      </c>
    </row>
    <row r="126" spans="3:37" x14ac:dyDescent="0.35">
      <c r="AE126" t="s">
        <v>541</v>
      </c>
      <c r="AF126" t="str">
        <f t="shared" si="18"/>
        <v>SIKAFLOOR-264 TEXTURED PIGMENTED EPOXYPALE GREEN4.5 GAL</v>
      </c>
      <c r="AG126" t="s">
        <v>892</v>
      </c>
      <c r="AH126" t="s">
        <v>696</v>
      </c>
      <c r="AI126" t="s">
        <v>528</v>
      </c>
      <c r="AJ126">
        <v>329.18</v>
      </c>
      <c r="AK126" t="s">
        <v>311</v>
      </c>
    </row>
    <row r="127" spans="3:37" x14ac:dyDescent="0.35">
      <c r="AE127" t="s">
        <v>542</v>
      </c>
      <c r="AF127" t="str">
        <f t="shared" si="18"/>
        <v>SIKAFLOOR-264 TEXTURED PIGMENTED EPOXYSIGNAL YELLOW4.5 GAL</v>
      </c>
      <c r="AG127" t="s">
        <v>892</v>
      </c>
      <c r="AH127" t="s">
        <v>697</v>
      </c>
      <c r="AI127" t="s">
        <v>528</v>
      </c>
      <c r="AJ127">
        <v>329.18</v>
      </c>
      <c r="AK127" t="s">
        <v>311</v>
      </c>
    </row>
    <row r="128" spans="3:37" x14ac:dyDescent="0.35">
      <c r="AE128" t="s">
        <v>543</v>
      </c>
      <c r="AF128" t="str">
        <f t="shared" si="18"/>
        <v>SIKAFLOOR-264 TEXTURED PIGMENTED EPOXYOXIDE RED4.5 GAL</v>
      </c>
      <c r="AG128" t="s">
        <v>892</v>
      </c>
      <c r="AH128" t="s">
        <v>698</v>
      </c>
      <c r="AI128" t="s">
        <v>528</v>
      </c>
      <c r="AJ128">
        <v>329.18</v>
      </c>
      <c r="AK128" t="s">
        <v>311</v>
      </c>
    </row>
    <row r="129" spans="31:37" x14ac:dyDescent="0.35">
      <c r="AE129" t="s">
        <v>544</v>
      </c>
      <c r="AF129" t="str">
        <f t="shared" si="18"/>
        <v>SIKAFLOOR-264 TEXTURED PIGMENTED EPOXYTRAFFIC RED4.5 GAL</v>
      </c>
      <c r="AG129" t="s">
        <v>892</v>
      </c>
      <c r="AH129" t="s">
        <v>699</v>
      </c>
      <c r="AI129" t="s">
        <v>528</v>
      </c>
      <c r="AJ129">
        <v>329.18</v>
      </c>
      <c r="AK129" t="s">
        <v>311</v>
      </c>
    </row>
    <row r="130" spans="31:37" x14ac:dyDescent="0.35">
      <c r="AE130" t="s">
        <v>545</v>
      </c>
      <c r="AF130" t="str">
        <f t="shared" si="18"/>
        <v>SIKAFLOOR-264 TEXTURED PIGMENTED EPOXYSIGNAL WHITE4.5 GAL</v>
      </c>
      <c r="AG130" t="s">
        <v>892</v>
      </c>
      <c r="AH130" t="s">
        <v>700</v>
      </c>
      <c r="AI130" t="s">
        <v>528</v>
      </c>
      <c r="AJ130">
        <v>329.18</v>
      </c>
      <c r="AK130" t="s">
        <v>311</v>
      </c>
    </row>
    <row r="131" spans="31:37" x14ac:dyDescent="0.35">
      <c r="AE131" t="s">
        <v>546</v>
      </c>
      <c r="AF131" t="str">
        <f t="shared" si="18"/>
        <v>SIKAFLOOR-264 TEXTURED PIGMENTED EPOXYJET BLACK4.5 GAL</v>
      </c>
      <c r="AG131" t="s">
        <v>892</v>
      </c>
      <c r="AH131" t="s">
        <v>701</v>
      </c>
      <c r="AI131" t="s">
        <v>528</v>
      </c>
      <c r="AJ131">
        <v>329.18</v>
      </c>
      <c r="AK131" t="s">
        <v>311</v>
      </c>
    </row>
    <row r="132" spans="31:37" x14ac:dyDescent="0.35">
      <c r="AE132" t="s">
        <v>600</v>
      </c>
      <c r="AF132" t="str">
        <f t="shared" si="18"/>
        <v>SIKAFLOOR-265 FLEXABLE MEMBRANE W/ CRACK BRIDGINGN/A10 GAL</v>
      </c>
      <c r="AG132" t="s">
        <v>557</v>
      </c>
      <c r="AH132" t="s">
        <v>398</v>
      </c>
      <c r="AI132" t="s">
        <v>410</v>
      </c>
      <c r="AJ132">
        <v>798.39</v>
      </c>
      <c r="AK132" t="s">
        <v>311</v>
      </c>
    </row>
    <row r="133" spans="31:37" x14ac:dyDescent="0.35"/>
    <row r="134" spans="31:37" x14ac:dyDescent="0.35"/>
    <row r="135" spans="31:37" x14ac:dyDescent="0.35"/>
  </sheetData>
  <sheetProtection sheet="1" selectLockedCells="1"/>
  <sortState xmlns:xlrd2="http://schemas.microsoft.com/office/spreadsheetml/2017/richdata2" ref="W34:AC163">
    <sortCondition ref="AC34:AC163"/>
  </sortState>
  <mergeCells count="99">
    <mergeCell ref="C1:S1"/>
    <mergeCell ref="N71:O71"/>
    <mergeCell ref="P72:Q72"/>
    <mergeCell ref="R72:S72"/>
    <mergeCell ref="M66:S66"/>
    <mergeCell ref="N69:O69"/>
    <mergeCell ref="P69:Q69"/>
    <mergeCell ref="R69:S69"/>
    <mergeCell ref="N70:O70"/>
    <mergeCell ref="P70:Q70"/>
    <mergeCell ref="R70:S70"/>
    <mergeCell ref="M67:O67"/>
    <mergeCell ref="P67:S67"/>
    <mergeCell ref="N68:O68"/>
    <mergeCell ref="D72:E72"/>
    <mergeCell ref="F72:G72"/>
    <mergeCell ref="M74:P74"/>
    <mergeCell ref="Q74:S74"/>
    <mergeCell ref="M76:S76"/>
    <mergeCell ref="N72:O72"/>
    <mergeCell ref="P71:Q71"/>
    <mergeCell ref="R71:S71"/>
    <mergeCell ref="N73:O73"/>
    <mergeCell ref="P73:Q73"/>
    <mergeCell ref="R73:S73"/>
    <mergeCell ref="D74:E74"/>
    <mergeCell ref="F74:G74"/>
    <mergeCell ref="H74:I74"/>
    <mergeCell ref="D75:E75"/>
    <mergeCell ref="F75:G75"/>
    <mergeCell ref="H75:I75"/>
    <mergeCell ref="H72:I72"/>
    <mergeCell ref="D73:E73"/>
    <mergeCell ref="F73:G73"/>
    <mergeCell ref="H73:I73"/>
    <mergeCell ref="D70:E70"/>
    <mergeCell ref="F70:G70"/>
    <mergeCell ref="H70:I70"/>
    <mergeCell ref="D71:E71"/>
    <mergeCell ref="F71:G71"/>
    <mergeCell ref="H71:I71"/>
    <mergeCell ref="C67:I67"/>
    <mergeCell ref="D68:E68"/>
    <mergeCell ref="F68:G68"/>
    <mergeCell ref="H68:I68"/>
    <mergeCell ref="D69:E69"/>
    <mergeCell ref="F69:G69"/>
    <mergeCell ref="H69:I69"/>
    <mergeCell ref="C2:S2"/>
    <mergeCell ref="C3:S3"/>
    <mergeCell ref="C43:I43"/>
    <mergeCell ref="C55:E55"/>
    <mergeCell ref="C44:E44"/>
    <mergeCell ref="C45:E45"/>
    <mergeCell ref="C46:E46"/>
    <mergeCell ref="C47:E47"/>
    <mergeCell ref="C48:E48"/>
    <mergeCell ref="C49:E49"/>
    <mergeCell ref="C50:E50"/>
    <mergeCell ref="C51:E51"/>
    <mergeCell ref="C52:E52"/>
    <mergeCell ref="C53:E53"/>
    <mergeCell ref="C54:E54"/>
    <mergeCell ref="C4:I4"/>
    <mergeCell ref="C17:I17"/>
    <mergeCell ref="C30:I30"/>
    <mergeCell ref="M4:S4"/>
    <mergeCell ref="M17:S17"/>
    <mergeCell ref="M30:S30"/>
    <mergeCell ref="M43:S43"/>
    <mergeCell ref="D76:E76"/>
    <mergeCell ref="F76:G76"/>
    <mergeCell ref="H76:I76"/>
    <mergeCell ref="D77:E77"/>
    <mergeCell ref="F77:G77"/>
    <mergeCell ref="H77:I77"/>
    <mergeCell ref="C62:E62"/>
    <mergeCell ref="C63:E63"/>
    <mergeCell ref="C66:I66"/>
    <mergeCell ref="C56:E56"/>
    <mergeCell ref="C57:E57"/>
    <mergeCell ref="C58:E58"/>
    <mergeCell ref="C59:E59"/>
    <mergeCell ref="C60:E60"/>
    <mergeCell ref="C61:E61"/>
    <mergeCell ref="M77:S83"/>
    <mergeCell ref="C80:I80"/>
    <mergeCell ref="D81:E81"/>
    <mergeCell ref="F81:G81"/>
    <mergeCell ref="H81:I81"/>
    <mergeCell ref="D78:E78"/>
    <mergeCell ref="F78:G78"/>
    <mergeCell ref="H78:I78"/>
    <mergeCell ref="D82:E82"/>
    <mergeCell ref="F82:G82"/>
    <mergeCell ref="H82:I82"/>
    <mergeCell ref="D83:E83"/>
    <mergeCell ref="F83:G83"/>
    <mergeCell ref="H83:I83"/>
  </mergeCells>
  <phoneticPr fontId="29" type="noConversion"/>
  <conditionalFormatting sqref="I45:I63">
    <cfRule type="expression" dxfId="21" priority="2">
      <formula>NOT(_xlfn.ISFORMULA(INDIRECT("rc",FALSE)))</formula>
    </cfRule>
  </conditionalFormatting>
  <conditionalFormatting sqref="P69 R69">
    <cfRule type="expression" dxfId="20" priority="1">
      <formula>$I$90&lt;=0.4</formula>
    </cfRule>
  </conditionalFormatting>
  <dataValidations count="10">
    <dataValidation type="list" allowBlank="1" showInputMessage="1" showErrorMessage="1" sqref="C6:C14" xr:uid="{F24754DD-48B4-4E03-A08E-467A86D98179}">
      <formula1>$Z$43:$Z$60</formula1>
    </dataValidation>
    <dataValidation type="list" allowBlank="1" showInputMessage="1" showErrorMessage="1" sqref="M19:M27" xr:uid="{DEB8E6D5-4CE8-4EAF-B40E-8DF7B97B49E3}">
      <formula1>$Z$61:$Z$75</formula1>
    </dataValidation>
    <dataValidation type="list" allowBlank="1" showInputMessage="1" showErrorMessage="1" sqref="N6:N14" xr:uid="{2F4CBB1F-9976-4F8E-BDE0-0BF78C155476}">
      <formula1>_xlfn.SWITCH(M6,$AG$60,$AH$60,$AG$61,$AH$61,$AG$62,$AH$62:$AH$66,$AG$67,$AH$67:$AH$71,$AG$72,$AH$72,$AG$73,$AH$73:$AH$77,$AG$78,$AH$78:$AH$88,$AG$89,$AH$89)</formula1>
    </dataValidation>
    <dataValidation type="list" allowBlank="1" showInputMessage="1" showErrorMessage="1" sqref="C19:C27" xr:uid="{D71AEB24-15A2-499E-BF93-685514F51ED8}">
      <formula1>$Z$4:$Z$16</formula1>
    </dataValidation>
    <dataValidation type="list" allowBlank="1" showInputMessage="1" showErrorMessage="1" sqref="D19:D27" xr:uid="{01C22BFE-0D1E-4BE0-AA3E-30B43C0BADBB}">
      <formula1>IF(C19="","",_xlfn.SWITCH(C19,$AG$90,$AH$90:$AH$107,$AG$108,$AH$108:$AH$113,$AG$114,$AH$114:$AH$131,$AG$132,$AH$132,$AH$132))</formula1>
    </dataValidation>
    <dataValidation type="list" allowBlank="1" showInputMessage="1" showErrorMessage="1" sqref="E32:E40" xr:uid="{32FA5F28-507C-4F4C-9B89-4928EEE68995}">
      <formula1>_xlfn.SWITCH(C32,$AG$8,$AI$8,$AG$10,$AI$10,$AG$13,$AI$13,$AG$14,$AI$14)</formula1>
    </dataValidation>
    <dataValidation type="list" allowBlank="1" showInputMessage="1" showErrorMessage="1" sqref="M32:M40" xr:uid="{5FE7864C-741C-4AED-BCF4-DB326E7ED834}">
      <formula1>$Z$17:$Z$28</formula1>
    </dataValidation>
    <dataValidation type="list" allowBlank="1" showInputMessage="1" showErrorMessage="1" sqref="C32:C40" xr:uid="{A0169C8F-821D-4835-89D6-0022EFC554C1}">
      <formula1>$Z$29:$Z$42</formula1>
    </dataValidation>
    <dataValidation type="list" allowBlank="1" showInputMessage="1" showErrorMessage="1" sqref="N19:N27" xr:uid="{638F9BEE-4F5E-4DEA-8058-78E285259495}">
      <formula1>_xlfn.SWITCH(M19,$AG$15,$AH$15:$AH$22,$AG$23,$AH$23:$AH$40,$AG$41,$AH$41:$AH$59)</formula1>
    </dataValidation>
    <dataValidation type="list" allowBlank="1" showInputMessage="1" showErrorMessage="1" sqref="M6:M14" xr:uid="{A5E84863-7EA7-4E71-A428-9A059E6E413B}">
      <formula1>$Z$76:$Z$96</formula1>
    </dataValidation>
  </dataValidations>
  <pageMargins left="0.7" right="0.7" top="0.75" bottom="0.75" header="0.3" footer="0.3"/>
  <pageSetup scale="58" orientation="portrait" r:id="rId1"/>
  <legacyDrawing r:id="rId2"/>
  <tableParts count="7">
    <tablePart r:id="rId3"/>
    <tablePart r:id="rId4"/>
    <tablePart r:id="rId5"/>
    <tablePart r:id="rId6"/>
    <tablePart r:id="rId7"/>
    <tablePart r:id="rId8"/>
    <tablePart r:id="rId9"/>
  </tableParts>
  <extLst>
    <ext xmlns:x14="http://schemas.microsoft.com/office/spreadsheetml/2009/9/main" uri="{CCE6A557-97BC-4b89-ADB6-D9C93CAAB3DF}">
      <x14:dataValidations xmlns:xm="http://schemas.microsoft.com/office/excel/2006/main" count="4">
        <x14:dataValidation type="list" allowBlank="1" showInputMessage="1" showErrorMessage="1" xr:uid="{ADCB3E59-9398-4953-B14F-37405C976168}">
          <x14:formula1>
            <xm:f>IF(M50=P!$E$15,P!$M$38,P!$E$31:$E$32)</xm:f>
          </x14:formula1>
          <xm:sqref>O50</xm:sqref>
        </x14:dataValidation>
        <x14:dataValidation type="list" allowBlank="1" showInputMessage="1" showErrorMessage="1" xr:uid="{4A60BD36-504D-480E-AE76-508423D5EEBD}">
          <x14:formula1>
            <xm:f>IF(M51=P!$E$15,P!$M$40,P!$E$31:$E$32)</xm:f>
          </x14:formula1>
          <xm:sqref>O51:O52</xm:sqref>
        </x14:dataValidation>
        <x14:dataValidation type="list" allowBlank="1" showInputMessage="1" showErrorMessage="1" xr:uid="{DEF55619-1201-4B13-B34A-FEEF4C9C2E41}">
          <x14:formula1>
            <xm:f>P!$E$14:$E$27</xm:f>
          </x14:formula1>
          <xm:sqref>M50:M52</xm:sqref>
        </x14:dataValidation>
        <x14:dataValidation type="list" allowBlank="1" showInputMessage="1" showErrorMessage="1" xr:uid="{C1783298-1F0D-4271-A6BB-D5EF640E0626}">
          <x14:formula1>
            <xm:f>_xlfn.SWITCH(     M50,     P!$E$14, P!$L$37,     P!$E$15, P!$L$88:$L$91,      P!$E$16, P!$L$80:$L$84,      P!$E$17, P!$BE$531 )</xm:f>
          </x14:formula1>
          <xm:sqref>N50:N52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E90F-01CC-4D49-954C-0D7657C1F478}">
  <sheetPr codeName="Sheet11">
    <tabColor rgb="FF75DBFF"/>
    <pageSetUpPr fitToPage="1"/>
  </sheetPr>
  <dimension ref="A1:S104"/>
  <sheetViews>
    <sheetView showGridLines="0" zoomScale="80" zoomScaleNormal="80" workbookViewId="0">
      <selection activeCell="N12" sqref="N12:N22"/>
    </sheetView>
  </sheetViews>
  <sheetFormatPr defaultRowHeight="15.75" customHeight="1" x14ac:dyDescent="0.35"/>
  <cols>
    <col min="2" max="2" width="9.26953125" hidden="1" customWidth="1"/>
    <col min="3" max="3" width="57.26953125" customWidth="1"/>
    <col min="4" max="4" width="17.26953125" customWidth="1"/>
    <col min="5" max="5" width="14.453125" customWidth="1"/>
    <col min="6" max="9" width="16.54296875" customWidth="1"/>
    <col min="10" max="10" width="7.26953125" hidden="1" customWidth="1"/>
    <col min="11" max="11" width="5" customWidth="1"/>
    <col min="12" max="12" width="10.453125" hidden="1" customWidth="1"/>
    <col min="13" max="13" width="57.26953125" customWidth="1"/>
    <col min="14" max="14" width="17.26953125" customWidth="1"/>
    <col min="15" max="15" width="14.453125" customWidth="1"/>
    <col min="16" max="16" width="16.7265625" customWidth="1"/>
    <col min="17" max="19" width="16.54296875" customWidth="1"/>
  </cols>
  <sheetData>
    <row r="1" spans="3:19" ht="15.75" customHeight="1" thickBot="1" x14ac:dyDescent="0.4"/>
    <row r="2" spans="3:19" ht="15.75" customHeight="1" thickBot="1" x14ac:dyDescent="0.4">
      <c r="C2" s="872" t="s">
        <v>763</v>
      </c>
      <c r="D2" s="873"/>
      <c r="E2" s="873"/>
      <c r="F2" s="873"/>
      <c r="G2" s="873"/>
      <c r="H2" s="873"/>
      <c r="I2" s="873"/>
      <c r="M2" s="872" t="s">
        <v>437</v>
      </c>
      <c r="N2" s="873"/>
      <c r="O2" s="873"/>
      <c r="P2" s="873"/>
      <c r="Q2" s="873"/>
      <c r="R2" s="873"/>
      <c r="S2" s="874"/>
    </row>
    <row r="3" spans="3:19" ht="15.75" customHeight="1" thickBot="1" x14ac:dyDescent="0.4">
      <c r="C3" s="282" t="s">
        <v>181</v>
      </c>
      <c r="D3" s="283" t="s">
        <v>334</v>
      </c>
      <c r="E3" s="82" t="s">
        <v>182</v>
      </c>
      <c r="F3" s="82" t="s">
        <v>183</v>
      </c>
      <c r="G3" s="353" t="s">
        <v>184</v>
      </c>
      <c r="H3" s="88" t="s">
        <v>302</v>
      </c>
      <c r="I3" s="83" t="s">
        <v>156</v>
      </c>
      <c r="M3" s="284" t="s">
        <v>181</v>
      </c>
      <c r="N3" s="262" t="s">
        <v>334</v>
      </c>
      <c r="O3" s="262" t="s">
        <v>182</v>
      </c>
      <c r="P3" s="263" t="s">
        <v>183</v>
      </c>
      <c r="Q3" s="285" t="s">
        <v>184</v>
      </c>
      <c r="R3" s="82" t="s">
        <v>302</v>
      </c>
      <c r="S3" s="286" t="s">
        <v>156</v>
      </c>
    </row>
    <row r="4" spans="3:19" ht="15.75" customHeight="1" x14ac:dyDescent="0.35">
      <c r="C4" s="356"/>
      <c r="D4" s="355"/>
      <c r="E4" s="355"/>
      <c r="F4" s="400"/>
      <c r="G4" s="201"/>
      <c r="H4" s="357"/>
      <c r="I4" s="358">
        <f>F4*G4</f>
        <v>0</v>
      </c>
      <c r="M4" s="577" t="s">
        <v>465</v>
      </c>
      <c r="N4" s="354" t="s">
        <v>1037</v>
      </c>
      <c r="O4" s="354"/>
      <c r="P4" s="400"/>
      <c r="Q4" s="373"/>
      <c r="R4" s="235"/>
      <c r="S4" s="374">
        <f>IF(P4="", Q4, P4*Q4)</f>
        <v>0</v>
      </c>
    </row>
    <row r="5" spans="3:19" ht="15.75" customHeight="1" x14ac:dyDescent="0.35">
      <c r="C5" s="356"/>
      <c r="D5" s="355"/>
      <c r="E5" s="355"/>
      <c r="F5" s="400"/>
      <c r="G5" s="201"/>
      <c r="H5" s="357"/>
      <c r="I5" s="358">
        <f t="shared" ref="I5:I26" si="0">F5*G5</f>
        <v>0</v>
      </c>
      <c r="M5" s="577" t="s">
        <v>465</v>
      </c>
      <c r="N5" s="354" t="s">
        <v>1037</v>
      </c>
      <c r="O5" s="354"/>
      <c r="P5" s="400"/>
      <c r="Q5" s="373"/>
      <c r="R5" s="235"/>
      <c r="S5" s="374">
        <f>IF(P5="", Q5, P5*Q5)</f>
        <v>0</v>
      </c>
    </row>
    <row r="6" spans="3:19" ht="15.75" customHeight="1" x14ac:dyDescent="0.35">
      <c r="C6" s="356"/>
      <c r="D6" s="355"/>
      <c r="E6" s="355"/>
      <c r="F6" s="400"/>
      <c r="G6" s="201"/>
      <c r="H6" s="357"/>
      <c r="I6" s="358">
        <f t="shared" si="0"/>
        <v>0</v>
      </c>
      <c r="M6" s="577" t="s">
        <v>465</v>
      </c>
      <c r="N6" s="354" t="s">
        <v>1037</v>
      </c>
      <c r="O6" s="354"/>
      <c r="P6" s="400"/>
      <c r="Q6" s="373"/>
      <c r="R6" s="235"/>
      <c r="S6" s="374">
        <f>IF(P6="", Q6, P6*Q6)</f>
        <v>0</v>
      </c>
    </row>
    <row r="7" spans="3:19" ht="15.75" customHeight="1" x14ac:dyDescent="0.35">
      <c r="C7" s="356"/>
      <c r="D7" s="355"/>
      <c r="E7" s="355"/>
      <c r="F7" s="400"/>
      <c r="G7" s="359"/>
      <c r="H7" s="360"/>
      <c r="I7" s="358">
        <f t="shared" si="0"/>
        <v>0</v>
      </c>
      <c r="M7" s="247" t="s">
        <v>166</v>
      </c>
      <c r="N7" s="354"/>
      <c r="O7" s="354"/>
      <c r="P7" s="402"/>
      <c r="Q7" s="375"/>
      <c r="R7" s="235"/>
      <c r="S7" s="374">
        <f>Q7</f>
        <v>0</v>
      </c>
    </row>
    <row r="8" spans="3:19" ht="15.75" customHeight="1" x14ac:dyDescent="0.35">
      <c r="C8" s="356"/>
      <c r="D8" s="355"/>
      <c r="E8" s="355"/>
      <c r="F8" s="400"/>
      <c r="G8" s="359"/>
      <c r="H8" s="360"/>
      <c r="I8" s="358">
        <f t="shared" si="0"/>
        <v>0</v>
      </c>
      <c r="M8" s="247" t="s">
        <v>438</v>
      </c>
      <c r="N8" s="354"/>
      <c r="O8" s="354"/>
      <c r="P8" s="402"/>
      <c r="Q8" s="375"/>
      <c r="R8" s="235"/>
      <c r="S8" s="374">
        <f>Q8</f>
        <v>0</v>
      </c>
    </row>
    <row r="9" spans="3:19" ht="15.75" customHeight="1" x14ac:dyDescent="0.35">
      <c r="C9" s="356"/>
      <c r="D9" s="355"/>
      <c r="E9" s="355"/>
      <c r="F9" s="400"/>
      <c r="G9" s="359"/>
      <c r="H9" s="360"/>
      <c r="I9" s="358">
        <f t="shared" si="0"/>
        <v>0</v>
      </c>
      <c r="L9" s="294" t="str">
        <f>IFERROR(IF(M9="","",_xlfn.XLOOKUP(_xlfn.CONCAT(M9:O9),P!$Y:$Y,P!$X:$X,"UNAVAILABLE")),"UNAVAILABLE")</f>
        <v>S (30 TUBEN//ATU</v>
      </c>
      <c r="M9" s="426" t="s">
        <v>719</v>
      </c>
      <c r="N9" s="424" t="s">
        <v>398</v>
      </c>
      <c r="O9" s="422" t="s">
        <v>503</v>
      </c>
      <c r="P9" s="400"/>
      <c r="Q9" s="376">
        <f>IFERROR(VLOOKUP(L9,P!$X:$Z,3,FALSE),0)</f>
        <v>8.2899999999999991</v>
      </c>
      <c r="R9" s="235"/>
      <c r="S9" s="374">
        <f t="shared" ref="S9:S14" si="1">Q9*P9</f>
        <v>0</v>
      </c>
    </row>
    <row r="10" spans="3:19" ht="15.75" customHeight="1" x14ac:dyDescent="0.35">
      <c r="C10" s="356"/>
      <c r="D10" s="355"/>
      <c r="E10" s="355"/>
      <c r="F10" s="400"/>
      <c r="G10" s="359"/>
      <c r="H10" s="360"/>
      <c r="I10" s="358">
        <f t="shared" si="0"/>
        <v>0</v>
      </c>
      <c r="L10" s="268" t="str">
        <f ca="1">IF(M10="","",_xlfn.XLOOKUP(_xlfn.CONCAT(M10:O10),P!$J:$J,P!$I:$I,"UNAVAILABLE"))</f>
        <v>JS4U-SG</v>
      </c>
      <c r="M10" s="426" t="s">
        <v>1047</v>
      </c>
      <c r="N10" s="424" t="s">
        <v>521</v>
      </c>
      <c r="O10" s="422" t="s">
        <v>718</v>
      </c>
      <c r="P10" s="400"/>
      <c r="Q10" s="376">
        <f ca="1">IFERROR(VLOOKUP(L10,P!$X:$Z,3,FALSE),0)</f>
        <v>125.4</v>
      </c>
      <c r="R10" s="235"/>
      <c r="S10" s="374">
        <f t="shared" ca="1" si="1"/>
        <v>0</v>
      </c>
    </row>
    <row r="11" spans="3:19" ht="15.75" customHeight="1" x14ac:dyDescent="0.35">
      <c r="C11" s="356"/>
      <c r="D11" s="355"/>
      <c r="E11" s="355"/>
      <c r="F11" s="400"/>
      <c r="G11" s="359"/>
      <c r="H11" s="360"/>
      <c r="I11" s="358">
        <f t="shared" si="0"/>
        <v>0</v>
      </c>
      <c r="L11" s="268" t="str">
        <f ca="1">IF(M11="","",_xlfn.XLOOKUP(_xlfn.CONCAT(M11:O11),P!$J:$J,P!$I:$I,"UNAVAILABLE"))</f>
        <v>S-RS88-SG1</v>
      </c>
      <c r="M11" s="426" t="s">
        <v>720</v>
      </c>
      <c r="N11" s="424" t="s">
        <v>521</v>
      </c>
      <c r="O11" s="422" t="s">
        <v>503</v>
      </c>
      <c r="P11" s="400"/>
      <c r="Q11" s="376">
        <f ca="1">IFERROR(VLOOKUP(L11,P!$X:$Z,3,FALSE),0)</f>
        <v>38.5</v>
      </c>
      <c r="R11" s="235"/>
      <c r="S11" s="374">
        <f t="shared" ca="1" si="1"/>
        <v>0</v>
      </c>
    </row>
    <row r="12" spans="3:19" ht="15.75" customHeight="1" x14ac:dyDescent="0.35">
      <c r="C12" s="356"/>
      <c r="D12" s="355"/>
      <c r="E12" s="355"/>
      <c r="F12" s="400"/>
      <c r="G12" s="359"/>
      <c r="H12" s="360"/>
      <c r="I12" s="358">
        <f t="shared" si="0"/>
        <v>0</v>
      </c>
      <c r="M12" s="378"/>
      <c r="N12" s="589"/>
      <c r="O12" s="355"/>
      <c r="P12" s="400"/>
      <c r="Q12" s="375"/>
      <c r="R12" s="235"/>
      <c r="S12" s="374">
        <f t="shared" si="1"/>
        <v>0</v>
      </c>
    </row>
    <row r="13" spans="3:19" ht="15.75" customHeight="1" x14ac:dyDescent="0.35">
      <c r="C13" s="356"/>
      <c r="D13" s="355"/>
      <c r="E13" s="355"/>
      <c r="F13" s="400"/>
      <c r="G13" s="359"/>
      <c r="H13" s="360"/>
      <c r="I13" s="358">
        <f t="shared" si="0"/>
        <v>0</v>
      </c>
      <c r="M13" s="378"/>
      <c r="N13" s="589"/>
      <c r="O13" s="355"/>
      <c r="P13" s="400"/>
      <c r="Q13" s="375"/>
      <c r="R13" s="235"/>
      <c r="S13" s="374">
        <f t="shared" si="1"/>
        <v>0</v>
      </c>
    </row>
    <row r="14" spans="3:19" ht="15.75" customHeight="1" x14ac:dyDescent="0.35">
      <c r="C14" s="356"/>
      <c r="D14" s="355"/>
      <c r="E14" s="355"/>
      <c r="F14" s="400"/>
      <c r="G14" s="359"/>
      <c r="H14" s="360"/>
      <c r="I14" s="358">
        <f t="shared" si="0"/>
        <v>0</v>
      </c>
      <c r="M14" s="378"/>
      <c r="N14" s="589"/>
      <c r="O14" s="355"/>
      <c r="P14" s="400"/>
      <c r="Q14" s="375"/>
      <c r="R14" s="235"/>
      <c r="S14" s="374">
        <f t="shared" si="1"/>
        <v>0</v>
      </c>
    </row>
    <row r="15" spans="3:19" ht="15.75" customHeight="1" x14ac:dyDescent="0.35">
      <c r="C15" s="356"/>
      <c r="D15" s="355"/>
      <c r="E15" s="355"/>
      <c r="F15" s="400"/>
      <c r="G15" s="359"/>
      <c r="H15" s="360"/>
      <c r="I15" s="358">
        <f t="shared" si="0"/>
        <v>0</v>
      </c>
      <c r="M15" s="378"/>
      <c r="N15" s="589"/>
      <c r="O15" s="355"/>
      <c r="P15" s="400"/>
      <c r="Q15" s="375"/>
      <c r="R15" s="235"/>
      <c r="S15" s="374">
        <f t="shared" ref="S15:S22" si="2">Q15*P15</f>
        <v>0</v>
      </c>
    </row>
    <row r="16" spans="3:19" ht="15.75" customHeight="1" x14ac:dyDescent="0.35">
      <c r="C16" s="356"/>
      <c r="D16" s="355"/>
      <c r="E16" s="355"/>
      <c r="F16" s="400"/>
      <c r="G16" s="359"/>
      <c r="H16" s="360"/>
      <c r="I16" s="358">
        <f t="shared" si="0"/>
        <v>0</v>
      </c>
      <c r="M16" s="378"/>
      <c r="N16" s="589"/>
      <c r="O16" s="355"/>
      <c r="P16" s="400"/>
      <c r="Q16" s="375"/>
      <c r="R16" s="235"/>
      <c r="S16" s="374">
        <f t="shared" si="2"/>
        <v>0</v>
      </c>
    </row>
    <row r="17" spans="1:19" ht="15.75" customHeight="1" x14ac:dyDescent="0.35">
      <c r="C17" s="356"/>
      <c r="D17" s="355"/>
      <c r="E17" s="355"/>
      <c r="F17" s="400"/>
      <c r="G17" s="359"/>
      <c r="H17" s="360"/>
      <c r="I17" s="358">
        <f t="shared" si="0"/>
        <v>0</v>
      </c>
      <c r="M17" s="378"/>
      <c r="N17" s="589"/>
      <c r="O17" s="355"/>
      <c r="P17" s="400"/>
      <c r="Q17" s="375"/>
      <c r="R17" s="235"/>
      <c r="S17" s="374">
        <f t="shared" si="2"/>
        <v>0</v>
      </c>
    </row>
    <row r="18" spans="1:19" ht="15.75" customHeight="1" x14ac:dyDescent="0.35">
      <c r="C18" s="356"/>
      <c r="D18" s="355"/>
      <c r="E18" s="355"/>
      <c r="F18" s="400"/>
      <c r="G18" s="359"/>
      <c r="H18" s="360"/>
      <c r="I18" s="358">
        <f t="shared" si="0"/>
        <v>0</v>
      </c>
      <c r="M18" s="378"/>
      <c r="N18" s="589"/>
      <c r="O18" s="355"/>
      <c r="P18" s="400"/>
      <c r="Q18" s="375"/>
      <c r="R18" s="235"/>
      <c r="S18" s="374">
        <f t="shared" si="2"/>
        <v>0</v>
      </c>
    </row>
    <row r="19" spans="1:19" ht="15.75" customHeight="1" x14ac:dyDescent="0.35">
      <c r="C19" s="356"/>
      <c r="D19" s="355"/>
      <c r="E19" s="355"/>
      <c r="F19" s="400"/>
      <c r="G19" s="359"/>
      <c r="H19" s="360"/>
      <c r="I19" s="358">
        <f t="shared" si="0"/>
        <v>0</v>
      </c>
      <c r="M19" s="378"/>
      <c r="N19" s="589"/>
      <c r="O19" s="355"/>
      <c r="P19" s="400"/>
      <c r="Q19" s="375"/>
      <c r="R19" s="235"/>
      <c r="S19" s="374">
        <f t="shared" si="2"/>
        <v>0</v>
      </c>
    </row>
    <row r="20" spans="1:19" ht="15.75" customHeight="1" x14ac:dyDescent="0.35">
      <c r="C20" s="356"/>
      <c r="D20" s="355"/>
      <c r="E20" s="355"/>
      <c r="F20" s="400"/>
      <c r="G20" s="359"/>
      <c r="H20" s="360"/>
      <c r="I20" s="358">
        <f t="shared" si="0"/>
        <v>0</v>
      </c>
      <c r="M20" s="378"/>
      <c r="N20" s="589"/>
      <c r="O20" s="355"/>
      <c r="P20" s="400"/>
      <c r="Q20" s="375"/>
      <c r="R20" s="235"/>
      <c r="S20" s="374">
        <f t="shared" si="2"/>
        <v>0</v>
      </c>
    </row>
    <row r="21" spans="1:19" ht="15.75" customHeight="1" x14ac:dyDescent="0.35">
      <c r="C21" s="356"/>
      <c r="D21" s="355"/>
      <c r="E21" s="355"/>
      <c r="F21" s="400"/>
      <c r="G21" s="359"/>
      <c r="H21" s="360"/>
      <c r="I21" s="358">
        <f t="shared" si="0"/>
        <v>0</v>
      </c>
      <c r="M21" s="378"/>
      <c r="N21" s="589"/>
      <c r="O21" s="355"/>
      <c r="P21" s="400"/>
      <c r="Q21" s="375"/>
      <c r="R21" s="235"/>
      <c r="S21" s="374">
        <f t="shared" si="2"/>
        <v>0</v>
      </c>
    </row>
    <row r="22" spans="1:19" ht="15.75" customHeight="1" thickBot="1" x14ac:dyDescent="0.4">
      <c r="C22" s="356"/>
      <c r="D22" s="355"/>
      <c r="E22" s="355"/>
      <c r="F22" s="400"/>
      <c r="G22" s="359"/>
      <c r="H22" s="360"/>
      <c r="I22" s="358">
        <f t="shared" si="0"/>
        <v>0</v>
      </c>
      <c r="M22" s="378"/>
      <c r="N22" s="589"/>
      <c r="O22" s="355"/>
      <c r="P22" s="400"/>
      <c r="Q22" s="375"/>
      <c r="R22" s="249"/>
      <c r="S22" s="377">
        <f t="shared" si="2"/>
        <v>0</v>
      </c>
    </row>
    <row r="23" spans="1:19" ht="15.75" customHeight="1" thickTop="1" thickBot="1" x14ac:dyDescent="0.4">
      <c r="C23" s="356"/>
      <c r="D23" s="355"/>
      <c r="E23" s="355"/>
      <c r="F23" s="400"/>
      <c r="G23" s="359"/>
      <c r="H23" s="360"/>
      <c r="I23" s="358">
        <f t="shared" si="0"/>
        <v>0</v>
      </c>
      <c r="M23" s="251" t="s">
        <v>16</v>
      </c>
      <c r="N23" s="228"/>
      <c r="O23" s="228"/>
      <c r="P23" s="252"/>
      <c r="Q23" s="253"/>
      <c r="R23" s="253"/>
      <c r="S23" s="229">
        <f ca="1">SUBTOTAL(109,BLANKADDS[EXTENSION])</f>
        <v>0</v>
      </c>
    </row>
    <row r="24" spans="1:19" ht="15.75" customHeight="1" thickBot="1" x14ac:dyDescent="0.4">
      <c r="C24" s="356"/>
      <c r="D24" s="355"/>
      <c r="E24" s="355"/>
      <c r="F24" s="400"/>
      <c r="G24" s="359"/>
      <c r="H24" s="360"/>
      <c r="I24" s="358">
        <f t="shared" si="0"/>
        <v>0</v>
      </c>
    </row>
    <row r="25" spans="1:19" ht="15.75" customHeight="1" thickBot="1" x14ac:dyDescent="0.4">
      <c r="C25" s="356"/>
      <c r="D25" s="355"/>
      <c r="E25" s="355"/>
      <c r="F25" s="400"/>
      <c r="G25" s="359"/>
      <c r="H25" s="360"/>
      <c r="I25" s="358">
        <f t="shared" si="0"/>
        <v>0</v>
      </c>
      <c r="M25" s="872" t="s">
        <v>168</v>
      </c>
      <c r="N25" s="873"/>
      <c r="O25" s="873"/>
      <c r="P25" s="873"/>
      <c r="Q25" s="873"/>
      <c r="R25" s="873"/>
      <c r="S25" s="874"/>
    </row>
    <row r="26" spans="1:19" ht="15.75" customHeight="1" thickBot="1" x14ac:dyDescent="0.4">
      <c r="C26" s="361"/>
      <c r="D26" s="362"/>
      <c r="E26" s="362"/>
      <c r="F26" s="401"/>
      <c r="G26" s="363"/>
      <c r="H26" s="364"/>
      <c r="I26" s="365">
        <f t="shared" si="0"/>
        <v>0</v>
      </c>
      <c r="M26" s="801" t="s">
        <v>169</v>
      </c>
      <c r="N26" s="802"/>
      <c r="O26" s="802"/>
      <c r="P26" s="802"/>
      <c r="Q26" s="802"/>
      <c r="R26" s="802"/>
      <c r="S26" s="803"/>
    </row>
    <row r="27" spans="1:19" ht="15.75" customHeight="1" thickTop="1" thickBot="1" x14ac:dyDescent="0.4">
      <c r="C27" s="251" t="s">
        <v>16</v>
      </c>
      <c r="D27" s="228"/>
      <c r="E27" s="228"/>
      <c r="F27" s="252"/>
      <c r="G27" s="253"/>
      <c r="H27" s="253"/>
      <c r="I27" s="229">
        <f>SUBTOTAL(109,BLANK[EXTENSION])</f>
        <v>0</v>
      </c>
      <c r="M27" s="302" t="s">
        <v>0</v>
      </c>
      <c r="N27" s="789">
        <f ca="1">SUM(BLANK[[#Totals],[EXTENSION]],S7:S22)</f>
        <v>0</v>
      </c>
      <c r="O27" s="790"/>
      <c r="P27" s="808" t="s">
        <v>8</v>
      </c>
      <c r="Q27" s="809"/>
      <c r="R27" s="789">
        <f>SUMIF($B$31:$B$49,P27,$I$31:$I$49)</f>
        <v>0</v>
      </c>
      <c r="S27" s="790"/>
    </row>
    <row r="28" spans="1:19" ht="15.75" customHeight="1" thickBot="1" x14ac:dyDescent="0.4">
      <c r="M28" s="304" t="s">
        <v>1</v>
      </c>
      <c r="N28" s="789">
        <f>SUMIF($B$31:$B$49,M28,$I$31:$I$49)</f>
        <v>0</v>
      </c>
      <c r="O28" s="790"/>
      <c r="P28" s="791" t="s">
        <v>9</v>
      </c>
      <c r="Q28" s="792"/>
      <c r="R28" s="789">
        <f>SUMIF($B$31:$B$49,P28,$I$31:$I$49)</f>
        <v>0</v>
      </c>
      <c r="S28" s="790"/>
    </row>
    <row r="29" spans="1:19" ht="15.75" customHeight="1" thickBot="1" x14ac:dyDescent="0.4">
      <c r="C29" s="872" t="s">
        <v>436</v>
      </c>
      <c r="D29" s="873"/>
      <c r="E29" s="873"/>
      <c r="F29" s="873"/>
      <c r="G29" s="873"/>
      <c r="H29" s="873"/>
      <c r="I29" s="873"/>
      <c r="M29" s="304" t="s">
        <v>2</v>
      </c>
      <c r="N29" s="789">
        <f t="shared" ref="N29:N34" si="3">SUMIF($B$31:$B$49,M29,$I$31:$I$49)</f>
        <v>0</v>
      </c>
      <c r="O29" s="790"/>
      <c r="P29" s="791" t="s">
        <v>10</v>
      </c>
      <c r="Q29" s="792"/>
      <c r="R29" s="789">
        <f>SUMIF($B$31:$B$49,P29,$I$31:$I$49)</f>
        <v>0</v>
      </c>
      <c r="S29" s="790"/>
    </row>
    <row r="30" spans="1:19" ht="15.75" customHeight="1" thickBot="1" x14ac:dyDescent="0.4">
      <c r="C30" s="895" t="s">
        <v>153</v>
      </c>
      <c r="D30" s="896"/>
      <c r="E30" s="896"/>
      <c r="F30" s="74" t="s">
        <v>154</v>
      </c>
      <c r="G30" s="75" t="s">
        <v>430</v>
      </c>
      <c r="H30" s="75" t="s">
        <v>155</v>
      </c>
      <c r="I30" s="76" t="s">
        <v>156</v>
      </c>
      <c r="M30" s="304" t="s">
        <v>3</v>
      </c>
      <c r="N30" s="789">
        <f t="shared" si="3"/>
        <v>0</v>
      </c>
      <c r="O30" s="790"/>
      <c r="P30" s="791" t="s">
        <v>11</v>
      </c>
      <c r="Q30" s="792"/>
      <c r="R30" s="922"/>
      <c r="S30" s="923"/>
    </row>
    <row r="31" spans="1:19" ht="15.75" customHeight="1" x14ac:dyDescent="0.35">
      <c r="A31" s="67" t="s">
        <v>1</v>
      </c>
      <c r="B31" s="352" t="s">
        <v>1</v>
      </c>
      <c r="C31" s="924" t="s">
        <v>1089</v>
      </c>
      <c r="D31" s="925"/>
      <c r="E31" s="925"/>
      <c r="F31" s="403"/>
      <c r="G31" s="444"/>
      <c r="H31" s="366">
        <v>600</v>
      </c>
      <c r="I31" s="367">
        <f>H31*F31*G31</f>
        <v>0</v>
      </c>
      <c r="M31" s="304" t="s">
        <v>4</v>
      </c>
      <c r="N31" s="789">
        <f t="shared" si="3"/>
        <v>0</v>
      </c>
      <c r="O31" s="790"/>
      <c r="P31" s="791" t="s">
        <v>12</v>
      </c>
      <c r="Q31" s="792"/>
      <c r="R31" s="922"/>
      <c r="S31" s="923"/>
    </row>
    <row r="32" spans="1:19" ht="15.75" customHeight="1" x14ac:dyDescent="0.35">
      <c r="A32" s="67" t="s">
        <v>1</v>
      </c>
      <c r="B32" s="352" t="s">
        <v>1</v>
      </c>
      <c r="C32" s="910" t="s">
        <v>1090</v>
      </c>
      <c r="D32" s="911"/>
      <c r="E32" s="911"/>
      <c r="F32" s="403"/>
      <c r="G32" s="444"/>
      <c r="H32" s="366">
        <v>600</v>
      </c>
      <c r="I32" s="367">
        <f t="shared" ref="I32:I44" si="4">H32*F32*G32</f>
        <v>0</v>
      </c>
      <c r="M32" s="304" t="s">
        <v>5</v>
      </c>
      <c r="N32" s="789">
        <f t="shared" si="3"/>
        <v>0</v>
      </c>
      <c r="O32" s="790"/>
      <c r="P32" s="791" t="s">
        <v>13</v>
      </c>
      <c r="Q32" s="792"/>
      <c r="R32" s="922"/>
      <c r="S32" s="923"/>
    </row>
    <row r="33" spans="1:19" ht="15.75" customHeight="1" x14ac:dyDescent="0.35">
      <c r="A33" s="67" t="s">
        <v>1</v>
      </c>
      <c r="B33" s="352" t="s">
        <v>1</v>
      </c>
      <c r="C33" s="910" t="s">
        <v>1091</v>
      </c>
      <c r="D33" s="911"/>
      <c r="E33" s="911"/>
      <c r="F33" s="403"/>
      <c r="G33" s="444"/>
      <c r="H33" s="366">
        <v>600</v>
      </c>
      <c r="I33" s="367">
        <f t="shared" si="4"/>
        <v>0</v>
      </c>
      <c r="M33" s="304" t="s">
        <v>6</v>
      </c>
      <c r="N33" s="789">
        <f t="shared" si="3"/>
        <v>0</v>
      </c>
      <c r="O33" s="790"/>
      <c r="P33" s="791" t="s">
        <v>14</v>
      </c>
      <c r="Q33" s="792"/>
      <c r="R33" s="795">
        <f>SUM(S4, S5, S6, S8)</f>
        <v>0</v>
      </c>
      <c r="S33" s="796"/>
    </row>
    <row r="34" spans="1:19" ht="15.75" customHeight="1" x14ac:dyDescent="0.35">
      <c r="A34" s="67" t="s">
        <v>1</v>
      </c>
      <c r="B34" s="352" t="s">
        <v>1</v>
      </c>
      <c r="C34" s="910" t="s">
        <v>1092</v>
      </c>
      <c r="D34" s="911"/>
      <c r="E34" s="911"/>
      <c r="F34" s="403"/>
      <c r="G34" s="444"/>
      <c r="H34" s="366">
        <v>600</v>
      </c>
      <c r="I34" s="367">
        <f t="shared" si="4"/>
        <v>0</v>
      </c>
      <c r="M34" s="304" t="s">
        <v>7</v>
      </c>
      <c r="N34" s="789">
        <f t="shared" si="3"/>
        <v>0</v>
      </c>
      <c r="O34" s="790"/>
      <c r="P34" s="791" t="s">
        <v>853</v>
      </c>
      <c r="Q34" s="792"/>
      <c r="R34" s="793"/>
      <c r="S34" s="794"/>
    </row>
    <row r="35" spans="1:19" ht="15.75" customHeight="1" x14ac:dyDescent="0.35">
      <c r="A35" s="67" t="s">
        <v>1</v>
      </c>
      <c r="B35" s="352" t="s">
        <v>1</v>
      </c>
      <c r="C35" s="910" t="s">
        <v>431</v>
      </c>
      <c r="D35" s="911"/>
      <c r="E35" s="911"/>
      <c r="F35" s="403"/>
      <c r="G35" s="444"/>
      <c r="H35" s="366">
        <v>600</v>
      </c>
      <c r="I35" s="367">
        <f t="shared" si="4"/>
        <v>0</v>
      </c>
      <c r="M35" s="304" t="s">
        <v>850</v>
      </c>
      <c r="N35" s="793"/>
      <c r="O35" s="794"/>
      <c r="P35" s="791" t="s">
        <v>852</v>
      </c>
      <c r="Q35" s="792"/>
      <c r="R35" s="793"/>
      <c r="S35" s="794"/>
    </row>
    <row r="36" spans="1:19" ht="15.75" customHeight="1" x14ac:dyDescent="0.35">
      <c r="A36" s="67" t="s">
        <v>1</v>
      </c>
      <c r="B36" s="352" t="s">
        <v>1</v>
      </c>
      <c r="C36" s="910" t="s">
        <v>432</v>
      </c>
      <c r="D36" s="911"/>
      <c r="E36" s="911"/>
      <c r="F36" s="403"/>
      <c r="G36" s="444"/>
      <c r="H36" s="366">
        <v>600</v>
      </c>
      <c r="I36" s="367">
        <f t="shared" si="4"/>
        <v>0</v>
      </c>
      <c r="M36" s="304" t="s">
        <v>851</v>
      </c>
      <c r="N36" s="793"/>
      <c r="O36" s="794"/>
      <c r="P36" s="791" t="s">
        <v>15</v>
      </c>
      <c r="Q36" s="792"/>
      <c r="R36" s="795">
        <f>N49</f>
        <v>0</v>
      </c>
      <c r="S36" s="796"/>
    </row>
    <row r="37" spans="1:19" ht="15.75" customHeight="1" thickBot="1" x14ac:dyDescent="0.4">
      <c r="A37" s="67" t="s">
        <v>1</v>
      </c>
      <c r="B37" s="352" t="s">
        <v>1</v>
      </c>
      <c r="C37" s="910" t="s">
        <v>433</v>
      </c>
      <c r="D37" s="911"/>
      <c r="E37" s="911"/>
      <c r="F37" s="403"/>
      <c r="G37" s="444"/>
      <c r="H37" s="366">
        <v>600</v>
      </c>
      <c r="I37" s="367">
        <f t="shared" si="4"/>
        <v>0</v>
      </c>
      <c r="M37" s="306" t="str">
        <f>IF(P51="","","CA LITIGATION FUND")</f>
        <v/>
      </c>
      <c r="N37" s="828" t="str">
        <f>IF(P51="","",R51)</f>
        <v/>
      </c>
      <c r="O37" s="829"/>
      <c r="P37" s="799" t="s">
        <v>894</v>
      </c>
      <c r="Q37" s="800"/>
      <c r="R37" s="830">
        <f>S7</f>
        <v>0</v>
      </c>
      <c r="S37" s="831"/>
    </row>
    <row r="38" spans="1:19" ht="15.75" customHeight="1" thickBot="1" x14ac:dyDescent="0.4">
      <c r="A38" s="67" t="s">
        <v>1</v>
      </c>
      <c r="B38" s="352" t="s">
        <v>1</v>
      </c>
      <c r="C38" s="910" t="s">
        <v>434</v>
      </c>
      <c r="D38" s="911"/>
      <c r="E38" s="911"/>
      <c r="F38" s="403"/>
      <c r="G38" s="444"/>
      <c r="H38" s="366">
        <v>600</v>
      </c>
      <c r="I38" s="367">
        <f t="shared" si="4"/>
        <v>0</v>
      </c>
      <c r="P38" s="314"/>
      <c r="Q38" s="13"/>
      <c r="R38" s="13"/>
      <c r="S38" s="13"/>
    </row>
    <row r="39" spans="1:19" ht="15.75" customHeight="1" thickBot="1" x14ac:dyDescent="0.4">
      <c r="A39" s="67" t="s">
        <v>1</v>
      </c>
      <c r="B39" s="352" t="s">
        <v>1</v>
      </c>
      <c r="C39" s="910" t="s">
        <v>435</v>
      </c>
      <c r="D39" s="911"/>
      <c r="E39" s="911"/>
      <c r="F39" s="403"/>
      <c r="G39" s="444"/>
      <c r="H39" s="366">
        <v>600</v>
      </c>
      <c r="I39" s="367">
        <f t="shared" si="4"/>
        <v>0</v>
      </c>
      <c r="M39" s="801" t="s">
        <v>725</v>
      </c>
      <c r="N39" s="802"/>
      <c r="O39" s="802"/>
      <c r="P39" s="802"/>
      <c r="Q39" s="802"/>
      <c r="R39" s="802"/>
      <c r="S39" s="803"/>
    </row>
    <row r="40" spans="1:19" ht="15.75" customHeight="1" x14ac:dyDescent="0.35">
      <c r="A40" s="67" t="s">
        <v>1</v>
      </c>
      <c r="B40" s="352" t="s">
        <v>1</v>
      </c>
      <c r="C40" s="910" t="s">
        <v>157</v>
      </c>
      <c r="D40" s="911"/>
      <c r="E40" s="911"/>
      <c r="F40" s="403"/>
      <c r="G40" s="444"/>
      <c r="H40" s="366">
        <v>600</v>
      </c>
      <c r="I40" s="367">
        <f t="shared" si="4"/>
        <v>0</v>
      </c>
      <c r="M40" s="302" t="s">
        <v>726</v>
      </c>
      <c r="N40" s="806"/>
      <c r="O40" s="807"/>
      <c r="P40" s="808" t="s">
        <v>727</v>
      </c>
      <c r="Q40" s="809"/>
      <c r="R40" s="806"/>
      <c r="S40" s="807"/>
    </row>
    <row r="41" spans="1:19" ht="15.75" customHeight="1" x14ac:dyDescent="0.35">
      <c r="A41" s="67" t="s">
        <v>2</v>
      </c>
      <c r="B41" s="352" t="s">
        <v>2</v>
      </c>
      <c r="C41" s="904" t="s">
        <v>158</v>
      </c>
      <c r="D41" s="905"/>
      <c r="E41" s="905"/>
      <c r="F41" s="404"/>
      <c r="G41" s="445"/>
      <c r="H41" s="366"/>
      <c r="I41" s="367">
        <f>H41</f>
        <v>0</v>
      </c>
      <c r="M41" s="304" t="s">
        <v>728</v>
      </c>
      <c r="N41" s="793"/>
      <c r="O41" s="794"/>
      <c r="P41" s="791" t="s">
        <v>729</v>
      </c>
      <c r="Q41" s="792"/>
      <c r="R41" s="793"/>
      <c r="S41" s="794"/>
    </row>
    <row r="42" spans="1:19" ht="15.75" customHeight="1" thickBot="1" x14ac:dyDescent="0.4">
      <c r="A42" s="67" t="s">
        <v>3</v>
      </c>
      <c r="B42" s="352" t="s">
        <v>3</v>
      </c>
      <c r="C42" s="904" t="s">
        <v>159</v>
      </c>
      <c r="D42" s="905"/>
      <c r="E42" s="905"/>
      <c r="F42" s="403"/>
      <c r="G42" s="444"/>
      <c r="H42" s="368">
        <v>420</v>
      </c>
      <c r="I42" s="367">
        <f t="shared" si="4"/>
        <v>0</v>
      </c>
      <c r="M42" s="306" t="s">
        <v>730</v>
      </c>
      <c r="N42" s="797"/>
      <c r="O42" s="798"/>
      <c r="P42" s="799" t="s">
        <v>731</v>
      </c>
      <c r="Q42" s="800"/>
      <c r="R42" s="797"/>
      <c r="S42" s="798"/>
    </row>
    <row r="43" spans="1:19" ht="15.75" customHeight="1" thickBot="1" x14ac:dyDescent="0.4">
      <c r="A43" s="67" t="s">
        <v>4</v>
      </c>
      <c r="B43" s="352" t="s">
        <v>4</v>
      </c>
      <c r="C43" s="904" t="s">
        <v>160</v>
      </c>
      <c r="D43" s="905"/>
      <c r="E43" s="905"/>
      <c r="F43" s="403"/>
      <c r="G43" s="444"/>
      <c r="H43" s="368">
        <v>180</v>
      </c>
      <c r="I43" s="367">
        <f t="shared" si="4"/>
        <v>0</v>
      </c>
    </row>
    <row r="44" spans="1:19" ht="15.75" customHeight="1" thickBot="1" x14ac:dyDescent="0.4">
      <c r="A44" s="67" t="s">
        <v>5</v>
      </c>
      <c r="B44" s="352" t="s">
        <v>5</v>
      </c>
      <c r="C44" s="884" t="s">
        <v>161</v>
      </c>
      <c r="D44" s="885"/>
      <c r="E44" s="885"/>
      <c r="F44" s="403"/>
      <c r="G44" s="444"/>
      <c r="H44" s="369">
        <v>65</v>
      </c>
      <c r="I44" s="367">
        <f t="shared" si="4"/>
        <v>0</v>
      </c>
      <c r="M44" s="872" t="s">
        <v>170</v>
      </c>
      <c r="N44" s="873"/>
      <c r="O44" s="873"/>
      <c r="P44" s="873"/>
      <c r="Q44" s="873"/>
      <c r="R44" s="873"/>
      <c r="S44" s="874"/>
    </row>
    <row r="45" spans="1:19" ht="15.75" customHeight="1" thickBot="1" x14ac:dyDescent="0.4">
      <c r="A45" s="67" t="s">
        <v>6</v>
      </c>
      <c r="B45" s="352" t="s">
        <v>6</v>
      </c>
      <c r="C45" s="884" t="s">
        <v>162</v>
      </c>
      <c r="D45" s="885"/>
      <c r="E45" s="885"/>
      <c r="F45" s="403"/>
      <c r="G45" s="445"/>
      <c r="H45" s="369">
        <v>0.7</v>
      </c>
      <c r="I45" s="367">
        <f>H45*F45</f>
        <v>0</v>
      </c>
      <c r="M45" s="801" t="s">
        <v>171</v>
      </c>
      <c r="N45" s="802"/>
      <c r="O45" s="802"/>
      <c r="P45" s="802" t="s">
        <v>172</v>
      </c>
      <c r="Q45" s="802"/>
      <c r="R45" s="802"/>
      <c r="S45" s="803"/>
    </row>
    <row r="46" spans="1:19" ht="15.75" customHeight="1" x14ac:dyDescent="0.35">
      <c r="A46" s="67" t="s">
        <v>7</v>
      </c>
      <c r="B46" s="352" t="s">
        <v>7</v>
      </c>
      <c r="C46" s="884" t="s">
        <v>163</v>
      </c>
      <c r="D46" s="885"/>
      <c r="E46" s="885"/>
      <c r="F46" s="404"/>
      <c r="G46" s="445"/>
      <c r="H46" s="369"/>
      <c r="I46" s="367">
        <f>H46</f>
        <v>0</v>
      </c>
      <c r="M46" s="303" t="s">
        <v>173</v>
      </c>
      <c r="N46" s="870">
        <f ca="1">SUM(N27:O36,R27:S35,N40:O42,R40:S42,R37)</f>
        <v>0</v>
      </c>
      <c r="O46" s="871"/>
      <c r="P46" s="415" t="s">
        <v>1010</v>
      </c>
      <c r="Q46" s="529">
        <f>PO!Q2</f>
        <v>0.1</v>
      </c>
      <c r="R46" s="529">
        <f>PO!Q4</f>
        <v>0.1</v>
      </c>
      <c r="S46" s="529">
        <f>PO!Q6</f>
        <v>0.1</v>
      </c>
    </row>
    <row r="47" spans="1:19" ht="15.75" customHeight="1" x14ac:dyDescent="0.35">
      <c r="A47" s="67" t="s">
        <v>8</v>
      </c>
      <c r="B47" s="352" t="s">
        <v>8</v>
      </c>
      <c r="C47" s="884" t="s">
        <v>164</v>
      </c>
      <c r="D47" s="885"/>
      <c r="E47" s="885"/>
      <c r="F47" s="403"/>
      <c r="G47" s="444"/>
      <c r="H47" s="369">
        <v>38.25</v>
      </c>
      <c r="I47" s="367">
        <f>H47*F47*G47</f>
        <v>0</v>
      </c>
      <c r="M47" s="303" t="s">
        <v>732</v>
      </c>
      <c r="N47" s="789">
        <f ca="1">IFERROR(ROUND(IF(Q46=0,PO!$Q$2,Q46)*N27,2),0)</f>
        <v>0</v>
      </c>
      <c r="O47" s="790"/>
      <c r="P47" s="817" t="s">
        <v>174</v>
      </c>
      <c r="Q47" s="818"/>
      <c r="R47" s="819">
        <f ca="1">IF(IFERROR(ROUND(SUM(R49/N51),2),0)&gt;(-1),IFERROR(ROUND(SUM(R49/N51),2),0),0)</f>
        <v>0</v>
      </c>
      <c r="S47" s="820"/>
    </row>
    <row r="48" spans="1:19" ht="15.75" customHeight="1" x14ac:dyDescent="0.35">
      <c r="A48" s="67" t="s">
        <v>9</v>
      </c>
      <c r="B48" s="352" t="s">
        <v>9</v>
      </c>
      <c r="C48" s="884" t="s">
        <v>165</v>
      </c>
      <c r="D48" s="885"/>
      <c r="E48" s="885"/>
      <c r="F48" s="403"/>
      <c r="G48" s="444"/>
      <c r="H48" s="369">
        <v>51</v>
      </c>
      <c r="I48" s="367">
        <f>H48*F48*G48</f>
        <v>0</v>
      </c>
      <c r="M48" s="303" t="s">
        <v>733</v>
      </c>
      <c r="N48" s="789">
        <f>IFERROR(ROUND(IF(R46=0,PO!$Q$4,R46)*R33,2),0)</f>
        <v>0</v>
      </c>
      <c r="O48" s="790"/>
      <c r="P48" s="826" t="s">
        <v>175</v>
      </c>
      <c r="Q48" s="827"/>
      <c r="R48" s="821">
        <f ca="1">IFERROR(ROUND(SUM(R49/Q52),2),0)</f>
        <v>0</v>
      </c>
      <c r="S48" s="822"/>
    </row>
    <row r="49" spans="1:19" ht="15.75" customHeight="1" thickBot="1" x14ac:dyDescent="0.4">
      <c r="A49" s="67" t="s">
        <v>10</v>
      </c>
      <c r="B49" s="352" t="s">
        <v>10</v>
      </c>
      <c r="C49" s="887" t="s">
        <v>256</v>
      </c>
      <c r="D49" s="888"/>
      <c r="E49" s="888"/>
      <c r="F49" s="403"/>
      <c r="G49" s="444"/>
      <c r="H49" s="369">
        <v>325</v>
      </c>
      <c r="I49" s="367">
        <f>H49*F49*G49</f>
        <v>0</v>
      </c>
      <c r="M49" s="303" t="s">
        <v>980</v>
      </c>
      <c r="N49" s="795">
        <f>IFERROR(ROUND(IF(S46=0,PO!$Q$6,S46)*SUM(R31:S32),2),0)</f>
        <v>0</v>
      </c>
      <c r="O49" s="796"/>
      <c r="P49" s="826" t="s">
        <v>178</v>
      </c>
      <c r="Q49" s="827"/>
      <c r="R49" s="795">
        <f ca="1">Q52-N51</f>
        <v>0</v>
      </c>
      <c r="S49" s="796"/>
    </row>
    <row r="50" spans="1:19" ht="15.75" customHeight="1" thickTop="1" thickBot="1" x14ac:dyDescent="0.4">
      <c r="A50" s="68"/>
      <c r="B50" s="68"/>
      <c r="C50" s="370" t="s">
        <v>167</v>
      </c>
      <c r="D50" s="371"/>
      <c r="E50" s="371"/>
      <c r="F50" s="371"/>
      <c r="G50" s="371"/>
      <c r="H50" s="371"/>
      <c r="I50" s="372">
        <f>SUM(I31:I49)</f>
        <v>0</v>
      </c>
      <c r="M50" s="303" t="s">
        <v>177</v>
      </c>
      <c r="N50" s="789">
        <f>ROUND(Q52*0.007,2)</f>
        <v>0</v>
      </c>
      <c r="O50" s="790"/>
      <c r="P50" s="826" t="str">
        <f>IF(P51="","","BASE RECOMMENDED BID AMT")</f>
        <v/>
      </c>
      <c r="Q50" s="827"/>
      <c r="R50" s="795" t="str">
        <f>IF(P51="","",ROUND(SUM(N46)*1.45+N47+N48+N49,0)+(ROUND(SUM(N46)*1.45+N47+N48+N49,0)*0.007))</f>
        <v/>
      </c>
      <c r="S50" s="796"/>
    </row>
    <row r="51" spans="1:19" ht="15.75" customHeight="1" thickBot="1" x14ac:dyDescent="0.4">
      <c r="C51" s="420"/>
      <c r="D51" s="421"/>
      <c r="E51" s="421"/>
      <c r="F51" s="421"/>
      <c r="G51" s="421"/>
      <c r="H51" s="421"/>
      <c r="I51" s="421"/>
      <c r="M51" s="303" t="s">
        <v>176</v>
      </c>
      <c r="N51" s="828">
        <f ca="1">SUM(N46:O50)+IF(R51="",0,R51)</f>
        <v>0</v>
      </c>
      <c r="O51" s="829"/>
      <c r="P51" s="839" t="str">
        <f>IF(OR(INFO!D21="CA",INFO!I21="CA"),"CA LITIGATION FUND - 7.8%","")</f>
        <v/>
      </c>
      <c r="Q51" s="840"/>
      <c r="R51" s="841" t="str">
        <f>IF(OR(INFO!D21="CA",INFO!I21="CA"),IF(N29=0,R50*0.078,""),"")</f>
        <v/>
      </c>
      <c r="S51" s="842"/>
    </row>
    <row r="52" spans="1:19" ht="15.75" customHeight="1" thickBot="1" x14ac:dyDescent="0.4">
      <c r="M52" s="833" t="str">
        <f ca="1">"CUSTOMER BID AMOUNT ("&amp;TEXT(ROUND(SUM(N46)*1.45+N47+N48+N49,0)+(ROUND(SUM(N46)*1.45+N47+N48+N49,0)*0.007)+IF(R51="",0,R51),"$###,##0.00")&amp;" Recommended)"</f>
        <v>CUSTOMER BID AMOUNT ($0.00 Recommended)</v>
      </c>
      <c r="N52" s="834"/>
      <c r="O52" s="834"/>
      <c r="P52" s="835"/>
      <c r="Q52" s="836"/>
      <c r="R52" s="837"/>
      <c r="S52" s="838"/>
    </row>
    <row r="53" spans="1:19" ht="7.5" customHeight="1" thickBot="1" x14ac:dyDescent="0.4"/>
    <row r="54" spans="1:19" ht="15.75" customHeight="1" thickBot="1" x14ac:dyDescent="0.4">
      <c r="C54" s="823" t="s">
        <v>440</v>
      </c>
      <c r="D54" s="824"/>
      <c r="E54" s="824"/>
      <c r="F54" s="824"/>
      <c r="G54" s="824"/>
      <c r="H54" s="824"/>
      <c r="I54" s="824"/>
      <c r="J54" s="824"/>
      <c r="K54" s="824"/>
      <c r="L54" s="824"/>
      <c r="M54" s="824"/>
      <c r="N54" s="824"/>
      <c r="O54" s="824"/>
      <c r="P54" s="824"/>
      <c r="Q54" s="824"/>
      <c r="R54" s="824"/>
      <c r="S54" s="825"/>
    </row>
    <row r="55" spans="1:19" ht="15.75" customHeight="1" x14ac:dyDescent="0.35">
      <c r="C55" s="913"/>
      <c r="D55" s="914"/>
      <c r="E55" s="914"/>
      <c r="F55" s="914"/>
      <c r="G55" s="914"/>
      <c r="H55" s="914"/>
      <c r="I55" s="914"/>
      <c r="J55" s="914"/>
      <c r="K55" s="914"/>
      <c r="L55" s="914"/>
      <c r="M55" s="914"/>
      <c r="N55" s="914"/>
      <c r="O55" s="914"/>
      <c r="P55" s="914"/>
      <c r="Q55" s="914"/>
      <c r="R55" s="914"/>
      <c r="S55" s="915"/>
    </row>
    <row r="56" spans="1:19" ht="15.75" customHeight="1" x14ac:dyDescent="0.35">
      <c r="C56" s="916"/>
      <c r="D56" s="917"/>
      <c r="E56" s="917"/>
      <c r="F56" s="917"/>
      <c r="G56" s="917"/>
      <c r="H56" s="917"/>
      <c r="I56" s="917"/>
      <c r="J56" s="917"/>
      <c r="K56" s="917"/>
      <c r="L56" s="917"/>
      <c r="M56" s="917"/>
      <c r="N56" s="917"/>
      <c r="O56" s="917"/>
      <c r="P56" s="917"/>
      <c r="Q56" s="917"/>
      <c r="R56" s="917"/>
      <c r="S56" s="918"/>
    </row>
    <row r="57" spans="1:19" ht="15.75" customHeight="1" x14ac:dyDescent="0.35">
      <c r="C57" s="916"/>
      <c r="D57" s="917"/>
      <c r="E57" s="917"/>
      <c r="F57" s="917"/>
      <c r="G57" s="917"/>
      <c r="H57" s="917"/>
      <c r="I57" s="917"/>
      <c r="J57" s="917"/>
      <c r="K57" s="917"/>
      <c r="L57" s="917"/>
      <c r="M57" s="917"/>
      <c r="N57" s="917"/>
      <c r="O57" s="917"/>
      <c r="P57" s="917"/>
      <c r="Q57" s="917"/>
      <c r="R57" s="917"/>
      <c r="S57" s="918"/>
    </row>
    <row r="58" spans="1:19" ht="15.75" customHeight="1" x14ac:dyDescent="0.35">
      <c r="C58" s="916"/>
      <c r="D58" s="917"/>
      <c r="E58" s="917"/>
      <c r="F58" s="917"/>
      <c r="G58" s="917"/>
      <c r="H58" s="917"/>
      <c r="I58" s="917"/>
      <c r="J58" s="917"/>
      <c r="K58" s="917"/>
      <c r="L58" s="917"/>
      <c r="M58" s="917"/>
      <c r="N58" s="917"/>
      <c r="O58" s="917"/>
      <c r="P58" s="917"/>
      <c r="Q58" s="917"/>
      <c r="R58" s="917"/>
      <c r="S58" s="918"/>
    </row>
    <row r="59" spans="1:19" ht="15.75" customHeight="1" x14ac:dyDescent="0.35">
      <c r="C59" s="916"/>
      <c r="D59" s="917"/>
      <c r="E59" s="917"/>
      <c r="F59" s="917"/>
      <c r="G59" s="917"/>
      <c r="H59" s="917"/>
      <c r="I59" s="917"/>
      <c r="J59" s="917"/>
      <c r="K59" s="917"/>
      <c r="L59" s="917"/>
      <c r="M59" s="917"/>
      <c r="N59" s="917"/>
      <c r="O59" s="917"/>
      <c r="P59" s="917"/>
      <c r="Q59" s="917"/>
      <c r="R59" s="917"/>
      <c r="S59" s="918"/>
    </row>
    <row r="60" spans="1:19" ht="15.75" customHeight="1" x14ac:dyDescent="0.35">
      <c r="C60" s="916"/>
      <c r="D60" s="917"/>
      <c r="E60" s="917"/>
      <c r="F60" s="917"/>
      <c r="G60" s="917"/>
      <c r="H60" s="917"/>
      <c r="I60" s="917"/>
      <c r="J60" s="917"/>
      <c r="K60" s="917"/>
      <c r="L60" s="917"/>
      <c r="M60" s="917"/>
      <c r="N60" s="917"/>
      <c r="O60" s="917"/>
      <c r="P60" s="917"/>
      <c r="Q60" s="917"/>
      <c r="R60" s="917"/>
      <c r="S60" s="918"/>
    </row>
    <row r="61" spans="1:19" ht="15.75" customHeight="1" x14ac:dyDescent="0.35">
      <c r="C61" s="916"/>
      <c r="D61" s="917"/>
      <c r="E61" s="917"/>
      <c r="F61" s="917"/>
      <c r="G61" s="917"/>
      <c r="H61" s="917"/>
      <c r="I61" s="917"/>
      <c r="J61" s="917"/>
      <c r="K61" s="917"/>
      <c r="L61" s="917"/>
      <c r="M61" s="917"/>
      <c r="N61" s="917"/>
      <c r="O61" s="917"/>
      <c r="P61" s="917"/>
      <c r="Q61" s="917"/>
      <c r="R61" s="917"/>
      <c r="S61" s="918"/>
    </row>
    <row r="62" spans="1:19" ht="15.75" customHeight="1" thickBot="1" x14ac:dyDescent="0.4">
      <c r="C62" s="919"/>
      <c r="D62" s="920"/>
      <c r="E62" s="920"/>
      <c r="F62" s="920"/>
      <c r="G62" s="920"/>
      <c r="H62" s="920"/>
      <c r="I62" s="920"/>
      <c r="J62" s="920"/>
      <c r="K62" s="920"/>
      <c r="L62" s="920"/>
      <c r="M62" s="920"/>
      <c r="N62" s="920"/>
      <c r="O62" s="920"/>
      <c r="P62" s="920"/>
      <c r="Q62" s="920"/>
      <c r="R62" s="920"/>
      <c r="S62" s="921"/>
    </row>
    <row r="63" spans="1:19" ht="15.75" customHeight="1" thickBot="1" x14ac:dyDescent="0.4">
      <c r="P63" s="599" t="s">
        <v>1082</v>
      </c>
      <c r="Q63" s="600">
        <f>SUM(INFO!$D$8:'INFO'!$D$14)</f>
        <v>0</v>
      </c>
      <c r="R63" s="599" t="s">
        <v>1083</v>
      </c>
      <c r="S63" s="601" t="str">
        <f>IFERROR(INFO!$I$54/INFO!$H$56, "")</f>
        <v/>
      </c>
    </row>
    <row r="64" spans="1:19" ht="15.75" customHeight="1" thickBot="1" x14ac:dyDescent="0.4"/>
    <row r="65" spans="3:19" ht="15.75" customHeight="1" thickBot="1" x14ac:dyDescent="0.4">
      <c r="C65" s="642" t="s">
        <v>1085</v>
      </c>
      <c r="S65" s="13"/>
    </row>
    <row r="66" spans="3:19" ht="15.75" customHeight="1" x14ac:dyDescent="0.35">
      <c r="C66" s="624"/>
      <c r="D66" s="625"/>
      <c r="E66" s="625"/>
      <c r="F66" s="625"/>
      <c r="G66" s="625"/>
      <c r="H66" s="625"/>
      <c r="I66" s="625"/>
      <c r="J66" s="625"/>
      <c r="K66" s="626"/>
      <c r="L66" s="625"/>
      <c r="M66" s="626"/>
      <c r="N66" s="625"/>
      <c r="O66" s="625"/>
      <c r="P66" s="625"/>
      <c r="Q66" s="625"/>
      <c r="R66" s="625"/>
      <c r="S66" s="627"/>
    </row>
    <row r="67" spans="3:19" ht="15.75" customHeight="1" x14ac:dyDescent="0.35">
      <c r="C67" s="628"/>
      <c r="D67" s="629"/>
      <c r="E67" s="629"/>
      <c r="F67" s="629"/>
      <c r="G67" s="629"/>
      <c r="H67" s="629"/>
      <c r="I67" s="629"/>
      <c r="J67" s="629"/>
      <c r="K67" s="630"/>
      <c r="L67" s="629"/>
      <c r="M67" s="630"/>
      <c r="N67" s="629"/>
      <c r="O67" s="629"/>
      <c r="P67" s="629"/>
      <c r="Q67" s="629"/>
      <c r="R67" s="629"/>
      <c r="S67" s="631"/>
    </row>
    <row r="68" spans="3:19" ht="15.75" customHeight="1" x14ac:dyDescent="0.35">
      <c r="C68" s="628"/>
      <c r="D68" s="629"/>
      <c r="E68" s="629"/>
      <c r="F68" s="629"/>
      <c r="G68" s="629"/>
      <c r="H68" s="629"/>
      <c r="I68" s="629"/>
      <c r="J68" s="629"/>
      <c r="K68" s="630"/>
      <c r="L68" s="629"/>
      <c r="M68" s="630"/>
      <c r="N68" s="629"/>
      <c r="O68" s="629"/>
      <c r="P68" s="629"/>
      <c r="Q68" s="629"/>
      <c r="R68" s="629"/>
      <c r="S68" s="631"/>
    </row>
    <row r="69" spans="3:19" ht="15.75" customHeight="1" x14ac:dyDescent="0.35">
      <c r="C69" s="628"/>
      <c r="D69" s="629"/>
      <c r="E69" s="629"/>
      <c r="F69" s="629"/>
      <c r="G69" s="629"/>
      <c r="H69" s="629"/>
      <c r="I69" s="629"/>
      <c r="J69" s="629"/>
      <c r="K69" s="630"/>
      <c r="L69" s="629"/>
      <c r="M69" s="630"/>
      <c r="N69" s="629"/>
      <c r="O69" s="629"/>
      <c r="P69" s="629"/>
      <c r="Q69" s="629"/>
      <c r="R69" s="629"/>
      <c r="S69" s="631"/>
    </row>
    <row r="70" spans="3:19" ht="15.75" customHeight="1" x14ac:dyDescent="0.35">
      <c r="C70" s="628"/>
      <c r="D70" s="629"/>
      <c r="E70" s="629"/>
      <c r="F70" s="629"/>
      <c r="G70" s="629"/>
      <c r="H70" s="629"/>
      <c r="I70" s="629"/>
      <c r="J70" s="629"/>
      <c r="K70" s="630"/>
      <c r="L70" s="629"/>
      <c r="M70" s="630"/>
      <c r="N70" s="629"/>
      <c r="O70" s="629"/>
      <c r="P70" s="629"/>
      <c r="Q70" s="629"/>
      <c r="R70" s="629"/>
      <c r="S70" s="631"/>
    </row>
    <row r="71" spans="3:19" ht="15.75" customHeight="1" x14ac:dyDescent="0.35">
      <c r="C71" s="628"/>
      <c r="D71" s="629"/>
      <c r="E71" s="629"/>
      <c r="F71" s="629"/>
      <c r="G71" s="629"/>
      <c r="H71" s="629"/>
      <c r="I71" s="629"/>
      <c r="J71" s="629"/>
      <c r="K71" s="630"/>
      <c r="L71" s="629"/>
      <c r="M71" s="630"/>
      <c r="N71" s="629"/>
      <c r="O71" s="629"/>
      <c r="P71" s="629"/>
      <c r="Q71" s="629"/>
      <c r="R71" s="629"/>
      <c r="S71" s="631"/>
    </row>
    <row r="72" spans="3:19" ht="15.75" customHeight="1" x14ac:dyDescent="0.35">
      <c r="C72" s="628"/>
      <c r="D72" s="629"/>
      <c r="E72" s="629"/>
      <c r="F72" s="629"/>
      <c r="G72" s="629"/>
      <c r="H72" s="629"/>
      <c r="I72" s="629"/>
      <c r="J72" s="629"/>
      <c r="K72" s="630"/>
      <c r="L72" s="629"/>
      <c r="M72" s="630"/>
      <c r="N72" s="629"/>
      <c r="O72" s="629"/>
      <c r="P72" s="629"/>
      <c r="Q72" s="629"/>
      <c r="R72" s="629"/>
      <c r="S72" s="631"/>
    </row>
    <row r="73" spans="3:19" ht="15.75" customHeight="1" x14ac:dyDescent="0.35">
      <c r="C73" s="628"/>
      <c r="D73" s="629"/>
      <c r="E73" s="629"/>
      <c r="F73" s="629"/>
      <c r="G73" s="629"/>
      <c r="H73" s="629"/>
      <c r="I73" s="629"/>
      <c r="J73" s="629"/>
      <c r="K73" s="630"/>
      <c r="L73" s="629"/>
      <c r="M73" s="630"/>
      <c r="N73" s="629"/>
      <c r="O73" s="629"/>
      <c r="P73" s="629"/>
      <c r="Q73" s="629"/>
      <c r="R73" s="629"/>
      <c r="S73" s="631"/>
    </row>
    <row r="74" spans="3:19" ht="15.75" customHeight="1" x14ac:dyDescent="0.35">
      <c r="C74" s="628"/>
      <c r="D74" s="629"/>
      <c r="E74" s="629"/>
      <c r="F74" s="629"/>
      <c r="G74" s="629"/>
      <c r="H74" s="629"/>
      <c r="I74" s="629"/>
      <c r="J74" s="629"/>
      <c r="K74" s="630"/>
      <c r="L74" s="629"/>
      <c r="M74" s="630"/>
      <c r="N74" s="629"/>
      <c r="O74" s="629"/>
      <c r="P74" s="629"/>
      <c r="Q74" s="629"/>
      <c r="R74" s="629"/>
      <c r="S74" s="631"/>
    </row>
    <row r="75" spans="3:19" ht="15.75" customHeight="1" x14ac:dyDescent="0.35">
      <c r="C75" s="628"/>
      <c r="D75" s="629"/>
      <c r="E75" s="629"/>
      <c r="F75" s="629"/>
      <c r="G75" s="629"/>
      <c r="H75" s="629"/>
      <c r="I75" s="629"/>
      <c r="J75" s="629"/>
      <c r="K75" s="630"/>
      <c r="L75" s="629"/>
      <c r="M75" s="630"/>
      <c r="N75" s="629"/>
      <c r="O75" s="629"/>
      <c r="P75" s="629"/>
      <c r="Q75" s="629"/>
      <c r="R75" s="629"/>
      <c r="S75" s="631"/>
    </row>
    <row r="76" spans="3:19" ht="15.75" customHeight="1" x14ac:dyDescent="0.35">
      <c r="C76" s="628"/>
      <c r="D76" s="629"/>
      <c r="E76" s="629"/>
      <c r="F76" s="629"/>
      <c r="G76" s="629"/>
      <c r="H76" s="629"/>
      <c r="I76" s="629"/>
      <c r="J76" s="629"/>
      <c r="K76" s="630"/>
      <c r="L76" s="629"/>
      <c r="M76" s="630"/>
      <c r="N76" s="629"/>
      <c r="O76" s="629"/>
      <c r="P76" s="629"/>
      <c r="Q76" s="629"/>
      <c r="R76" s="629"/>
      <c r="S76" s="631"/>
    </row>
    <row r="77" spans="3:19" ht="15.75" customHeight="1" x14ac:dyDescent="0.35">
      <c r="C77" s="628"/>
      <c r="D77" s="629"/>
      <c r="E77" s="629"/>
      <c r="F77" s="629"/>
      <c r="G77" s="629"/>
      <c r="H77" s="629"/>
      <c r="I77" s="629"/>
      <c r="J77" s="629"/>
      <c r="K77" s="630"/>
      <c r="L77" s="629"/>
      <c r="M77" s="630"/>
      <c r="N77" s="629"/>
      <c r="O77" s="629"/>
      <c r="P77" s="629"/>
      <c r="Q77" s="629"/>
      <c r="R77" s="629"/>
      <c r="S77" s="631"/>
    </row>
    <row r="78" spans="3:19" ht="15.75" customHeight="1" x14ac:dyDescent="0.35">
      <c r="C78" s="628"/>
      <c r="D78" s="629"/>
      <c r="E78" s="629"/>
      <c r="F78" s="629"/>
      <c r="G78" s="629"/>
      <c r="H78" s="629"/>
      <c r="I78" s="629"/>
      <c r="J78" s="629"/>
      <c r="K78" s="630"/>
      <c r="L78" s="629"/>
      <c r="M78" s="630"/>
      <c r="N78" s="629"/>
      <c r="O78" s="629"/>
      <c r="P78" s="629"/>
      <c r="Q78" s="629"/>
      <c r="R78" s="629"/>
      <c r="S78" s="631"/>
    </row>
    <row r="79" spans="3:19" ht="15.75" customHeight="1" x14ac:dyDescent="0.35">
      <c r="C79" s="628"/>
      <c r="D79" s="629"/>
      <c r="E79" s="629"/>
      <c r="F79" s="629"/>
      <c r="G79" s="629"/>
      <c r="H79" s="629"/>
      <c r="I79" s="629"/>
      <c r="J79" s="629"/>
      <c r="K79" s="630"/>
      <c r="L79" s="629"/>
      <c r="M79" s="630"/>
      <c r="N79" s="629"/>
      <c r="O79" s="629"/>
      <c r="P79" s="629"/>
      <c r="Q79" s="629"/>
      <c r="R79" s="629"/>
      <c r="S79" s="631"/>
    </row>
    <row r="80" spans="3:19" ht="15.75" customHeight="1" x14ac:dyDescent="0.35">
      <c r="C80" s="628"/>
      <c r="D80" s="629"/>
      <c r="E80" s="629"/>
      <c r="F80" s="629"/>
      <c r="G80" s="629"/>
      <c r="H80" s="629"/>
      <c r="I80" s="629"/>
      <c r="J80" s="629"/>
      <c r="K80" s="630"/>
      <c r="L80" s="629"/>
      <c r="M80" s="630"/>
      <c r="N80" s="629"/>
      <c r="O80" s="629"/>
      <c r="P80" s="629"/>
      <c r="Q80" s="629"/>
      <c r="R80" s="629"/>
      <c r="S80" s="631"/>
    </row>
    <row r="81" spans="3:19" ht="15.75" customHeight="1" x14ac:dyDescent="0.35">
      <c r="C81" s="628"/>
      <c r="D81" s="629"/>
      <c r="E81" s="629"/>
      <c r="F81" s="629"/>
      <c r="G81" s="629"/>
      <c r="H81" s="629"/>
      <c r="I81" s="629"/>
      <c r="J81" s="629"/>
      <c r="K81" s="630"/>
      <c r="L81" s="629"/>
      <c r="M81" s="630"/>
      <c r="N81" s="629"/>
      <c r="O81" s="629"/>
      <c r="P81" s="629"/>
      <c r="Q81" s="629"/>
      <c r="R81" s="629"/>
      <c r="S81" s="631"/>
    </row>
    <row r="82" spans="3:19" ht="15.75" customHeight="1" x14ac:dyDescent="0.35">
      <c r="C82" s="628"/>
      <c r="D82" s="629"/>
      <c r="E82" s="629"/>
      <c r="F82" s="629"/>
      <c r="G82" s="629"/>
      <c r="H82" s="629"/>
      <c r="I82" s="629"/>
      <c r="J82" s="629"/>
      <c r="K82" s="630"/>
      <c r="L82" s="629"/>
      <c r="M82" s="630"/>
      <c r="N82" s="629"/>
      <c r="O82" s="629"/>
      <c r="P82" s="629"/>
      <c r="Q82" s="629"/>
      <c r="R82" s="629"/>
      <c r="S82" s="631"/>
    </row>
    <row r="83" spans="3:19" ht="15.75" customHeight="1" x14ac:dyDescent="0.35">
      <c r="C83" s="628"/>
      <c r="D83" s="629"/>
      <c r="E83" s="629"/>
      <c r="F83" s="629"/>
      <c r="G83" s="629"/>
      <c r="H83" s="629"/>
      <c r="I83" s="629"/>
      <c r="J83" s="629"/>
      <c r="K83" s="630"/>
      <c r="L83" s="629"/>
      <c r="M83" s="630"/>
      <c r="N83" s="629"/>
      <c r="O83" s="629"/>
      <c r="P83" s="629"/>
      <c r="Q83" s="629"/>
      <c r="R83" s="629"/>
      <c r="S83" s="631"/>
    </row>
    <row r="84" spans="3:19" ht="15.75" customHeight="1" x14ac:dyDescent="0.35">
      <c r="C84" s="628"/>
      <c r="D84" s="629"/>
      <c r="E84" s="629"/>
      <c r="F84" s="629"/>
      <c r="G84" s="629"/>
      <c r="H84" s="629"/>
      <c r="I84" s="629"/>
      <c r="J84" s="629"/>
      <c r="K84" s="630"/>
      <c r="L84" s="629"/>
      <c r="M84" s="630"/>
      <c r="N84" s="629"/>
      <c r="O84" s="629"/>
      <c r="P84" s="629"/>
      <c r="Q84" s="629"/>
      <c r="R84" s="629"/>
      <c r="S84" s="631"/>
    </row>
    <row r="85" spans="3:19" ht="15.75" customHeight="1" x14ac:dyDescent="0.35">
      <c r="C85" s="628"/>
      <c r="D85" s="629"/>
      <c r="E85" s="629"/>
      <c r="F85" s="629"/>
      <c r="G85" s="629"/>
      <c r="H85" s="629"/>
      <c r="I85" s="629"/>
      <c r="J85" s="629"/>
      <c r="K85" s="630"/>
      <c r="L85" s="629"/>
      <c r="M85" s="630"/>
      <c r="N85" s="629"/>
      <c r="O85" s="629"/>
      <c r="P85" s="629"/>
      <c r="Q85" s="629"/>
      <c r="R85" s="629"/>
      <c r="S85" s="631"/>
    </row>
    <row r="86" spans="3:19" ht="15.75" customHeight="1" x14ac:dyDescent="0.35">
      <c r="C86" s="628"/>
      <c r="D86" s="629"/>
      <c r="E86" s="629"/>
      <c r="F86" s="629"/>
      <c r="G86" s="629"/>
      <c r="H86" s="629"/>
      <c r="I86" s="629"/>
      <c r="J86" s="629"/>
      <c r="K86" s="630"/>
      <c r="L86" s="629"/>
      <c r="M86" s="630"/>
      <c r="N86" s="629"/>
      <c r="O86" s="629"/>
      <c r="P86" s="629"/>
      <c r="Q86" s="629"/>
      <c r="R86" s="629"/>
      <c r="S86" s="631"/>
    </row>
    <row r="87" spans="3:19" ht="15.75" customHeight="1" x14ac:dyDescent="0.35">
      <c r="C87" s="628"/>
      <c r="D87" s="629"/>
      <c r="E87" s="629"/>
      <c r="F87" s="629"/>
      <c r="G87" s="629"/>
      <c r="H87" s="629"/>
      <c r="I87" s="629"/>
      <c r="J87" s="629"/>
      <c r="K87" s="630"/>
      <c r="L87" s="629"/>
      <c r="M87" s="630"/>
      <c r="N87" s="629"/>
      <c r="O87" s="629"/>
      <c r="P87" s="629"/>
      <c r="Q87" s="629"/>
      <c r="R87" s="629"/>
      <c r="S87" s="631"/>
    </row>
    <row r="88" spans="3:19" ht="15.75" customHeight="1" x14ac:dyDescent="0.35">
      <c r="C88" s="628"/>
      <c r="D88" s="629"/>
      <c r="E88" s="629"/>
      <c r="F88" s="629"/>
      <c r="G88" s="629"/>
      <c r="H88" s="629"/>
      <c r="I88" s="629"/>
      <c r="J88" s="629"/>
      <c r="K88" s="630"/>
      <c r="L88" s="629"/>
      <c r="M88" s="630"/>
      <c r="N88" s="629"/>
      <c r="O88" s="629"/>
      <c r="P88" s="629"/>
      <c r="Q88" s="629"/>
      <c r="R88" s="629"/>
      <c r="S88" s="631"/>
    </row>
    <row r="89" spans="3:19" ht="15.75" customHeight="1" x14ac:dyDescent="0.35">
      <c r="C89" s="628"/>
      <c r="D89" s="629"/>
      <c r="E89" s="629"/>
      <c r="F89" s="629"/>
      <c r="G89" s="629"/>
      <c r="H89" s="629"/>
      <c r="I89" s="629"/>
      <c r="J89" s="629"/>
      <c r="K89" s="630"/>
      <c r="L89" s="629"/>
      <c r="M89" s="630"/>
      <c r="N89" s="629"/>
      <c r="O89" s="629"/>
      <c r="P89" s="629"/>
      <c r="Q89" s="629"/>
      <c r="R89" s="629"/>
      <c r="S89" s="631"/>
    </row>
    <row r="90" spans="3:19" ht="15.75" customHeight="1" x14ac:dyDescent="0.35">
      <c r="C90" s="628"/>
      <c r="D90" s="629"/>
      <c r="E90" s="629"/>
      <c r="F90" s="629"/>
      <c r="G90" s="629"/>
      <c r="H90" s="629"/>
      <c r="I90" s="629"/>
      <c r="J90" s="629"/>
      <c r="K90" s="630"/>
      <c r="L90" s="629"/>
      <c r="M90" s="630"/>
      <c r="N90" s="629"/>
      <c r="O90" s="629"/>
      <c r="P90" s="629"/>
      <c r="Q90" s="629"/>
      <c r="R90" s="629"/>
      <c r="S90" s="631"/>
    </row>
    <row r="91" spans="3:19" ht="15.75" customHeight="1" x14ac:dyDescent="0.35">
      <c r="C91" s="628"/>
      <c r="D91" s="629"/>
      <c r="E91" s="629"/>
      <c r="F91" s="629"/>
      <c r="G91" s="629"/>
      <c r="H91" s="629"/>
      <c r="I91" s="629"/>
      <c r="J91" s="629"/>
      <c r="K91" s="630"/>
      <c r="L91" s="629"/>
      <c r="M91" s="630"/>
      <c r="N91" s="629"/>
      <c r="O91" s="629"/>
      <c r="P91" s="629"/>
      <c r="Q91" s="629"/>
      <c r="R91" s="629"/>
      <c r="S91" s="631"/>
    </row>
    <row r="92" spans="3:19" ht="15.75" customHeight="1" x14ac:dyDescent="0.35">
      <c r="C92" s="628"/>
      <c r="D92" s="629"/>
      <c r="E92" s="629"/>
      <c r="F92" s="629"/>
      <c r="G92" s="629"/>
      <c r="H92" s="629"/>
      <c r="I92" s="629"/>
      <c r="J92" s="629"/>
      <c r="K92" s="630"/>
      <c r="L92" s="629"/>
      <c r="M92" s="630"/>
      <c r="N92" s="629"/>
      <c r="O92" s="629"/>
      <c r="P92" s="629"/>
      <c r="Q92" s="629"/>
      <c r="R92" s="629"/>
      <c r="S92" s="631"/>
    </row>
    <row r="93" spans="3:19" ht="15.75" customHeight="1" x14ac:dyDescent="0.35">
      <c r="C93" s="628"/>
      <c r="D93" s="629"/>
      <c r="E93" s="629"/>
      <c r="F93" s="629"/>
      <c r="G93" s="629"/>
      <c r="H93" s="629"/>
      <c r="I93" s="629"/>
      <c r="J93" s="629"/>
      <c r="K93" s="630"/>
      <c r="L93" s="629"/>
      <c r="M93" s="630"/>
      <c r="N93" s="629"/>
      <c r="O93" s="629"/>
      <c r="P93" s="629"/>
      <c r="Q93" s="629"/>
      <c r="R93" s="629"/>
      <c r="S93" s="631"/>
    </row>
    <row r="94" spans="3:19" ht="15.75" customHeight="1" x14ac:dyDescent="0.35">
      <c r="C94" s="628"/>
      <c r="D94" s="629"/>
      <c r="E94" s="629"/>
      <c r="F94" s="629"/>
      <c r="G94" s="629"/>
      <c r="H94" s="629"/>
      <c r="I94" s="629"/>
      <c r="J94" s="629"/>
      <c r="K94" s="630"/>
      <c r="L94" s="629"/>
      <c r="M94" s="630"/>
      <c r="N94" s="629"/>
      <c r="O94" s="629"/>
      <c r="P94" s="629"/>
      <c r="Q94" s="629"/>
      <c r="R94" s="629"/>
      <c r="S94" s="631"/>
    </row>
    <row r="95" spans="3:19" ht="15.75" customHeight="1" x14ac:dyDescent="0.35">
      <c r="C95" s="628"/>
      <c r="D95" s="629"/>
      <c r="E95" s="629"/>
      <c r="F95" s="629"/>
      <c r="G95" s="629"/>
      <c r="H95" s="629"/>
      <c r="I95" s="629"/>
      <c r="J95" s="629"/>
      <c r="K95" s="630"/>
      <c r="L95" s="629"/>
      <c r="M95" s="630"/>
      <c r="N95" s="629"/>
      <c r="O95" s="629"/>
      <c r="P95" s="629"/>
      <c r="Q95" s="629"/>
      <c r="R95" s="629"/>
      <c r="S95" s="631"/>
    </row>
    <row r="96" spans="3:19" ht="15.75" customHeight="1" x14ac:dyDescent="0.35">
      <c r="C96" s="628"/>
      <c r="D96" s="629"/>
      <c r="E96" s="629"/>
      <c r="F96" s="629"/>
      <c r="G96" s="629"/>
      <c r="H96" s="629"/>
      <c r="I96" s="629"/>
      <c r="J96" s="629"/>
      <c r="K96" s="630"/>
      <c r="L96" s="629"/>
      <c r="M96" s="630"/>
      <c r="N96" s="629"/>
      <c r="O96" s="629"/>
      <c r="P96" s="629"/>
      <c r="Q96" s="629"/>
      <c r="R96" s="629"/>
      <c r="S96" s="631"/>
    </row>
    <row r="97" spans="3:19" ht="15.75" customHeight="1" x14ac:dyDescent="0.35">
      <c r="C97" s="628"/>
      <c r="D97" s="629"/>
      <c r="E97" s="629"/>
      <c r="F97" s="629"/>
      <c r="G97" s="629"/>
      <c r="H97" s="629"/>
      <c r="I97" s="629"/>
      <c r="J97" s="629"/>
      <c r="K97" s="630"/>
      <c r="L97" s="629"/>
      <c r="M97" s="630"/>
      <c r="N97" s="629"/>
      <c r="O97" s="629"/>
      <c r="P97" s="629"/>
      <c r="Q97" s="629"/>
      <c r="R97" s="629"/>
      <c r="S97" s="631"/>
    </row>
    <row r="98" spans="3:19" ht="15.75" customHeight="1" x14ac:dyDescent="0.35">
      <c r="C98" s="628"/>
      <c r="D98" s="629"/>
      <c r="E98" s="629"/>
      <c r="F98" s="629"/>
      <c r="G98" s="629"/>
      <c r="H98" s="629"/>
      <c r="I98" s="629"/>
      <c r="J98" s="629"/>
      <c r="K98" s="630"/>
      <c r="L98" s="629"/>
      <c r="M98" s="630"/>
      <c r="N98" s="629"/>
      <c r="O98" s="629"/>
      <c r="P98" s="629"/>
      <c r="Q98" s="629"/>
      <c r="R98" s="629"/>
      <c r="S98" s="631"/>
    </row>
    <row r="99" spans="3:19" ht="15.75" customHeight="1" x14ac:dyDescent="0.35">
      <c r="C99" s="628"/>
      <c r="D99" s="629"/>
      <c r="E99" s="629"/>
      <c r="F99" s="629"/>
      <c r="G99" s="629"/>
      <c r="H99" s="629"/>
      <c r="I99" s="629"/>
      <c r="J99" s="629"/>
      <c r="K99" s="630"/>
      <c r="L99" s="629"/>
      <c r="M99" s="630"/>
      <c r="N99" s="629"/>
      <c r="O99" s="629"/>
      <c r="P99" s="629"/>
      <c r="Q99" s="629"/>
      <c r="R99" s="629"/>
      <c r="S99" s="631"/>
    </row>
    <row r="100" spans="3:19" ht="15.75" customHeight="1" x14ac:dyDescent="0.35">
      <c r="C100" s="628"/>
      <c r="D100" s="629"/>
      <c r="E100" s="629"/>
      <c r="F100" s="629"/>
      <c r="G100" s="629"/>
      <c r="H100" s="629"/>
      <c r="I100" s="629"/>
      <c r="J100" s="629"/>
      <c r="K100" s="630"/>
      <c r="L100" s="629"/>
      <c r="M100" s="630"/>
      <c r="N100" s="629"/>
      <c r="O100" s="629"/>
      <c r="P100" s="629"/>
      <c r="Q100" s="629"/>
      <c r="R100" s="629"/>
      <c r="S100" s="631"/>
    </row>
    <row r="101" spans="3:19" ht="15.75" customHeight="1" x14ac:dyDescent="0.35">
      <c r="C101" s="628"/>
      <c r="D101" s="629"/>
      <c r="E101" s="629"/>
      <c r="F101" s="629"/>
      <c r="G101" s="629"/>
      <c r="H101" s="629"/>
      <c r="I101" s="629"/>
      <c r="J101" s="629"/>
      <c r="K101" s="630"/>
      <c r="L101" s="629"/>
      <c r="M101" s="630"/>
      <c r="N101" s="629"/>
      <c r="O101" s="629"/>
      <c r="P101" s="629"/>
      <c r="Q101" s="629"/>
      <c r="R101" s="629"/>
      <c r="S101" s="631"/>
    </row>
    <row r="102" spans="3:19" ht="15.75" customHeight="1" x14ac:dyDescent="0.35">
      <c r="C102" s="632"/>
      <c r="D102" s="633"/>
      <c r="E102" s="633"/>
      <c r="F102" s="633"/>
      <c r="G102" s="633"/>
      <c r="H102" s="633"/>
      <c r="I102" s="633"/>
      <c r="J102" s="633"/>
      <c r="K102" s="634"/>
      <c r="L102" s="635"/>
      <c r="M102" s="634"/>
      <c r="N102" s="633"/>
      <c r="O102" s="633"/>
      <c r="P102" s="633"/>
      <c r="Q102" s="633"/>
      <c r="R102" s="633"/>
      <c r="S102" s="636"/>
    </row>
    <row r="103" spans="3:19" ht="15.75" customHeight="1" x14ac:dyDescent="0.35">
      <c r="C103" s="632"/>
      <c r="D103" s="633"/>
      <c r="E103" s="633"/>
      <c r="F103" s="633"/>
      <c r="G103" s="633"/>
      <c r="H103" s="633"/>
      <c r="I103" s="633"/>
      <c r="J103" s="633"/>
      <c r="K103" s="634"/>
      <c r="L103" s="635"/>
      <c r="M103" s="634"/>
      <c r="N103" s="633"/>
      <c r="O103" s="633"/>
      <c r="P103" s="633"/>
      <c r="Q103" s="633"/>
      <c r="R103" s="633"/>
      <c r="S103" s="636"/>
    </row>
    <row r="104" spans="3:19" ht="15.75" customHeight="1" thickBot="1" x14ac:dyDescent="0.4">
      <c r="C104" s="637"/>
      <c r="D104" s="638"/>
      <c r="E104" s="638"/>
      <c r="F104" s="638"/>
      <c r="G104" s="638"/>
      <c r="H104" s="638"/>
      <c r="I104" s="638"/>
      <c r="J104" s="638"/>
      <c r="K104" s="639"/>
      <c r="L104" s="640"/>
      <c r="M104" s="639"/>
      <c r="N104" s="638"/>
      <c r="O104" s="638"/>
      <c r="P104" s="638"/>
      <c r="Q104" s="638"/>
      <c r="R104" s="638"/>
      <c r="S104" s="641"/>
    </row>
  </sheetData>
  <sheetProtection sheet="1" selectLockedCells="1"/>
  <mergeCells count="91">
    <mergeCell ref="C34:E34"/>
    <mergeCell ref="C35:E35"/>
    <mergeCell ref="C36:E36"/>
    <mergeCell ref="C37:E37"/>
    <mergeCell ref="C2:I2"/>
    <mergeCell ref="C29:I29"/>
    <mergeCell ref="C38:E38"/>
    <mergeCell ref="C39:E39"/>
    <mergeCell ref="C40:E40"/>
    <mergeCell ref="C41:E41"/>
    <mergeCell ref="C42:E42"/>
    <mergeCell ref="M2:S2"/>
    <mergeCell ref="C30:E30"/>
    <mergeCell ref="C31:E31"/>
    <mergeCell ref="C32:E32"/>
    <mergeCell ref="C33:E33"/>
    <mergeCell ref="N31:O31"/>
    <mergeCell ref="P31:Q31"/>
    <mergeCell ref="R31:S31"/>
    <mergeCell ref="N32:O32"/>
    <mergeCell ref="P32:Q32"/>
    <mergeCell ref="R32:S32"/>
    <mergeCell ref="N33:O33"/>
    <mergeCell ref="P33:Q33"/>
    <mergeCell ref="R33:S33"/>
    <mergeCell ref="C43:E43"/>
    <mergeCell ref="C44:E44"/>
    <mergeCell ref="C45:E45"/>
    <mergeCell ref="C46:E46"/>
    <mergeCell ref="C47:E47"/>
    <mergeCell ref="C48:E48"/>
    <mergeCell ref="C49:E49"/>
    <mergeCell ref="M25:S25"/>
    <mergeCell ref="M26:S26"/>
    <mergeCell ref="N27:O27"/>
    <mergeCell ref="P27:Q27"/>
    <mergeCell ref="R27:S27"/>
    <mergeCell ref="N28:O28"/>
    <mergeCell ref="P28:Q28"/>
    <mergeCell ref="R28:S28"/>
    <mergeCell ref="N29:O29"/>
    <mergeCell ref="P29:Q29"/>
    <mergeCell ref="R29:S29"/>
    <mergeCell ref="N30:O30"/>
    <mergeCell ref="P30:Q30"/>
    <mergeCell ref="R30:S30"/>
    <mergeCell ref="N34:O34"/>
    <mergeCell ref="P34:Q34"/>
    <mergeCell ref="R34:S34"/>
    <mergeCell ref="N35:O35"/>
    <mergeCell ref="P35:Q35"/>
    <mergeCell ref="R35:S35"/>
    <mergeCell ref="N36:O36"/>
    <mergeCell ref="P36:Q36"/>
    <mergeCell ref="R36:S36"/>
    <mergeCell ref="N37:O37"/>
    <mergeCell ref="P37:Q37"/>
    <mergeCell ref="R37:S37"/>
    <mergeCell ref="M39:S39"/>
    <mergeCell ref="N40:O40"/>
    <mergeCell ref="P40:Q40"/>
    <mergeCell ref="R40:S40"/>
    <mergeCell ref="N41:O41"/>
    <mergeCell ref="P41:Q41"/>
    <mergeCell ref="R41:S41"/>
    <mergeCell ref="N42:O42"/>
    <mergeCell ref="P42:Q42"/>
    <mergeCell ref="R42:S42"/>
    <mergeCell ref="M44:S44"/>
    <mergeCell ref="M45:O45"/>
    <mergeCell ref="P45:S45"/>
    <mergeCell ref="N46:O46"/>
    <mergeCell ref="N47:O47"/>
    <mergeCell ref="P47:Q47"/>
    <mergeCell ref="R47:S47"/>
    <mergeCell ref="N48:O48"/>
    <mergeCell ref="P48:Q48"/>
    <mergeCell ref="R48:S48"/>
    <mergeCell ref="C54:S54"/>
    <mergeCell ref="C55:S62"/>
    <mergeCell ref="N49:O49"/>
    <mergeCell ref="P49:Q49"/>
    <mergeCell ref="R49:S49"/>
    <mergeCell ref="N50:O50"/>
    <mergeCell ref="P50:Q50"/>
    <mergeCell ref="R50:S50"/>
    <mergeCell ref="M52:P52"/>
    <mergeCell ref="Q52:S52"/>
    <mergeCell ref="N51:O51"/>
    <mergeCell ref="P51:Q51"/>
    <mergeCell ref="R51:S51"/>
  </mergeCells>
  <phoneticPr fontId="29" type="noConversion"/>
  <conditionalFormatting sqref="I31:I50">
    <cfRule type="expression" dxfId="19" priority="6">
      <formula>NOT(_xlfn.ISFORMULA(INDIRECT("rc",FALSE)))</formula>
    </cfRule>
  </conditionalFormatting>
  <conditionalFormatting sqref="P47 R47">
    <cfRule type="expression" dxfId="18" priority="1">
      <formula>$I$90&lt;=0.4</formula>
    </cfRule>
  </conditionalFormatting>
  <pageMargins left="0.7" right="0.7" top="0.75" bottom="0.75" header="0.3" footer="0.3"/>
  <pageSetup scale="58" orientation="portrait" r:id="rId1"/>
  <tableParts count="2">
    <tablePart r:id="rId2"/>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C056F22-FB89-4B9E-ADE2-7ED2FD2B64DA}">
          <x14:formula1>
            <xm:f>P!$E$14:$E$27</xm:f>
          </x14:formula1>
          <xm:sqref>M9:M11</xm:sqref>
        </x14:dataValidation>
        <x14:dataValidation type="list" allowBlank="1" showInputMessage="1" showErrorMessage="1" xr:uid="{346A2F47-FE5A-495F-8A20-2A43D40F5AE9}">
          <x14:formula1>
            <xm:f>IF(M10=P!$E$15,P!$M$40,P!$E$31:$E$32)</xm:f>
          </x14:formula1>
          <xm:sqref>O10:O11</xm:sqref>
        </x14:dataValidation>
        <x14:dataValidation type="list" allowBlank="1" showInputMessage="1" showErrorMessage="1" xr:uid="{331A1E6E-9FEF-4D3F-960A-04DFBEA70AAB}">
          <x14:formula1>
            <xm:f>IF(M9=P!$E$15,P!$M$38,P!$E$31:$E$32)</xm:f>
          </x14:formula1>
          <xm:sqref>O9</xm:sqref>
        </x14:dataValidation>
        <x14:dataValidation type="list" allowBlank="1" showInputMessage="1" showErrorMessage="1" xr:uid="{6E016545-576A-4E04-95A6-8A86BC6D0773}">
          <x14:formula1>
            <xm:f>_xlfn.SWITCH(     M9,     P!$E$14, P!$L$37,     P!$E$15, P!$L$88:$L$91,      P!$E$16, P!$L$80:$L$84,      P!$E$17, P!$BE$531 )</xm:f>
          </x14:formula1>
          <xm:sqref>N9:N11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BF7A-849D-4245-8835-03C7F3CB4820}">
  <sheetPr codeName="Sheet6">
    <tabColor theme="0" tint="-0.249977111117893"/>
    <pageSetUpPr fitToPage="1"/>
  </sheetPr>
  <dimension ref="A1:BI320"/>
  <sheetViews>
    <sheetView showGridLines="0" showRowColHeaders="0" view="pageBreakPreview" zoomScale="60" zoomScaleNormal="85" workbookViewId="0">
      <pane ySplit="8" topLeftCell="A9" activePane="bottomLeft" state="frozen"/>
      <selection activeCell="D12" sqref="D12"/>
      <selection pane="bottomLeft" activeCell="C2" sqref="C2:L2"/>
    </sheetView>
  </sheetViews>
  <sheetFormatPr defaultColWidth="9.54296875" defaultRowHeight="14.5" x14ac:dyDescent="0.35"/>
  <cols>
    <col min="1" max="1" width="2.26953125" style="17" customWidth="1"/>
    <col min="2" max="2" width="6.26953125" style="17" customWidth="1"/>
    <col min="3" max="3" width="25.36328125" style="18" bestFit="1" customWidth="1"/>
    <col min="4" max="4" width="16.7265625" style="18" bestFit="1" customWidth="1"/>
    <col min="5" max="6" width="21.90625" style="19" bestFit="1" customWidth="1"/>
    <col min="7" max="7" width="6.54296875" style="18" bestFit="1" customWidth="1"/>
    <col min="8" max="8" width="19.1796875" style="18" bestFit="1" customWidth="1"/>
    <col min="9" max="9" width="22.90625" style="18" bestFit="1" customWidth="1"/>
    <col min="10" max="10" width="24.36328125" style="18" bestFit="1" customWidth="1"/>
    <col min="11" max="11" width="19.90625" style="18" bestFit="1" customWidth="1"/>
    <col min="12" max="12" width="22.1796875" style="18" bestFit="1" customWidth="1"/>
    <col min="13" max="13" width="8.54296875" style="18" customWidth="1"/>
    <col min="14" max="14" width="60.453125" style="18" bestFit="1" customWidth="1"/>
    <col min="15" max="15" width="9.54296875" style="17"/>
    <col min="23" max="23" width="9.54296875" style="17"/>
    <col min="24" max="24" width="9.54296875" style="32"/>
    <col min="25" max="16384" width="9.54296875" style="17"/>
  </cols>
  <sheetData>
    <row r="1" spans="1:61" ht="18" customHeight="1" x14ac:dyDescent="0.35">
      <c r="A1" s="17" t="s">
        <v>302</v>
      </c>
    </row>
    <row r="2" spans="1:61" ht="45" customHeight="1" x14ac:dyDescent="0.35">
      <c r="C2" s="928" t="str">
        <f>INFO!$I$2&amp;" "&amp;INFO!$C$2&amp;" Packing List"</f>
        <v xml:space="preserve">  Packing List</v>
      </c>
      <c r="D2" s="928"/>
      <c r="E2" s="928"/>
      <c r="F2" s="928"/>
      <c r="G2" s="928"/>
      <c r="H2" s="928"/>
      <c r="I2" s="928"/>
      <c r="J2" s="928"/>
      <c r="K2" s="928"/>
      <c r="L2" s="928"/>
      <c r="M2" s="61"/>
      <c r="N2" s="379" t="s">
        <v>734</v>
      </c>
      <c r="X2" s="33"/>
      <c r="Y2" s="20"/>
      <c r="Z2" s="20"/>
      <c r="AA2" s="20"/>
      <c r="AB2" s="20"/>
      <c r="AC2" s="20"/>
      <c r="AF2" s="20"/>
      <c r="AH2" s="20"/>
      <c r="AJ2" s="20"/>
      <c r="AM2" s="20"/>
      <c r="AN2" s="20"/>
      <c r="AO2" s="20"/>
      <c r="AP2" s="20"/>
      <c r="AS2" s="20"/>
      <c r="BB2" s="20"/>
      <c r="BD2" s="20"/>
      <c r="BF2" s="20"/>
      <c r="BG2" s="20"/>
      <c r="BH2" s="20"/>
      <c r="BI2" s="20"/>
    </row>
    <row r="3" spans="1:61" ht="18" customHeight="1" thickBot="1" x14ac:dyDescent="0.4">
      <c r="C3" s="21"/>
      <c r="D3" s="21"/>
      <c r="E3" s="21"/>
      <c r="F3" s="21"/>
      <c r="G3" s="21"/>
      <c r="H3" s="21"/>
      <c r="I3" s="21"/>
      <c r="J3" s="21"/>
      <c r="K3" s="21"/>
      <c r="L3" s="21"/>
      <c r="M3" s="21"/>
      <c r="N3" s="21"/>
      <c r="X3" s="33"/>
      <c r="Y3" s="20"/>
      <c r="Z3" s="20"/>
      <c r="AA3" s="20"/>
      <c r="AB3" s="20"/>
      <c r="AC3" s="20"/>
      <c r="AF3" s="20"/>
      <c r="AH3" s="20"/>
      <c r="AJ3" s="20"/>
      <c r="AM3" s="20"/>
      <c r="AN3" s="20"/>
      <c r="AO3" s="20"/>
      <c r="AP3" s="20"/>
      <c r="AS3" s="20"/>
      <c r="BB3" s="20"/>
      <c r="BD3" s="20"/>
      <c r="BF3" s="20"/>
      <c r="BG3" s="20"/>
      <c r="BH3" s="20"/>
      <c r="BI3" s="20"/>
    </row>
    <row r="4" spans="1:61" ht="41.25" customHeight="1" thickBot="1" x14ac:dyDescent="0.4">
      <c r="C4" s="22" t="s">
        <v>295</v>
      </c>
      <c r="D4" s="926" t="str">
        <f>IF(INFO!I2="","",INFO!I2)</f>
        <v/>
      </c>
      <c r="E4" s="926"/>
      <c r="H4" s="19"/>
      <c r="I4" s="23" t="s">
        <v>303</v>
      </c>
      <c r="J4" s="24"/>
      <c r="K4" s="24"/>
      <c r="L4" s="24"/>
      <c r="N4" s="18" t="e" vm="3">
        <v>#VALUE!</v>
      </c>
      <c r="X4" s="33"/>
      <c r="Y4" s="20"/>
      <c r="Z4" s="20"/>
      <c r="AA4" s="20"/>
      <c r="AB4" s="20"/>
      <c r="AC4" s="20"/>
      <c r="AF4" s="20"/>
      <c r="AH4" s="20"/>
      <c r="AJ4" s="20"/>
      <c r="AM4" s="20"/>
      <c r="AN4" s="20"/>
      <c r="AO4" s="20"/>
      <c r="AP4" s="20"/>
      <c r="AS4" s="20"/>
      <c r="BB4" s="20"/>
      <c r="BD4" s="20"/>
      <c r="BF4" s="20"/>
      <c r="BG4" s="20"/>
      <c r="BH4" s="20"/>
      <c r="BI4" s="20"/>
    </row>
    <row r="5" spans="1:61" ht="18" customHeight="1" thickBot="1" x14ac:dyDescent="0.4">
      <c r="C5" s="25"/>
      <c r="D5" s="26"/>
      <c r="E5" s="27"/>
      <c r="H5" s="19"/>
      <c r="I5" s="27"/>
      <c r="J5" s="17"/>
      <c r="K5" s="17"/>
      <c r="L5" s="17"/>
      <c r="M5" s="17"/>
      <c r="X5" s="33"/>
      <c r="Y5" s="20"/>
      <c r="Z5" s="20"/>
      <c r="AA5" s="20"/>
      <c r="AB5" s="20"/>
      <c r="AC5" s="20"/>
      <c r="AF5" s="20"/>
      <c r="AH5" s="20"/>
      <c r="AJ5" s="20"/>
      <c r="AM5" s="20"/>
      <c r="AN5" s="20"/>
      <c r="AO5" s="20"/>
      <c r="AP5" s="20"/>
      <c r="AS5" s="20"/>
      <c r="BB5" s="20"/>
      <c r="BD5" s="20"/>
      <c r="BF5" s="20"/>
      <c r="BG5" s="20"/>
      <c r="BH5" s="20"/>
      <c r="BI5" s="20"/>
    </row>
    <row r="6" spans="1:61" ht="41.25" customHeight="1" thickBot="1" x14ac:dyDescent="0.4">
      <c r="C6" s="22" t="s">
        <v>294</v>
      </c>
      <c r="D6" s="927" t="str">
        <f>IF(INFO!C2="","",INFO!C2)</f>
        <v/>
      </c>
      <c r="E6" s="927"/>
      <c r="H6" s="19"/>
      <c r="I6" s="23" t="s">
        <v>304</v>
      </c>
      <c r="J6" s="24"/>
      <c r="K6" s="24"/>
      <c r="L6" s="24"/>
      <c r="X6" s="33"/>
      <c r="Y6" s="20"/>
      <c r="Z6" s="20"/>
      <c r="AA6" s="20"/>
      <c r="AB6" s="20"/>
      <c r="AC6" s="20"/>
      <c r="AF6" s="20"/>
      <c r="AH6" s="20"/>
      <c r="AJ6" s="20"/>
      <c r="AM6" s="20"/>
      <c r="AN6" s="20"/>
      <c r="AO6" s="20"/>
      <c r="AP6" s="20"/>
      <c r="AS6" s="20"/>
      <c r="BB6" s="20"/>
      <c r="BD6" s="20"/>
      <c r="BF6" s="20"/>
      <c r="BG6" s="20"/>
      <c r="BH6" s="20"/>
      <c r="BI6" s="20"/>
    </row>
    <row r="7" spans="1:61" ht="18" customHeight="1" x14ac:dyDescent="0.35">
      <c r="D7" s="28"/>
      <c r="X7" s="33"/>
      <c r="Y7" s="20"/>
      <c r="Z7" s="20"/>
      <c r="AA7" s="20"/>
      <c r="AB7" s="20"/>
      <c r="AC7" s="20"/>
      <c r="AF7" s="20"/>
      <c r="AH7" s="20"/>
      <c r="AJ7" s="20"/>
      <c r="AM7" s="20"/>
      <c r="AN7" s="20"/>
      <c r="AO7" s="20"/>
      <c r="AP7" s="20"/>
      <c r="AS7" s="20"/>
      <c r="BB7" s="20"/>
      <c r="BD7" s="20"/>
      <c r="BF7" s="20"/>
      <c r="BG7" s="20"/>
      <c r="BH7" s="20"/>
      <c r="BI7" s="20"/>
    </row>
    <row r="8" spans="1:61" s="29" customFormat="1" ht="20" x14ac:dyDescent="0.35">
      <c r="C8" s="80" t="s">
        <v>23</v>
      </c>
      <c r="D8" s="80" t="s">
        <v>27</v>
      </c>
      <c r="E8" s="80" t="s">
        <v>34</v>
      </c>
      <c r="F8" s="80" t="s">
        <v>25</v>
      </c>
      <c r="G8" t="s">
        <v>302</v>
      </c>
      <c r="H8" s="80" t="s">
        <v>26</v>
      </c>
      <c r="I8" s="80" t="s">
        <v>305</v>
      </c>
      <c r="J8" s="80" t="s">
        <v>306</v>
      </c>
      <c r="K8" s="80" t="s">
        <v>307</v>
      </c>
      <c r="L8" s="80" t="s">
        <v>308</v>
      </c>
      <c r="M8" s="80"/>
      <c r="N8" s="80"/>
      <c r="P8"/>
      <c r="Q8"/>
      <c r="R8"/>
      <c r="S8"/>
      <c r="T8"/>
      <c r="U8"/>
      <c r="V8"/>
      <c r="X8" s="32"/>
      <c r="Y8" s="20"/>
      <c r="Z8" s="20"/>
      <c r="AA8" s="20"/>
      <c r="AB8" s="20"/>
      <c r="AC8" s="20"/>
      <c r="AD8" s="17"/>
      <c r="AE8" s="17"/>
      <c r="AF8" s="20"/>
      <c r="AG8" s="17"/>
      <c r="AH8" s="20"/>
      <c r="AI8" s="17"/>
      <c r="AJ8" s="20"/>
      <c r="AK8" s="17"/>
      <c r="AL8" s="17"/>
      <c r="AM8" s="20"/>
      <c r="AN8" s="20"/>
      <c r="AO8" s="20"/>
      <c r="AP8" s="20"/>
      <c r="AQ8" s="17"/>
      <c r="AR8" s="17"/>
      <c r="AS8" s="20"/>
      <c r="AT8" s="17"/>
      <c r="AU8" s="17"/>
      <c r="AV8" s="17"/>
      <c r="AW8" s="17"/>
      <c r="AX8" s="17"/>
      <c r="AY8" s="17"/>
      <c r="AZ8" s="17"/>
      <c r="BA8" s="17"/>
      <c r="BB8" s="20"/>
      <c r="BC8" s="17"/>
      <c r="BD8" s="20"/>
      <c r="BE8" s="17"/>
      <c r="BF8" s="20"/>
      <c r="BG8" s="20"/>
      <c r="BH8" s="20"/>
      <c r="BI8" s="20"/>
    </row>
    <row r="9" spans="1:61" s="30" customFormat="1" ht="18" x14ac:dyDescent="0.35">
      <c r="C9" s="31"/>
      <c r="D9" s="31"/>
      <c r="E9" s="31"/>
      <c r="F9" s="31"/>
      <c r="G9"/>
      <c r="H9" s="31"/>
      <c r="I9"/>
      <c r="J9"/>
      <c r="K9" s="31"/>
      <c r="L9" s="31"/>
      <c r="M9" s="31"/>
      <c r="N9" s="31"/>
      <c r="P9"/>
      <c r="Q9"/>
      <c r="R9"/>
      <c r="S9"/>
      <c r="T9"/>
      <c r="U9"/>
      <c r="V9"/>
      <c r="X9" s="32"/>
      <c r="Y9" s="20"/>
      <c r="Z9" s="20"/>
      <c r="AA9" s="20"/>
      <c r="AB9" s="20"/>
      <c r="AC9" s="20"/>
      <c r="AD9" s="17"/>
      <c r="AE9" s="17"/>
      <c r="AF9" s="20"/>
      <c r="AG9" s="17"/>
      <c r="AH9" s="20"/>
      <c r="AI9" s="17"/>
      <c r="AJ9" s="20"/>
      <c r="AK9" s="17"/>
      <c r="AL9" s="17"/>
      <c r="AM9" s="20"/>
      <c r="AN9" s="20"/>
      <c r="AO9" s="20"/>
      <c r="AP9" s="20"/>
      <c r="AQ9" s="17"/>
      <c r="AR9" s="17"/>
      <c r="AS9" s="20"/>
      <c r="AT9" s="17"/>
      <c r="AU9" s="17"/>
      <c r="AV9" s="17"/>
      <c r="AW9" s="17"/>
      <c r="AX9" s="17"/>
      <c r="AY9" s="17"/>
      <c r="AZ9" s="17"/>
      <c r="BA9" s="17"/>
      <c r="BB9" s="20"/>
      <c r="BC9" s="17"/>
      <c r="BD9" s="20"/>
      <c r="BE9" s="17"/>
      <c r="BF9" s="20"/>
      <c r="BG9" s="20"/>
      <c r="BH9" s="20"/>
      <c r="BI9" s="20"/>
    </row>
    <row r="10" spans="1:61" s="30" customFormat="1" ht="18" x14ac:dyDescent="0.35">
      <c r="C10" s="31"/>
      <c r="D10" s="31"/>
      <c r="E10" s="31"/>
      <c r="F10" s="31"/>
      <c r="G10" s="31"/>
      <c r="H10"/>
      <c r="I10"/>
      <c r="J10" s="31"/>
      <c r="K10" s="31"/>
      <c r="L10" s="31"/>
      <c r="M10" s="31"/>
      <c r="N10" s="31"/>
      <c r="P10"/>
      <c r="Q10"/>
      <c r="R10"/>
      <c r="S10"/>
      <c r="T10"/>
      <c r="U10"/>
      <c r="V10"/>
      <c r="X10" s="32"/>
      <c r="Y10" s="20"/>
      <c r="Z10" s="20"/>
      <c r="AA10" s="20"/>
      <c r="AB10" s="20"/>
      <c r="AC10" s="20"/>
      <c r="AD10" s="17"/>
      <c r="AE10" s="17"/>
      <c r="AF10" s="20"/>
      <c r="AG10" s="17"/>
      <c r="AH10" s="20"/>
      <c r="AI10" s="17"/>
      <c r="AJ10" s="20"/>
      <c r="AK10" s="17"/>
      <c r="AL10" s="17"/>
      <c r="AM10" s="20"/>
      <c r="AN10" s="20"/>
      <c r="AO10" s="20"/>
      <c r="AP10" s="20"/>
      <c r="AQ10" s="17"/>
      <c r="AR10" s="17"/>
      <c r="AS10" s="20"/>
      <c r="AT10" s="17"/>
      <c r="AU10" s="17"/>
      <c r="AV10" s="17"/>
      <c r="AW10" s="17"/>
      <c r="AX10" s="17"/>
      <c r="AY10" s="17"/>
      <c r="AZ10" s="17"/>
      <c r="BA10" s="17"/>
      <c r="BB10" s="20"/>
      <c r="BC10" s="17"/>
      <c r="BD10" s="20"/>
      <c r="BE10" s="17"/>
      <c r="BF10" s="20"/>
      <c r="BG10" s="20"/>
      <c r="BH10" s="20"/>
      <c r="BI10" s="20"/>
    </row>
    <row r="11" spans="1:61" s="30" customFormat="1" ht="18" x14ac:dyDescent="0.35">
      <c r="C11" s="31"/>
      <c r="D11" s="31"/>
      <c r="E11" s="31"/>
      <c r="F11" s="19"/>
      <c r="G11" s="81"/>
      <c r="H11" s="81"/>
      <c r="I11" s="81"/>
      <c r="J11" s="81"/>
      <c r="K11" s="81"/>
      <c r="L11" s="81"/>
      <c r="M11" s="81"/>
      <c r="N11" s="81"/>
      <c r="P11"/>
      <c r="Q11"/>
      <c r="R11"/>
      <c r="S11"/>
      <c r="T11"/>
      <c r="U11"/>
      <c r="V11"/>
      <c r="X11" s="32"/>
      <c r="Y11" s="20"/>
      <c r="Z11" s="20"/>
      <c r="AA11" s="20"/>
      <c r="AB11" s="20"/>
      <c r="AC11" s="20"/>
      <c r="AD11" s="17"/>
      <c r="AE11" s="17"/>
      <c r="AF11" s="20"/>
      <c r="AG11" s="17"/>
      <c r="AH11" s="20"/>
      <c r="AI11" s="17"/>
      <c r="AJ11" s="20"/>
      <c r="AK11" s="17"/>
      <c r="AL11" s="17"/>
      <c r="AM11" s="20"/>
      <c r="AN11" s="20"/>
      <c r="AO11" s="20"/>
      <c r="AP11" s="20"/>
      <c r="AQ11" s="17"/>
      <c r="AR11" s="17"/>
      <c r="AS11" s="20"/>
      <c r="AT11" s="17"/>
      <c r="AU11" s="17"/>
      <c r="AV11" s="17"/>
      <c r="AW11" s="17"/>
      <c r="AX11" s="17"/>
      <c r="AY11" s="17"/>
      <c r="AZ11" s="17"/>
      <c r="BA11" s="17"/>
      <c r="BB11" s="20"/>
      <c r="BC11" s="17"/>
      <c r="BD11" s="20"/>
      <c r="BE11" s="17"/>
      <c r="BF11" s="20"/>
      <c r="BG11" s="20"/>
      <c r="BH11" s="20"/>
      <c r="BI11" s="20"/>
    </row>
    <row r="12" spans="1:61" s="30" customFormat="1" ht="18" x14ac:dyDescent="0.35">
      <c r="C12" s="31"/>
      <c r="D12" s="31"/>
      <c r="E12" s="31"/>
      <c r="F12" s="19"/>
      <c r="G12" s="81"/>
      <c r="H12" s="81"/>
      <c r="I12" s="81"/>
      <c r="J12" s="81"/>
      <c r="K12" s="81"/>
      <c r="L12" s="81"/>
      <c r="M12" s="81"/>
      <c r="N12" s="81"/>
      <c r="P12"/>
      <c r="Q12"/>
      <c r="R12"/>
      <c r="S12"/>
      <c r="T12"/>
      <c r="U12"/>
      <c r="V12"/>
      <c r="X12" s="32"/>
      <c r="Y12" s="20"/>
      <c r="Z12" s="20"/>
      <c r="AA12" s="20"/>
      <c r="AB12" s="20"/>
      <c r="AC12" s="20"/>
      <c r="AD12" s="17"/>
      <c r="AE12" s="17"/>
      <c r="AF12" s="20"/>
      <c r="AG12" s="17"/>
      <c r="AH12" s="20"/>
      <c r="AI12" s="17"/>
      <c r="AJ12" s="20"/>
      <c r="AK12" s="17"/>
      <c r="AL12" s="17"/>
      <c r="AM12" s="20"/>
      <c r="AN12" s="20"/>
      <c r="AO12" s="20"/>
      <c r="AP12" s="20"/>
      <c r="AQ12" s="17"/>
      <c r="AR12" s="17"/>
      <c r="AS12" s="20"/>
      <c r="AT12" s="17"/>
      <c r="AU12" s="17"/>
      <c r="AV12" s="17"/>
      <c r="AW12" s="17"/>
      <c r="AX12" s="17"/>
      <c r="AY12" s="17"/>
      <c r="AZ12" s="17"/>
      <c r="BA12" s="17"/>
      <c r="BB12" s="20"/>
      <c r="BC12" s="17"/>
      <c r="BD12" s="20"/>
      <c r="BE12" s="17"/>
      <c r="BF12" s="20"/>
      <c r="BG12" s="20"/>
      <c r="BH12" s="20"/>
      <c r="BI12" s="20"/>
    </row>
    <row r="13" spans="1:61" s="30" customFormat="1" ht="18" x14ac:dyDescent="0.35">
      <c r="C13" s="31"/>
      <c r="D13" s="31"/>
      <c r="E13" s="31"/>
      <c r="F13" s="19"/>
      <c r="G13" s="81"/>
      <c r="H13" s="81"/>
      <c r="I13" s="81"/>
      <c r="J13" s="81"/>
      <c r="K13" s="81"/>
      <c r="L13" s="81"/>
      <c r="M13" s="81"/>
      <c r="N13" s="81"/>
      <c r="P13"/>
      <c r="Q13"/>
      <c r="R13"/>
      <c r="S13"/>
      <c r="T13"/>
      <c r="U13"/>
      <c r="V13"/>
      <c r="X13" s="32"/>
      <c r="Y13" s="20"/>
      <c r="Z13" s="20"/>
      <c r="AA13" s="20"/>
      <c r="AB13" s="20"/>
      <c r="AC13" s="20"/>
      <c r="AD13" s="17"/>
      <c r="AE13" s="17"/>
      <c r="AF13" s="20"/>
      <c r="AG13" s="17"/>
      <c r="AH13" s="20"/>
      <c r="AI13" s="17"/>
      <c r="AJ13" s="20"/>
      <c r="AK13" s="17"/>
      <c r="AL13" s="17"/>
      <c r="AM13" s="20"/>
      <c r="AN13" s="20"/>
      <c r="AO13" s="20"/>
      <c r="AP13" s="20"/>
      <c r="AQ13" s="17"/>
      <c r="AR13" s="17"/>
      <c r="AS13" s="20"/>
      <c r="AT13" s="17"/>
      <c r="AU13" s="17"/>
      <c r="AV13" s="17"/>
      <c r="AW13" s="17"/>
      <c r="AX13" s="17"/>
      <c r="AY13" s="17"/>
      <c r="AZ13" s="17"/>
      <c r="BA13" s="17"/>
      <c r="BB13" s="20"/>
      <c r="BC13" s="17"/>
      <c r="BD13" s="20"/>
      <c r="BE13" s="17"/>
      <c r="BF13" s="20"/>
      <c r="BG13" s="20"/>
      <c r="BH13" s="20"/>
      <c r="BI13" s="20"/>
    </row>
    <row r="14" spans="1:61" s="30" customFormat="1" ht="18" x14ac:dyDescent="0.35">
      <c r="C14" s="31"/>
      <c r="D14" s="31"/>
      <c r="E14" s="31"/>
      <c r="F14" s="19"/>
      <c r="G14" s="81"/>
      <c r="H14" s="81"/>
      <c r="I14" s="81"/>
      <c r="J14" s="81"/>
      <c r="K14" s="81"/>
      <c r="L14" s="81"/>
      <c r="M14" s="81"/>
      <c r="N14" s="81"/>
      <c r="P14"/>
      <c r="Q14"/>
      <c r="R14"/>
      <c r="S14"/>
      <c r="T14"/>
      <c r="U14"/>
      <c r="V14"/>
      <c r="X14" s="32"/>
      <c r="Y14" s="20"/>
      <c r="Z14" s="20"/>
      <c r="AA14" s="20"/>
      <c r="AB14" s="20"/>
      <c r="AC14" s="20"/>
      <c r="AD14" s="17"/>
      <c r="AE14" s="17"/>
      <c r="AF14" s="20"/>
      <c r="AG14" s="17"/>
      <c r="AH14" s="20"/>
      <c r="AI14" s="17"/>
      <c r="AJ14" s="20"/>
      <c r="AK14" s="17"/>
      <c r="AL14" s="17"/>
      <c r="AM14" s="20"/>
      <c r="AN14" s="20"/>
      <c r="AO14" s="20"/>
      <c r="AP14" s="20"/>
      <c r="AQ14" s="17"/>
      <c r="AR14" s="17"/>
      <c r="AS14" s="20"/>
      <c r="AT14" s="17"/>
      <c r="AU14" s="17"/>
      <c r="AV14" s="17"/>
      <c r="AW14" s="17"/>
      <c r="AX14" s="17"/>
      <c r="AY14" s="17"/>
      <c r="AZ14" s="17"/>
      <c r="BA14" s="17"/>
      <c r="BB14" s="20"/>
      <c r="BC14" s="17"/>
      <c r="BD14" s="20"/>
      <c r="BE14" s="17"/>
      <c r="BF14" s="20"/>
      <c r="BG14" s="20"/>
      <c r="BH14" s="20"/>
      <c r="BI14" s="20"/>
    </row>
    <row r="15" spans="1:61" s="30" customFormat="1" ht="18" x14ac:dyDescent="0.35">
      <c r="C15" s="31"/>
      <c r="D15" s="31"/>
      <c r="E15" s="31"/>
      <c r="F15" s="19"/>
      <c r="G15" s="81"/>
      <c r="H15" s="81"/>
      <c r="I15" s="81"/>
      <c r="J15" s="81"/>
      <c r="K15" s="81"/>
      <c r="L15" s="81"/>
      <c r="M15" s="81"/>
      <c r="N15" s="81"/>
      <c r="P15"/>
      <c r="Q15"/>
      <c r="R15"/>
      <c r="S15"/>
      <c r="T15"/>
      <c r="U15"/>
      <c r="V15"/>
      <c r="X15" s="32"/>
      <c r="Y15" s="20"/>
      <c r="Z15" s="20"/>
      <c r="AA15" s="20"/>
      <c r="AB15" s="20"/>
      <c r="AC15" s="20"/>
      <c r="AD15" s="17"/>
      <c r="AE15" s="17"/>
      <c r="AF15" s="20"/>
      <c r="AG15" s="17"/>
      <c r="AH15" s="20"/>
      <c r="AI15" s="17"/>
      <c r="AJ15" s="20"/>
      <c r="AK15" s="17"/>
      <c r="AL15" s="17"/>
      <c r="AM15" s="20"/>
      <c r="AN15" s="20"/>
      <c r="AO15" s="20"/>
      <c r="AP15" s="20"/>
      <c r="AQ15" s="17"/>
      <c r="AR15" s="17"/>
      <c r="AS15" s="20"/>
      <c r="AT15" s="17"/>
      <c r="AU15" s="17"/>
      <c r="AV15" s="17"/>
      <c r="AW15" s="17"/>
      <c r="AX15" s="17"/>
      <c r="AY15" s="17"/>
      <c r="AZ15" s="17"/>
      <c r="BA15" s="17"/>
      <c r="BB15" s="20"/>
      <c r="BC15" s="17"/>
      <c r="BD15" s="20"/>
      <c r="BE15" s="17"/>
      <c r="BF15" s="20"/>
      <c r="BG15" s="20"/>
      <c r="BH15" s="20"/>
      <c r="BI15" s="20"/>
    </row>
    <row r="16" spans="1:61" s="30" customFormat="1" ht="18" x14ac:dyDescent="0.35">
      <c r="C16" s="31"/>
      <c r="D16" s="31"/>
      <c r="E16" s="31"/>
      <c r="F16" s="19"/>
      <c r="G16" s="81"/>
      <c r="H16" s="81"/>
      <c r="I16" s="81"/>
      <c r="J16" s="81"/>
      <c r="K16" s="81"/>
      <c r="L16" s="81"/>
      <c r="M16" s="81"/>
      <c r="N16" s="81"/>
      <c r="P16"/>
      <c r="Q16"/>
      <c r="R16"/>
      <c r="S16"/>
      <c r="T16"/>
      <c r="U16"/>
      <c r="V16"/>
      <c r="X16" s="32"/>
      <c r="Y16" s="20"/>
      <c r="Z16" s="20"/>
      <c r="AA16" s="20"/>
      <c r="AB16" s="20"/>
      <c r="AC16" s="20"/>
      <c r="AD16" s="17"/>
      <c r="AE16" s="17"/>
      <c r="AF16" s="20"/>
      <c r="AG16" s="17"/>
      <c r="AH16" s="20"/>
      <c r="AI16" s="17"/>
      <c r="AJ16" s="20"/>
      <c r="AK16" s="17"/>
      <c r="AL16" s="17"/>
      <c r="AM16" s="20"/>
      <c r="AN16" s="20"/>
      <c r="AO16" s="20"/>
      <c r="AP16" s="20"/>
      <c r="AQ16" s="17"/>
      <c r="AR16" s="17"/>
      <c r="AS16" s="20"/>
      <c r="AT16" s="17"/>
      <c r="AU16" s="17"/>
      <c r="AV16" s="17"/>
      <c r="AW16" s="17"/>
      <c r="AX16" s="17"/>
      <c r="AY16" s="17"/>
      <c r="AZ16" s="17"/>
      <c r="BA16" s="17"/>
      <c r="BB16" s="20"/>
      <c r="BC16" s="17"/>
      <c r="BD16" s="20"/>
      <c r="BE16" s="17"/>
      <c r="BF16" s="20"/>
      <c r="BG16" s="20"/>
      <c r="BH16" s="20"/>
      <c r="BI16" s="20"/>
    </row>
    <row r="17" spans="3:61" s="30" customFormat="1" ht="18" x14ac:dyDescent="0.35">
      <c r="C17" s="31"/>
      <c r="D17" s="31"/>
      <c r="E17" s="31"/>
      <c r="F17" s="19"/>
      <c r="G17" s="81"/>
      <c r="H17" s="81"/>
      <c r="I17" s="81"/>
      <c r="J17" s="81"/>
      <c r="K17" s="81"/>
      <c r="L17" s="81"/>
      <c r="M17" s="81"/>
      <c r="N17" s="81"/>
      <c r="P17"/>
      <c r="Q17"/>
      <c r="R17"/>
      <c r="S17"/>
      <c r="T17"/>
      <c r="U17"/>
      <c r="V17"/>
      <c r="X17" s="32"/>
      <c r="Y17" s="20"/>
      <c r="Z17" s="20"/>
      <c r="AA17" s="20"/>
      <c r="AB17" s="20"/>
      <c r="AC17" s="20"/>
      <c r="AD17" s="17"/>
      <c r="AE17" s="17"/>
      <c r="AF17" s="20"/>
      <c r="AG17" s="17"/>
      <c r="AH17" s="20"/>
      <c r="AI17" s="17"/>
      <c r="AJ17" s="20"/>
      <c r="AK17" s="17"/>
      <c r="AL17" s="17"/>
      <c r="AM17" s="20"/>
      <c r="AN17" s="20"/>
      <c r="AO17" s="20"/>
      <c r="AP17" s="20"/>
      <c r="AQ17" s="17"/>
      <c r="AR17" s="17"/>
      <c r="AS17" s="20"/>
      <c r="AT17" s="17"/>
      <c r="AU17" s="17"/>
      <c r="AV17" s="17"/>
      <c r="AW17" s="17"/>
      <c r="AX17" s="17"/>
      <c r="AY17" s="17"/>
      <c r="AZ17" s="17"/>
      <c r="BA17" s="17"/>
      <c r="BB17" s="20"/>
      <c r="BC17" s="17"/>
      <c r="BD17" s="20"/>
      <c r="BE17" s="17"/>
      <c r="BF17" s="20"/>
      <c r="BG17" s="20"/>
      <c r="BH17" s="20"/>
      <c r="BI17" s="20"/>
    </row>
    <row r="18" spans="3:61" s="30" customFormat="1" ht="18" x14ac:dyDescent="0.35">
      <c r="C18" s="31"/>
      <c r="D18" s="31"/>
      <c r="E18" s="31"/>
      <c r="F18" s="19"/>
      <c r="G18" s="81"/>
      <c r="H18" s="81"/>
      <c r="I18" s="81"/>
      <c r="J18" s="81"/>
      <c r="K18" s="81"/>
      <c r="L18" s="81"/>
      <c r="M18" s="81"/>
      <c r="N18" s="81"/>
      <c r="P18"/>
      <c r="Q18"/>
      <c r="R18"/>
      <c r="S18"/>
      <c r="T18"/>
      <c r="U18"/>
      <c r="V18"/>
      <c r="X18" s="32"/>
      <c r="Y18" s="20"/>
      <c r="Z18" s="20"/>
      <c r="AA18" s="20"/>
      <c r="AB18" s="20"/>
      <c r="AC18" s="20"/>
      <c r="AD18" s="17"/>
      <c r="AE18" s="17"/>
      <c r="AF18" s="20"/>
      <c r="AG18" s="17"/>
      <c r="AH18" s="20"/>
      <c r="AI18" s="17"/>
      <c r="AJ18" s="20"/>
      <c r="AK18" s="17"/>
      <c r="AL18" s="17"/>
      <c r="AM18" s="20"/>
      <c r="AN18" s="20"/>
      <c r="AO18" s="20"/>
      <c r="AP18" s="20"/>
      <c r="AQ18" s="17"/>
      <c r="AR18" s="17"/>
      <c r="AS18" s="20"/>
      <c r="AT18" s="17"/>
      <c r="AU18" s="17"/>
      <c r="AV18" s="17"/>
      <c r="AW18" s="17"/>
      <c r="AX18" s="17"/>
      <c r="AY18" s="17"/>
      <c r="AZ18" s="17"/>
      <c r="BA18" s="17"/>
      <c r="BB18" s="20"/>
      <c r="BC18" s="17"/>
      <c r="BD18" s="20"/>
      <c r="BE18" s="17"/>
      <c r="BF18" s="20"/>
      <c r="BG18" s="20"/>
      <c r="BH18" s="20"/>
      <c r="BI18" s="20"/>
    </row>
    <row r="19" spans="3:61" s="30" customFormat="1" ht="18" x14ac:dyDescent="0.35">
      <c r="C19" s="31"/>
      <c r="D19" s="31"/>
      <c r="E19" s="31"/>
      <c r="F19" s="19"/>
      <c r="G19" s="81"/>
      <c r="H19" s="81"/>
      <c r="I19" s="81"/>
      <c r="J19" s="81"/>
      <c r="K19" s="81"/>
      <c r="L19" s="81"/>
      <c r="M19" s="81"/>
      <c r="N19" s="81"/>
      <c r="P19"/>
      <c r="Q19"/>
      <c r="R19"/>
      <c r="S19"/>
      <c r="T19"/>
      <c r="U19"/>
      <c r="V19"/>
      <c r="X19" s="32"/>
      <c r="Y19" s="20"/>
      <c r="Z19" s="20"/>
      <c r="AA19" s="20"/>
      <c r="AB19" s="20"/>
      <c r="AC19" s="20"/>
      <c r="AD19" s="17"/>
      <c r="AE19" s="17"/>
      <c r="AF19" s="20"/>
      <c r="AG19" s="17"/>
      <c r="AH19" s="20"/>
      <c r="AI19" s="17"/>
      <c r="AJ19" s="20"/>
      <c r="AK19" s="17"/>
      <c r="AL19" s="17"/>
      <c r="AM19" s="20"/>
      <c r="AN19" s="20"/>
      <c r="AO19" s="20"/>
      <c r="AP19" s="20"/>
      <c r="AQ19" s="17"/>
      <c r="AR19" s="17"/>
      <c r="AS19" s="20"/>
      <c r="AT19" s="17"/>
      <c r="AU19" s="17"/>
      <c r="AV19" s="17"/>
      <c r="AW19" s="17"/>
      <c r="AX19" s="17"/>
      <c r="AY19" s="17"/>
      <c r="AZ19" s="17"/>
      <c r="BA19" s="17"/>
      <c r="BB19" s="20"/>
      <c r="BC19" s="17"/>
      <c r="BD19" s="20"/>
      <c r="BE19" s="17"/>
      <c r="BF19" s="20"/>
      <c r="BG19" s="20"/>
      <c r="BH19" s="20"/>
      <c r="BI19" s="20"/>
    </row>
    <row r="20" spans="3:61" s="30" customFormat="1" ht="18" x14ac:dyDescent="0.35">
      <c r="C20" s="31"/>
      <c r="D20" s="31"/>
      <c r="E20" s="31"/>
      <c r="F20" s="19"/>
      <c r="G20" s="81"/>
      <c r="H20" s="81"/>
      <c r="I20" s="81"/>
      <c r="J20" s="81"/>
      <c r="K20" s="81"/>
      <c r="L20" s="81"/>
      <c r="M20" s="81"/>
      <c r="N20" s="81"/>
      <c r="P20"/>
      <c r="Q20"/>
      <c r="R20"/>
      <c r="S20"/>
      <c r="T20"/>
      <c r="U20"/>
      <c r="V20"/>
      <c r="X20" s="32"/>
      <c r="Y20" s="20"/>
      <c r="Z20" s="20"/>
      <c r="AA20" s="20"/>
      <c r="AB20" s="20"/>
      <c r="AC20" s="20"/>
      <c r="AD20" s="17"/>
      <c r="AE20" s="17"/>
      <c r="AF20" s="20"/>
      <c r="AG20" s="17"/>
      <c r="AH20" s="20"/>
      <c r="AI20" s="17"/>
      <c r="AJ20" s="20"/>
      <c r="AK20" s="17"/>
      <c r="AL20" s="17"/>
      <c r="AM20" s="20"/>
      <c r="AN20" s="20"/>
      <c r="AO20" s="20"/>
      <c r="AP20" s="20"/>
      <c r="AQ20" s="17"/>
      <c r="AR20" s="17"/>
      <c r="AS20" s="20"/>
      <c r="AT20" s="17"/>
      <c r="AU20" s="17"/>
      <c r="AV20" s="17"/>
      <c r="AW20" s="17"/>
      <c r="AX20" s="17"/>
      <c r="AY20" s="17"/>
      <c r="AZ20" s="17"/>
      <c r="BA20" s="17"/>
      <c r="BB20" s="20"/>
      <c r="BC20" s="17"/>
      <c r="BD20" s="20"/>
      <c r="BE20" s="17"/>
      <c r="BF20" s="20"/>
      <c r="BG20" s="20"/>
      <c r="BH20" s="20"/>
      <c r="BI20" s="20"/>
    </row>
    <row r="21" spans="3:61" s="30" customFormat="1" ht="18" x14ac:dyDescent="0.35">
      <c r="C21" s="31"/>
      <c r="D21" s="31"/>
      <c r="E21" s="31"/>
      <c r="F21" s="19"/>
      <c r="G21" s="81"/>
      <c r="H21" s="81"/>
      <c r="I21" s="81"/>
      <c r="J21" s="81"/>
      <c r="K21" s="81"/>
      <c r="L21" s="81"/>
      <c r="M21" s="81"/>
      <c r="N21" s="81"/>
      <c r="P21"/>
      <c r="Q21"/>
      <c r="R21"/>
      <c r="S21"/>
      <c r="T21"/>
      <c r="U21"/>
      <c r="V21"/>
      <c r="X21" s="32"/>
      <c r="Y21" s="20"/>
      <c r="Z21" s="20"/>
      <c r="AA21" s="20"/>
      <c r="AB21" s="20"/>
      <c r="AC21" s="20"/>
      <c r="AD21" s="17"/>
      <c r="AE21" s="17"/>
      <c r="AF21" s="20"/>
      <c r="AG21" s="17"/>
      <c r="AH21" s="20"/>
      <c r="AI21" s="17"/>
      <c r="AJ21" s="20"/>
      <c r="AK21" s="17"/>
      <c r="AL21" s="17"/>
      <c r="AM21" s="20"/>
      <c r="AN21" s="20"/>
      <c r="AO21" s="20"/>
      <c r="AP21" s="20"/>
      <c r="AQ21" s="17"/>
      <c r="AR21" s="17"/>
      <c r="AS21" s="20"/>
      <c r="AT21" s="17"/>
      <c r="AU21" s="17"/>
      <c r="AV21" s="17"/>
      <c r="AW21" s="17"/>
      <c r="AX21" s="17"/>
      <c r="AY21" s="17"/>
      <c r="AZ21" s="17"/>
      <c r="BA21" s="17"/>
      <c r="BB21" s="20"/>
      <c r="BC21" s="17"/>
      <c r="BD21" s="20"/>
      <c r="BE21" s="17"/>
      <c r="BF21" s="20"/>
      <c r="BG21" s="20"/>
      <c r="BH21" s="20"/>
      <c r="BI21" s="20"/>
    </row>
    <row r="22" spans="3:61" s="30" customFormat="1" ht="18" x14ac:dyDescent="0.35">
      <c r="C22" s="31"/>
      <c r="D22" s="31"/>
      <c r="E22" s="31"/>
      <c r="F22" s="19"/>
      <c r="G22" s="81"/>
      <c r="H22" s="81"/>
      <c r="I22" s="81"/>
      <c r="J22" s="81"/>
      <c r="K22" s="81"/>
      <c r="L22" s="81"/>
      <c r="M22" s="81"/>
      <c r="N22" s="81"/>
      <c r="P22"/>
      <c r="Q22"/>
      <c r="R22"/>
      <c r="S22"/>
      <c r="T22"/>
      <c r="U22"/>
      <c r="V22"/>
      <c r="X22" s="32"/>
      <c r="Y22" s="20"/>
      <c r="Z22" s="20"/>
      <c r="AA22" s="20"/>
      <c r="AB22" s="20"/>
      <c r="AC22" s="20"/>
      <c r="AD22" s="17"/>
      <c r="AE22" s="17"/>
      <c r="AF22" s="20"/>
      <c r="AG22" s="17"/>
      <c r="AH22" s="20"/>
      <c r="AI22" s="17"/>
      <c r="AJ22" s="20"/>
      <c r="AK22" s="17"/>
      <c r="AL22" s="17"/>
      <c r="AM22" s="20"/>
      <c r="AN22" s="20"/>
      <c r="AO22" s="20"/>
      <c r="AP22" s="20"/>
      <c r="AQ22" s="17"/>
      <c r="AR22" s="17"/>
      <c r="AS22" s="20"/>
      <c r="AT22" s="17"/>
      <c r="AU22" s="17"/>
      <c r="AV22" s="17"/>
      <c r="AW22" s="17"/>
      <c r="AX22" s="17"/>
      <c r="AY22" s="17"/>
      <c r="AZ22" s="17"/>
      <c r="BA22" s="17"/>
      <c r="BB22" s="20"/>
      <c r="BC22" s="17"/>
      <c r="BD22" s="20"/>
      <c r="BE22" s="17"/>
      <c r="BF22" s="20"/>
      <c r="BG22" s="20"/>
      <c r="BH22" s="20"/>
      <c r="BI22" s="20"/>
    </row>
    <row r="23" spans="3:61" s="30" customFormat="1" ht="18" x14ac:dyDescent="0.35">
      <c r="C23" s="31"/>
      <c r="D23" s="31"/>
      <c r="E23" s="31"/>
      <c r="F23" s="19"/>
      <c r="G23" s="18"/>
      <c r="H23" s="18"/>
      <c r="I23" s="18"/>
      <c r="J23" s="18"/>
      <c r="K23" s="18"/>
      <c r="L23" s="18"/>
      <c r="M23" s="18"/>
      <c r="N23" s="18"/>
      <c r="P23"/>
      <c r="Q23"/>
      <c r="R23"/>
      <c r="S23"/>
      <c r="T23"/>
      <c r="U23"/>
      <c r="V23"/>
      <c r="X23" s="32"/>
      <c r="Y23" s="20"/>
      <c r="Z23" s="20"/>
      <c r="AA23" s="20"/>
      <c r="AB23" s="20"/>
      <c r="AC23" s="20"/>
      <c r="AD23" s="17"/>
      <c r="AE23" s="17"/>
      <c r="AF23" s="20"/>
      <c r="AG23" s="17"/>
      <c r="AH23" s="20"/>
      <c r="AI23" s="17"/>
      <c r="AJ23" s="20"/>
      <c r="AK23" s="17"/>
      <c r="AL23" s="17"/>
      <c r="AM23" s="20"/>
      <c r="AN23" s="20"/>
      <c r="AO23" s="20"/>
      <c r="AP23" s="20"/>
      <c r="AQ23" s="17"/>
      <c r="AR23" s="17"/>
      <c r="AS23" s="20"/>
      <c r="AT23" s="17"/>
      <c r="AU23" s="17"/>
      <c r="AV23" s="17"/>
      <c r="AW23" s="17"/>
      <c r="AX23" s="17"/>
      <c r="AY23" s="17"/>
      <c r="AZ23" s="17"/>
      <c r="BA23" s="17"/>
      <c r="BB23" s="20"/>
      <c r="BC23" s="17"/>
      <c r="BD23" s="20"/>
      <c r="BE23" s="17"/>
      <c r="BF23" s="20"/>
      <c r="BG23" s="20"/>
      <c r="BH23" s="20"/>
      <c r="BI23" s="20"/>
    </row>
    <row r="24" spans="3:61" s="30" customFormat="1" ht="18" x14ac:dyDescent="0.35">
      <c r="C24" s="31"/>
      <c r="D24" s="31"/>
      <c r="E24" s="31"/>
      <c r="F24" s="19"/>
      <c r="G24" s="18"/>
      <c r="H24" s="18"/>
      <c r="I24" s="18"/>
      <c r="J24" s="18"/>
      <c r="K24" s="18"/>
      <c r="L24" s="18"/>
      <c r="M24" s="18"/>
      <c r="N24" s="18"/>
      <c r="P24"/>
      <c r="Q24"/>
      <c r="R24"/>
      <c r="S24"/>
      <c r="T24"/>
      <c r="U24"/>
      <c r="V24"/>
      <c r="X24" s="32"/>
      <c r="Y24" s="20"/>
      <c r="Z24" s="20"/>
      <c r="AA24" s="20"/>
      <c r="AB24" s="20"/>
      <c r="AC24" s="20"/>
      <c r="AD24" s="17"/>
      <c r="AE24" s="17"/>
      <c r="AF24" s="20"/>
      <c r="AG24" s="17"/>
      <c r="AH24" s="20"/>
      <c r="AI24" s="17"/>
      <c r="AJ24" s="20"/>
      <c r="AK24" s="17"/>
      <c r="AL24" s="17"/>
      <c r="AM24" s="20"/>
      <c r="AN24" s="20"/>
      <c r="AO24" s="20"/>
      <c r="AP24" s="20"/>
      <c r="AQ24" s="17"/>
      <c r="AR24" s="17"/>
      <c r="AS24" s="20"/>
      <c r="AT24" s="17"/>
      <c r="AU24" s="17"/>
      <c r="AV24" s="17"/>
      <c r="AW24" s="17"/>
      <c r="AX24" s="17"/>
      <c r="AY24" s="17"/>
      <c r="AZ24" s="17"/>
      <c r="BA24" s="17"/>
      <c r="BB24" s="20"/>
      <c r="BC24" s="17"/>
      <c r="BD24" s="20"/>
      <c r="BE24" s="17"/>
      <c r="BF24" s="20"/>
      <c r="BG24" s="20"/>
      <c r="BH24" s="20"/>
      <c r="BI24" s="20"/>
    </row>
    <row r="25" spans="3:61" s="30" customFormat="1" ht="18" x14ac:dyDescent="0.35">
      <c r="C25" s="31"/>
      <c r="D25" s="31"/>
      <c r="E25" s="31"/>
      <c r="F25" s="19"/>
      <c r="G25" s="18"/>
      <c r="H25" s="18"/>
      <c r="I25" s="18"/>
      <c r="J25" s="18"/>
      <c r="K25" s="18"/>
      <c r="L25" s="18"/>
      <c r="M25" s="18"/>
      <c r="N25" s="18"/>
      <c r="P25"/>
      <c r="Q25"/>
      <c r="R25"/>
      <c r="S25"/>
      <c r="T25"/>
      <c r="U25"/>
      <c r="V25"/>
      <c r="X25" s="32"/>
      <c r="Y25" s="20"/>
      <c r="Z25" s="20"/>
      <c r="AA25" s="20"/>
      <c r="AB25" s="20"/>
      <c r="AC25" s="20"/>
      <c r="AD25" s="17"/>
      <c r="AE25" s="17"/>
      <c r="AF25" s="20"/>
      <c r="AG25" s="17"/>
      <c r="AH25" s="20"/>
      <c r="AI25" s="17"/>
      <c r="AJ25" s="20"/>
      <c r="AK25" s="17"/>
      <c r="AL25" s="17"/>
      <c r="AM25" s="20"/>
      <c r="AN25" s="20"/>
      <c r="AO25" s="20"/>
      <c r="AP25" s="20"/>
      <c r="AQ25" s="17"/>
      <c r="AR25" s="17"/>
      <c r="AS25" s="20"/>
      <c r="AT25" s="17"/>
      <c r="AU25" s="17"/>
      <c r="AV25" s="17"/>
      <c r="AW25" s="17"/>
      <c r="AX25" s="17"/>
      <c r="AY25" s="17"/>
      <c r="AZ25" s="17"/>
      <c r="BA25" s="17"/>
      <c r="BB25" s="20"/>
      <c r="BC25" s="17"/>
      <c r="BD25" s="20"/>
      <c r="BE25" s="17"/>
      <c r="BF25" s="20"/>
      <c r="BG25" s="20"/>
      <c r="BH25" s="20"/>
      <c r="BI25" s="20"/>
    </row>
    <row r="26" spans="3:61" s="30" customFormat="1" ht="18" x14ac:dyDescent="0.35">
      <c r="C26" s="31"/>
      <c r="D26" s="31"/>
      <c r="E26" s="31"/>
      <c r="F26" s="19"/>
      <c r="G26" s="18"/>
      <c r="H26" s="18"/>
      <c r="I26" s="18"/>
      <c r="J26" s="18"/>
      <c r="K26" s="18"/>
      <c r="L26" s="18"/>
      <c r="M26" s="18"/>
      <c r="N26" s="18"/>
      <c r="P26"/>
      <c r="Q26"/>
      <c r="R26"/>
      <c r="S26"/>
      <c r="T26"/>
      <c r="U26"/>
      <c r="V26"/>
      <c r="X26" s="32"/>
      <c r="Y26" s="20"/>
      <c r="Z26" s="20"/>
      <c r="AA26" s="20"/>
      <c r="AB26" s="20"/>
      <c r="AC26" s="20"/>
      <c r="AD26" s="17"/>
      <c r="AE26" s="17"/>
      <c r="AF26" s="20"/>
      <c r="AG26" s="17"/>
      <c r="AH26" s="20"/>
      <c r="AI26" s="17"/>
      <c r="AJ26" s="20"/>
      <c r="AK26" s="17"/>
      <c r="AL26" s="17"/>
      <c r="AM26" s="20"/>
      <c r="AN26" s="20"/>
      <c r="AO26" s="20"/>
      <c r="AP26" s="20"/>
      <c r="AQ26" s="17"/>
      <c r="AR26" s="17"/>
      <c r="AS26" s="20"/>
      <c r="AT26" s="17"/>
      <c r="AU26" s="17"/>
      <c r="AV26" s="17"/>
      <c r="AW26" s="17"/>
      <c r="AX26" s="17"/>
      <c r="AY26" s="17"/>
      <c r="AZ26" s="17"/>
      <c r="BA26" s="17"/>
      <c r="BB26" s="20"/>
      <c r="BC26" s="17"/>
      <c r="BD26" s="20"/>
      <c r="BE26" s="17"/>
      <c r="BF26" s="20"/>
      <c r="BG26" s="20"/>
      <c r="BH26" s="20"/>
      <c r="BI26" s="20"/>
    </row>
    <row r="27" spans="3:61" s="30" customFormat="1" ht="18" x14ac:dyDescent="0.35">
      <c r="C27" s="31"/>
      <c r="D27" s="31"/>
      <c r="E27" s="31"/>
      <c r="F27" s="19"/>
      <c r="G27" s="18"/>
      <c r="H27" s="18"/>
      <c r="I27" s="18"/>
      <c r="J27" s="18"/>
      <c r="K27" s="18"/>
      <c r="L27" s="18"/>
      <c r="M27" s="18"/>
      <c r="N27" s="18"/>
      <c r="P27"/>
      <c r="Q27"/>
      <c r="R27"/>
      <c r="S27"/>
      <c r="T27"/>
      <c r="U27"/>
      <c r="V27"/>
      <c r="X27" s="32"/>
      <c r="Y27" s="20"/>
      <c r="Z27" s="20"/>
      <c r="AA27" s="20"/>
      <c r="AB27" s="20"/>
      <c r="AC27" s="20"/>
      <c r="AD27" s="17"/>
      <c r="AE27" s="17"/>
      <c r="AF27" s="20"/>
      <c r="AG27" s="17"/>
      <c r="AH27" s="20"/>
      <c r="AI27" s="17"/>
      <c r="AJ27" s="20"/>
      <c r="AK27" s="17"/>
      <c r="AL27" s="17"/>
      <c r="AM27" s="20"/>
      <c r="AN27" s="20"/>
      <c r="AO27" s="20"/>
      <c r="AP27" s="20"/>
      <c r="AQ27" s="17"/>
      <c r="AR27" s="17"/>
      <c r="AS27" s="20"/>
      <c r="AT27" s="17"/>
      <c r="AU27" s="17"/>
      <c r="AV27" s="17"/>
      <c r="AW27" s="17"/>
      <c r="AX27" s="17"/>
      <c r="AY27" s="17"/>
      <c r="AZ27" s="17"/>
      <c r="BA27" s="17"/>
      <c r="BB27" s="20"/>
      <c r="BC27" s="17"/>
      <c r="BD27" s="20"/>
      <c r="BE27" s="17"/>
      <c r="BF27" s="20"/>
      <c r="BG27" s="20"/>
      <c r="BH27" s="20"/>
      <c r="BI27" s="20"/>
    </row>
    <row r="28" spans="3:61" s="30" customFormat="1" ht="18" x14ac:dyDescent="0.35">
      <c r="C28" s="31"/>
      <c r="D28" s="31"/>
      <c r="E28" s="31"/>
      <c r="F28" s="19"/>
      <c r="G28" s="18"/>
      <c r="H28" s="18"/>
      <c r="I28" s="18"/>
      <c r="J28" s="18"/>
      <c r="K28" s="18"/>
      <c r="L28" s="18"/>
      <c r="M28" s="18"/>
      <c r="N28" s="18"/>
      <c r="P28"/>
      <c r="Q28"/>
      <c r="R28"/>
      <c r="S28"/>
      <c r="T28"/>
      <c r="U28"/>
      <c r="V28"/>
      <c r="X28" s="32"/>
      <c r="Y28" s="20"/>
      <c r="Z28" s="20"/>
      <c r="AA28" s="20"/>
      <c r="AB28" s="20"/>
      <c r="AC28" s="20"/>
      <c r="AD28" s="17"/>
      <c r="AE28" s="17"/>
      <c r="AF28" s="20"/>
      <c r="AG28" s="17"/>
      <c r="AH28" s="20"/>
      <c r="AI28" s="17"/>
      <c r="AJ28" s="20"/>
      <c r="AK28" s="17"/>
      <c r="AL28" s="17"/>
      <c r="AM28" s="20"/>
      <c r="AN28" s="20"/>
      <c r="AO28" s="20"/>
      <c r="AP28" s="20"/>
      <c r="AQ28" s="17"/>
      <c r="AR28" s="17"/>
      <c r="AS28" s="20"/>
      <c r="AT28" s="17"/>
      <c r="AU28" s="17"/>
      <c r="AV28" s="17"/>
      <c r="AW28" s="17"/>
      <c r="AX28" s="17"/>
      <c r="AY28" s="17"/>
      <c r="AZ28" s="17"/>
      <c r="BA28" s="17"/>
      <c r="BB28" s="20"/>
      <c r="BC28" s="17"/>
      <c r="BD28" s="20"/>
      <c r="BE28" s="17"/>
      <c r="BF28" s="20"/>
      <c r="BG28" s="20"/>
      <c r="BH28" s="20"/>
      <c r="BI28" s="20"/>
    </row>
    <row r="29" spans="3:61" s="30" customFormat="1" ht="18" x14ac:dyDescent="0.35">
      <c r="C29" s="31"/>
      <c r="D29" s="31"/>
      <c r="E29" s="31"/>
      <c r="F29" s="19"/>
      <c r="G29" s="18"/>
      <c r="H29" s="18"/>
      <c r="I29" s="18"/>
      <c r="J29" s="18"/>
      <c r="K29" s="18"/>
      <c r="L29" s="18"/>
      <c r="M29" s="18"/>
      <c r="N29" s="18"/>
      <c r="P29"/>
      <c r="Q29"/>
      <c r="R29"/>
      <c r="S29"/>
      <c r="T29"/>
      <c r="U29"/>
      <c r="V29"/>
      <c r="X29" s="32"/>
      <c r="Y29" s="20"/>
      <c r="Z29" s="20"/>
      <c r="AA29" s="20"/>
      <c r="AB29" s="20"/>
      <c r="AC29" s="20"/>
      <c r="AD29" s="17"/>
      <c r="AE29" s="17"/>
      <c r="AF29" s="20"/>
      <c r="AG29" s="17"/>
      <c r="AH29" s="20"/>
      <c r="AI29" s="17"/>
      <c r="AJ29" s="20"/>
      <c r="AK29" s="17"/>
      <c r="AL29" s="17"/>
      <c r="AM29" s="20"/>
      <c r="AN29" s="20"/>
      <c r="AO29" s="20"/>
      <c r="AP29" s="20"/>
      <c r="AQ29" s="17"/>
      <c r="AR29" s="17"/>
      <c r="AS29" s="20"/>
      <c r="AT29" s="17"/>
      <c r="AU29" s="17"/>
      <c r="AV29" s="17"/>
      <c r="AW29" s="17"/>
      <c r="AX29" s="17"/>
      <c r="AY29" s="17"/>
      <c r="AZ29" s="17"/>
      <c r="BA29" s="17"/>
      <c r="BB29" s="20"/>
      <c r="BC29" s="17"/>
      <c r="BD29" s="20"/>
      <c r="BE29" s="17"/>
      <c r="BF29" s="20"/>
      <c r="BG29" s="20"/>
      <c r="BH29" s="20"/>
      <c r="BI29" s="20"/>
    </row>
    <row r="30" spans="3:61" s="30" customFormat="1" ht="18" x14ac:dyDescent="0.35">
      <c r="C30" s="31"/>
      <c r="D30" s="31"/>
      <c r="E30" s="31"/>
      <c r="F30" s="19"/>
      <c r="G30" s="18"/>
      <c r="H30" s="18"/>
      <c r="I30" s="18"/>
      <c r="J30" s="18"/>
      <c r="K30" s="18"/>
      <c r="L30" s="18"/>
      <c r="M30" s="18"/>
      <c r="N30" s="18"/>
      <c r="P30"/>
      <c r="Q30"/>
      <c r="R30"/>
      <c r="S30"/>
      <c r="T30"/>
      <c r="U30"/>
      <c r="V30"/>
      <c r="X30" s="32"/>
      <c r="Y30" s="20"/>
      <c r="Z30" s="20"/>
      <c r="AA30" s="20"/>
      <c r="AB30" s="20"/>
      <c r="AC30" s="20"/>
      <c r="AD30" s="17"/>
      <c r="AE30" s="17"/>
      <c r="AF30" s="20"/>
      <c r="AG30" s="17"/>
      <c r="AH30" s="20"/>
      <c r="AI30" s="17"/>
      <c r="AJ30" s="20"/>
      <c r="AK30" s="17"/>
      <c r="AL30" s="17"/>
      <c r="AM30" s="20"/>
      <c r="AN30" s="20"/>
      <c r="AO30" s="20"/>
      <c r="AP30" s="20"/>
      <c r="AQ30" s="17"/>
      <c r="AR30" s="17"/>
      <c r="AS30" s="20"/>
      <c r="AT30" s="17"/>
      <c r="AU30" s="17"/>
      <c r="AV30" s="17"/>
      <c r="AW30" s="17"/>
      <c r="AX30" s="17"/>
      <c r="AY30" s="17"/>
      <c r="AZ30" s="17"/>
      <c r="BA30" s="17"/>
      <c r="BB30" s="20"/>
      <c r="BC30" s="17"/>
      <c r="BD30" s="20"/>
      <c r="BE30" s="17"/>
      <c r="BF30" s="20"/>
      <c r="BG30" s="20"/>
      <c r="BH30" s="20"/>
      <c r="BI30" s="20"/>
    </row>
    <row r="31" spans="3:61" s="30" customFormat="1" ht="18" x14ac:dyDescent="0.35">
      <c r="C31" s="31"/>
      <c r="D31" s="31"/>
      <c r="E31" s="31"/>
      <c r="F31" s="19"/>
      <c r="G31" s="18"/>
      <c r="H31" s="18"/>
      <c r="I31" s="18"/>
      <c r="J31" s="18"/>
      <c r="K31" s="18"/>
      <c r="L31" s="18"/>
      <c r="M31" s="18"/>
      <c r="N31" s="18"/>
      <c r="P31"/>
      <c r="Q31"/>
      <c r="R31"/>
      <c r="S31"/>
      <c r="T31"/>
      <c r="U31"/>
      <c r="V31"/>
      <c r="X31" s="32"/>
      <c r="Y31" s="20"/>
      <c r="Z31" s="20"/>
      <c r="AA31" s="20"/>
      <c r="AB31" s="20"/>
      <c r="AC31" s="20"/>
      <c r="AD31" s="17"/>
      <c r="AE31" s="17"/>
      <c r="AF31" s="20"/>
      <c r="AG31" s="17"/>
      <c r="AH31" s="20"/>
      <c r="AI31" s="17"/>
      <c r="AJ31" s="20"/>
      <c r="AK31" s="17"/>
      <c r="AL31" s="17"/>
      <c r="AM31" s="20"/>
      <c r="AN31" s="20"/>
      <c r="AO31" s="20"/>
      <c r="AP31" s="20"/>
      <c r="AQ31" s="17"/>
      <c r="AR31" s="17"/>
      <c r="AS31" s="20"/>
      <c r="AT31" s="17"/>
      <c r="AU31" s="17"/>
      <c r="AV31" s="17"/>
      <c r="AW31" s="17"/>
      <c r="AX31" s="17"/>
      <c r="AY31" s="17"/>
      <c r="AZ31" s="17"/>
      <c r="BA31" s="17"/>
      <c r="BB31" s="20"/>
      <c r="BC31" s="17"/>
      <c r="BD31" s="20"/>
      <c r="BE31" s="17"/>
      <c r="BF31" s="20"/>
      <c r="BG31" s="20"/>
      <c r="BH31" s="20"/>
      <c r="BI31" s="20"/>
    </row>
    <row r="32" spans="3:61" s="30" customFormat="1" ht="18" x14ac:dyDescent="0.35">
      <c r="C32" s="31"/>
      <c r="D32" s="31"/>
      <c r="E32" s="31"/>
      <c r="F32" s="19"/>
      <c r="G32" s="18"/>
      <c r="H32" s="18"/>
      <c r="I32" s="18"/>
      <c r="J32" s="18"/>
      <c r="K32" s="18"/>
      <c r="L32" s="18"/>
      <c r="M32" s="18"/>
      <c r="N32" s="18"/>
      <c r="P32"/>
      <c r="Q32"/>
      <c r="R32"/>
      <c r="S32"/>
      <c r="T32"/>
      <c r="U32"/>
      <c r="V32"/>
      <c r="X32" s="32"/>
      <c r="Y32" s="20"/>
      <c r="Z32" s="20"/>
      <c r="AA32" s="20"/>
      <c r="AB32" s="20"/>
      <c r="AC32" s="20"/>
      <c r="AD32" s="17"/>
      <c r="AE32" s="17"/>
      <c r="AF32" s="20"/>
      <c r="AG32" s="17"/>
      <c r="AH32" s="20"/>
      <c r="AI32" s="17"/>
      <c r="AJ32" s="20"/>
      <c r="AK32" s="17"/>
      <c r="AL32" s="17"/>
      <c r="AM32" s="20"/>
      <c r="AN32" s="20"/>
      <c r="AO32" s="20"/>
      <c r="AP32" s="20"/>
      <c r="AQ32" s="17"/>
      <c r="AR32" s="17"/>
      <c r="AS32" s="20"/>
      <c r="AT32" s="17"/>
      <c r="AU32" s="17"/>
      <c r="AV32" s="17"/>
      <c r="AW32" s="17"/>
      <c r="AX32" s="17"/>
      <c r="AY32" s="17"/>
      <c r="AZ32" s="17"/>
      <c r="BA32" s="17"/>
      <c r="BB32" s="20"/>
      <c r="BC32" s="17"/>
      <c r="BD32" s="20"/>
      <c r="BE32" s="17"/>
      <c r="BF32" s="20"/>
      <c r="BG32" s="20"/>
      <c r="BH32" s="20"/>
      <c r="BI32" s="20"/>
    </row>
    <row r="33" spans="3:61" s="30" customFormat="1" ht="18" x14ac:dyDescent="0.35">
      <c r="C33" s="31"/>
      <c r="D33" s="31"/>
      <c r="E33" s="31"/>
      <c r="F33" s="19"/>
      <c r="G33" s="18"/>
      <c r="H33" s="18"/>
      <c r="I33" s="18"/>
      <c r="J33" s="18"/>
      <c r="K33" s="18"/>
      <c r="L33" s="18"/>
      <c r="M33" s="18"/>
      <c r="N33" s="18"/>
      <c r="P33"/>
      <c r="Q33"/>
      <c r="R33"/>
      <c r="S33"/>
      <c r="T33"/>
      <c r="U33"/>
      <c r="V33"/>
      <c r="X33" s="32"/>
      <c r="Y33" s="20"/>
      <c r="Z33" s="20"/>
      <c r="AA33" s="20"/>
      <c r="AB33" s="20"/>
      <c r="AC33" s="20"/>
      <c r="AD33" s="17"/>
      <c r="AE33" s="17"/>
      <c r="AF33" s="20"/>
      <c r="AG33" s="17"/>
      <c r="AH33" s="20"/>
      <c r="AI33" s="17"/>
      <c r="AJ33" s="20"/>
      <c r="AK33" s="17"/>
      <c r="AL33" s="17"/>
      <c r="AM33" s="20"/>
      <c r="AN33" s="20"/>
      <c r="AO33" s="20"/>
      <c r="AP33" s="20"/>
      <c r="AQ33" s="17"/>
      <c r="AR33" s="17"/>
      <c r="AS33" s="20"/>
      <c r="AT33" s="17"/>
      <c r="AU33" s="17"/>
      <c r="AV33" s="17"/>
      <c r="AW33" s="17"/>
      <c r="AX33" s="17"/>
      <c r="AY33" s="17"/>
      <c r="AZ33" s="17"/>
      <c r="BA33" s="17"/>
      <c r="BB33" s="20"/>
      <c r="BC33" s="17"/>
      <c r="BD33" s="20"/>
      <c r="BE33" s="17"/>
      <c r="BF33" s="20"/>
      <c r="BG33" s="20"/>
      <c r="BH33" s="20"/>
      <c r="BI33" s="20"/>
    </row>
    <row r="34" spans="3:61" s="30" customFormat="1" ht="18" x14ac:dyDescent="0.35">
      <c r="C34" s="31"/>
      <c r="D34" s="31"/>
      <c r="E34" s="31"/>
      <c r="F34" s="19"/>
      <c r="G34" s="18"/>
      <c r="H34" s="18"/>
      <c r="I34" s="18"/>
      <c r="J34" s="18"/>
      <c r="K34" s="18"/>
      <c r="L34" s="18"/>
      <c r="M34" s="18"/>
      <c r="N34" s="18"/>
      <c r="P34"/>
      <c r="Q34"/>
      <c r="R34"/>
      <c r="S34"/>
      <c r="T34"/>
      <c r="U34"/>
      <c r="V34"/>
      <c r="X34" s="32"/>
      <c r="Y34" s="20"/>
      <c r="Z34" s="20"/>
      <c r="AA34" s="20"/>
      <c r="AB34" s="20"/>
      <c r="AC34" s="20"/>
      <c r="AD34" s="17"/>
      <c r="AE34" s="17"/>
      <c r="AF34" s="20"/>
      <c r="AG34" s="17"/>
      <c r="AH34" s="20"/>
      <c r="AI34" s="17"/>
      <c r="AJ34" s="20"/>
      <c r="AK34" s="17"/>
      <c r="AL34" s="17"/>
      <c r="AM34" s="20"/>
      <c r="AN34" s="20"/>
      <c r="AO34" s="20"/>
      <c r="AP34" s="20"/>
      <c r="AQ34" s="17"/>
      <c r="AR34" s="17"/>
      <c r="AS34" s="20"/>
      <c r="AT34" s="17"/>
      <c r="AU34" s="17"/>
      <c r="AV34" s="17"/>
      <c r="AW34" s="17"/>
      <c r="AX34" s="17"/>
      <c r="AY34" s="17"/>
      <c r="AZ34" s="17"/>
      <c r="BA34" s="17"/>
      <c r="BB34" s="20"/>
      <c r="BC34" s="17"/>
      <c r="BD34" s="20"/>
      <c r="BE34" s="17"/>
      <c r="BF34" s="20"/>
      <c r="BG34" s="20"/>
      <c r="BH34" s="20"/>
      <c r="BI34" s="20"/>
    </row>
    <row r="35" spans="3:61" s="30" customFormat="1" ht="18" x14ac:dyDescent="0.35">
      <c r="C35" s="31"/>
      <c r="D35" s="31"/>
      <c r="E35" s="31"/>
      <c r="F35" s="19"/>
      <c r="G35" s="18"/>
      <c r="H35" s="18"/>
      <c r="I35" s="18"/>
      <c r="J35" s="18"/>
      <c r="K35" s="18"/>
      <c r="L35" s="18"/>
      <c r="M35" s="18"/>
      <c r="N35" s="18"/>
      <c r="P35"/>
      <c r="Q35"/>
      <c r="R35"/>
      <c r="S35"/>
      <c r="T35"/>
      <c r="U35"/>
      <c r="V35"/>
      <c r="X35" s="32"/>
      <c r="Y35" s="20"/>
      <c r="Z35" s="20"/>
      <c r="AA35" s="20"/>
      <c r="AB35" s="20"/>
      <c r="AC35" s="20"/>
      <c r="AD35" s="17"/>
      <c r="AE35" s="17"/>
      <c r="AF35" s="20"/>
      <c r="AG35" s="17"/>
      <c r="AH35" s="20"/>
      <c r="AI35" s="17"/>
      <c r="AJ35" s="20"/>
      <c r="AK35" s="17"/>
      <c r="AL35" s="17"/>
      <c r="AM35" s="20"/>
      <c r="AN35" s="20"/>
      <c r="AO35" s="20"/>
      <c r="AP35" s="20"/>
      <c r="AQ35" s="17"/>
      <c r="AR35" s="17"/>
      <c r="AS35" s="20"/>
      <c r="AT35" s="17"/>
      <c r="AU35" s="17"/>
      <c r="AV35" s="17"/>
      <c r="AW35" s="17"/>
      <c r="AX35" s="17"/>
      <c r="AY35" s="17"/>
      <c r="AZ35" s="17"/>
      <c r="BA35" s="17"/>
      <c r="BB35" s="20"/>
      <c r="BC35" s="17"/>
      <c r="BD35" s="20"/>
      <c r="BE35" s="17"/>
      <c r="BF35" s="20"/>
      <c r="BG35" s="20"/>
      <c r="BH35" s="20"/>
      <c r="BI35" s="20"/>
    </row>
    <row r="36" spans="3:61" s="30" customFormat="1" ht="18" x14ac:dyDescent="0.35">
      <c r="C36" s="31"/>
      <c r="D36" s="31"/>
      <c r="E36" s="31"/>
      <c r="F36" s="19"/>
      <c r="G36" s="18"/>
      <c r="H36" s="18"/>
      <c r="I36" s="18"/>
      <c r="J36" s="18"/>
      <c r="K36" s="18"/>
      <c r="L36" s="18"/>
      <c r="M36" s="18"/>
      <c r="N36" s="18"/>
      <c r="P36"/>
      <c r="Q36"/>
      <c r="R36"/>
      <c r="S36"/>
      <c r="T36"/>
      <c r="U36"/>
      <c r="V36"/>
      <c r="X36" s="32"/>
      <c r="Y36" s="20"/>
      <c r="Z36" s="20"/>
      <c r="AA36" s="20"/>
      <c r="AB36" s="20"/>
      <c r="AC36" s="20"/>
      <c r="AD36" s="17"/>
      <c r="AE36" s="17"/>
      <c r="AF36" s="20"/>
      <c r="AG36" s="17"/>
      <c r="AH36" s="20"/>
      <c r="AI36" s="17"/>
      <c r="AJ36" s="20"/>
      <c r="AK36" s="17"/>
      <c r="AL36" s="17"/>
      <c r="AM36" s="20"/>
      <c r="AN36" s="20"/>
      <c r="AO36" s="20"/>
      <c r="AP36" s="20"/>
      <c r="AQ36" s="17"/>
      <c r="AR36" s="17"/>
      <c r="AS36" s="20"/>
      <c r="AT36" s="17"/>
      <c r="AU36" s="17"/>
      <c r="AV36" s="17"/>
      <c r="AW36" s="17"/>
      <c r="AX36" s="17"/>
      <c r="AY36" s="17"/>
      <c r="AZ36" s="17"/>
      <c r="BA36" s="17"/>
      <c r="BB36" s="20"/>
      <c r="BC36" s="17"/>
      <c r="BD36" s="20"/>
      <c r="BE36" s="17"/>
      <c r="BF36" s="20"/>
      <c r="BG36" s="20"/>
      <c r="BH36" s="20"/>
      <c r="BI36" s="20"/>
    </row>
    <row r="37" spans="3:61" s="30" customFormat="1" ht="18" x14ac:dyDescent="0.35">
      <c r="C37" s="31"/>
      <c r="D37" s="31"/>
      <c r="E37" s="31"/>
      <c r="F37" s="19"/>
      <c r="G37" s="18"/>
      <c r="H37" s="18"/>
      <c r="I37" s="18"/>
      <c r="J37" s="18"/>
      <c r="K37" s="18"/>
      <c r="L37" s="18"/>
      <c r="M37" s="18"/>
      <c r="N37" s="18"/>
      <c r="P37"/>
      <c r="Q37"/>
      <c r="R37"/>
      <c r="S37"/>
      <c r="T37"/>
      <c r="U37"/>
      <c r="V37"/>
      <c r="X37" s="32"/>
      <c r="Y37" s="20"/>
      <c r="Z37" s="20"/>
      <c r="AA37" s="20"/>
      <c r="AB37" s="20"/>
      <c r="AC37" s="20"/>
      <c r="AD37" s="17"/>
      <c r="AE37" s="17"/>
      <c r="AF37" s="20"/>
      <c r="AG37" s="17"/>
      <c r="AH37" s="20"/>
      <c r="AI37" s="17"/>
      <c r="AJ37" s="20"/>
      <c r="AK37" s="17"/>
      <c r="AL37" s="17"/>
      <c r="AM37" s="20"/>
      <c r="AN37" s="20"/>
      <c r="AO37" s="20"/>
      <c r="AP37" s="20"/>
      <c r="AQ37" s="17"/>
      <c r="AR37" s="17"/>
      <c r="AS37" s="20"/>
      <c r="AT37" s="17"/>
      <c r="AU37" s="17"/>
      <c r="AV37" s="17"/>
      <c r="AW37" s="17"/>
      <c r="AX37" s="17"/>
      <c r="AY37" s="17"/>
      <c r="AZ37" s="17"/>
      <c r="BA37" s="17"/>
      <c r="BB37" s="20"/>
      <c r="BC37" s="17"/>
      <c r="BD37" s="20"/>
      <c r="BE37" s="17"/>
      <c r="BF37" s="20"/>
      <c r="BG37" s="20"/>
      <c r="BH37" s="20"/>
      <c r="BI37" s="20"/>
    </row>
    <row r="38" spans="3:61" s="30" customFormat="1" ht="18" x14ac:dyDescent="0.35">
      <c r="C38" s="31"/>
      <c r="D38" s="31"/>
      <c r="E38" s="31"/>
      <c r="F38" s="19"/>
      <c r="G38" s="18"/>
      <c r="H38" s="18"/>
      <c r="I38" s="18"/>
      <c r="J38" s="18"/>
      <c r="K38" s="18"/>
      <c r="L38" s="18"/>
      <c r="M38" s="18"/>
      <c r="N38" s="18"/>
      <c r="P38"/>
      <c r="Q38"/>
      <c r="R38"/>
      <c r="S38"/>
      <c r="T38"/>
      <c r="U38"/>
      <c r="V38"/>
      <c r="X38" s="32"/>
      <c r="Y38" s="20"/>
      <c r="Z38" s="20"/>
      <c r="AA38" s="20"/>
      <c r="AB38" s="20"/>
      <c r="AC38" s="20"/>
      <c r="AD38" s="17"/>
      <c r="AE38" s="17"/>
      <c r="AF38" s="20"/>
      <c r="AG38" s="17"/>
      <c r="AH38" s="20"/>
      <c r="AI38" s="17"/>
      <c r="AJ38" s="20"/>
      <c r="AK38" s="17"/>
      <c r="AL38" s="17"/>
      <c r="AM38" s="20"/>
      <c r="AN38" s="20"/>
      <c r="AO38" s="20"/>
      <c r="AP38" s="20"/>
      <c r="AQ38" s="17"/>
      <c r="AR38" s="17"/>
      <c r="AS38" s="20"/>
      <c r="AT38" s="17"/>
      <c r="AU38" s="17"/>
      <c r="AV38" s="17"/>
      <c r="AW38" s="17"/>
      <c r="AX38" s="17"/>
      <c r="AY38" s="17"/>
      <c r="AZ38" s="17"/>
      <c r="BA38" s="17"/>
      <c r="BB38" s="20"/>
      <c r="BC38" s="17"/>
      <c r="BD38" s="20"/>
      <c r="BE38" s="17"/>
      <c r="BF38" s="20"/>
      <c r="BG38" s="20"/>
      <c r="BH38" s="20"/>
      <c r="BI38" s="20"/>
    </row>
    <row r="39" spans="3:61" s="30" customFormat="1" ht="18" x14ac:dyDescent="0.35">
      <c r="C39" s="31"/>
      <c r="D39" s="31"/>
      <c r="E39" s="31"/>
      <c r="F39" s="19"/>
      <c r="G39" s="18"/>
      <c r="H39" s="18"/>
      <c r="I39" s="18"/>
      <c r="J39" s="18"/>
      <c r="K39" s="18"/>
      <c r="L39" s="18"/>
      <c r="M39" s="18"/>
      <c r="N39" s="18"/>
      <c r="P39"/>
      <c r="Q39"/>
      <c r="R39"/>
      <c r="S39"/>
      <c r="T39"/>
      <c r="U39"/>
      <c r="V39"/>
      <c r="X39" s="32"/>
      <c r="Y39" s="20"/>
      <c r="Z39" s="20"/>
      <c r="AA39" s="20"/>
      <c r="AB39" s="20"/>
      <c r="AC39" s="20"/>
      <c r="AD39" s="17"/>
      <c r="AE39" s="17"/>
      <c r="AF39" s="20"/>
      <c r="AG39" s="17"/>
      <c r="AH39" s="20"/>
      <c r="AI39" s="17"/>
      <c r="AJ39" s="20"/>
      <c r="AK39" s="17"/>
      <c r="AL39" s="17"/>
      <c r="AM39" s="20"/>
      <c r="AN39" s="20"/>
      <c r="AO39" s="20"/>
      <c r="AP39" s="20"/>
      <c r="AQ39" s="17"/>
      <c r="AR39" s="17"/>
      <c r="AS39" s="20"/>
      <c r="AT39" s="17"/>
      <c r="AU39" s="17"/>
      <c r="AV39" s="17"/>
      <c r="AW39" s="17"/>
      <c r="AX39" s="17"/>
      <c r="AY39" s="17"/>
      <c r="AZ39" s="17"/>
      <c r="BA39" s="17"/>
      <c r="BB39" s="20"/>
      <c r="BC39" s="17"/>
      <c r="BD39" s="20"/>
      <c r="BE39" s="17"/>
      <c r="BF39" s="20"/>
      <c r="BG39" s="20"/>
      <c r="BH39" s="20"/>
      <c r="BI39" s="20"/>
    </row>
    <row r="40" spans="3:61" s="30" customFormat="1" ht="18" x14ac:dyDescent="0.35">
      <c r="C40" s="31"/>
      <c r="D40" s="31"/>
      <c r="E40" s="31"/>
      <c r="F40" s="19"/>
      <c r="G40" s="18"/>
      <c r="H40" s="18"/>
      <c r="I40" s="18"/>
      <c r="J40" s="18"/>
      <c r="K40" s="18"/>
      <c r="L40" s="18"/>
      <c r="M40" s="18"/>
      <c r="N40" s="18"/>
      <c r="P40"/>
      <c r="Q40"/>
      <c r="R40"/>
      <c r="S40"/>
      <c r="T40"/>
      <c r="U40"/>
      <c r="V40"/>
      <c r="X40" s="32"/>
      <c r="Y40" s="20"/>
      <c r="Z40" s="20"/>
      <c r="AA40" s="20"/>
      <c r="AB40" s="20"/>
      <c r="AC40" s="20"/>
      <c r="AD40" s="17"/>
      <c r="AE40" s="17"/>
      <c r="AF40" s="20"/>
      <c r="AG40" s="17"/>
      <c r="AH40" s="20"/>
      <c r="AI40" s="17"/>
      <c r="AJ40" s="20"/>
      <c r="AK40" s="17"/>
      <c r="AL40" s="17"/>
      <c r="AM40" s="20"/>
      <c r="AN40" s="20"/>
      <c r="AO40" s="20"/>
      <c r="AP40" s="20"/>
      <c r="AQ40" s="17"/>
      <c r="AR40" s="17"/>
      <c r="AS40" s="20"/>
      <c r="AT40" s="17"/>
      <c r="AU40" s="17"/>
      <c r="AV40" s="17"/>
      <c r="AW40" s="17"/>
      <c r="AX40" s="17"/>
      <c r="AY40" s="17"/>
      <c r="AZ40" s="17"/>
      <c r="BA40" s="17"/>
      <c r="BB40" s="20"/>
      <c r="BC40" s="17"/>
      <c r="BD40" s="20"/>
      <c r="BE40" s="17"/>
      <c r="BF40" s="20"/>
      <c r="BG40" s="20"/>
      <c r="BH40" s="20"/>
      <c r="BI40" s="20"/>
    </row>
    <row r="41" spans="3:61" s="30" customFormat="1" ht="18" x14ac:dyDescent="0.35">
      <c r="C41" s="31"/>
      <c r="D41" s="31"/>
      <c r="E41" s="31"/>
      <c r="F41" s="19"/>
      <c r="G41" s="18"/>
      <c r="H41" s="18"/>
      <c r="I41" s="18"/>
      <c r="J41" s="18"/>
      <c r="K41" s="18"/>
      <c r="L41" s="18"/>
      <c r="M41" s="18"/>
      <c r="N41" s="18"/>
      <c r="P41"/>
      <c r="Q41"/>
      <c r="R41"/>
      <c r="S41"/>
      <c r="T41"/>
      <c r="U41"/>
      <c r="V41"/>
      <c r="X41" s="32"/>
      <c r="Y41" s="20"/>
      <c r="Z41" s="20"/>
      <c r="AA41" s="20"/>
      <c r="AB41" s="20"/>
      <c r="AC41" s="20"/>
      <c r="AD41" s="17"/>
      <c r="AE41" s="17"/>
      <c r="AF41" s="20"/>
      <c r="AG41" s="17"/>
      <c r="AH41" s="20"/>
      <c r="AI41" s="17"/>
      <c r="AJ41" s="20"/>
      <c r="AK41" s="17"/>
      <c r="AL41" s="17"/>
      <c r="AM41" s="20"/>
      <c r="AN41" s="20"/>
      <c r="AO41" s="20"/>
      <c r="AP41" s="20"/>
      <c r="AQ41" s="17"/>
      <c r="AR41" s="17"/>
      <c r="AS41" s="20"/>
      <c r="AT41" s="17"/>
      <c r="AU41" s="17"/>
      <c r="AV41" s="17"/>
      <c r="AW41" s="17"/>
      <c r="AX41" s="17"/>
      <c r="AY41" s="17"/>
      <c r="AZ41" s="17"/>
      <c r="BA41" s="17"/>
      <c r="BB41" s="20"/>
      <c r="BC41" s="17"/>
      <c r="BD41" s="20"/>
      <c r="BE41" s="17"/>
      <c r="BF41" s="20"/>
      <c r="BG41" s="20"/>
      <c r="BH41" s="20"/>
      <c r="BI41" s="20"/>
    </row>
    <row r="42" spans="3:61" s="30" customFormat="1" ht="18" x14ac:dyDescent="0.35">
      <c r="C42" s="31"/>
      <c r="D42" s="31"/>
      <c r="E42" s="31"/>
      <c r="F42" s="19"/>
      <c r="G42" s="18"/>
      <c r="H42" s="18"/>
      <c r="I42" s="18"/>
      <c r="J42" s="18"/>
      <c r="K42" s="18"/>
      <c r="L42" s="18"/>
      <c r="M42" s="18"/>
      <c r="N42" s="18"/>
      <c r="P42"/>
      <c r="Q42"/>
      <c r="R42"/>
      <c r="S42"/>
      <c r="T42"/>
      <c r="U42"/>
      <c r="V42"/>
      <c r="X42" s="32"/>
      <c r="Y42" s="20"/>
      <c r="Z42" s="20"/>
      <c r="AA42" s="20"/>
      <c r="AB42" s="20"/>
      <c r="AC42" s="20"/>
      <c r="AD42" s="17"/>
      <c r="AE42" s="17"/>
      <c r="AF42" s="20"/>
      <c r="AG42" s="17"/>
      <c r="AH42" s="20"/>
      <c r="AI42" s="17"/>
      <c r="AJ42" s="20"/>
      <c r="AK42" s="17"/>
      <c r="AL42" s="17"/>
      <c r="AM42" s="20"/>
      <c r="AN42" s="20"/>
      <c r="AO42" s="20"/>
      <c r="AP42" s="20"/>
      <c r="AQ42" s="17"/>
      <c r="AR42" s="17"/>
      <c r="AS42" s="20"/>
      <c r="AT42" s="17"/>
      <c r="AU42" s="17"/>
      <c r="AV42" s="17"/>
      <c r="AW42" s="17"/>
      <c r="AX42" s="17"/>
      <c r="AY42" s="17"/>
      <c r="AZ42" s="17"/>
      <c r="BA42" s="17"/>
      <c r="BB42" s="20"/>
      <c r="BC42" s="17"/>
      <c r="BD42" s="20"/>
      <c r="BE42" s="17"/>
      <c r="BF42" s="20"/>
      <c r="BG42" s="20"/>
      <c r="BH42" s="20"/>
      <c r="BI42" s="20"/>
    </row>
    <row r="43" spans="3:61" s="30" customFormat="1" ht="18" x14ac:dyDescent="0.35">
      <c r="C43" s="31"/>
      <c r="D43" s="31"/>
      <c r="E43" s="31"/>
      <c r="F43" s="19"/>
      <c r="G43" s="18"/>
      <c r="H43" s="18"/>
      <c r="I43" s="18"/>
      <c r="J43" s="18"/>
      <c r="K43" s="18"/>
      <c r="L43" s="18"/>
      <c r="M43" s="18"/>
      <c r="N43" s="18"/>
      <c r="P43"/>
      <c r="Q43"/>
      <c r="R43"/>
      <c r="S43"/>
      <c r="T43"/>
      <c r="U43"/>
      <c r="V43"/>
      <c r="X43" s="32"/>
      <c r="Y43" s="20"/>
      <c r="Z43" s="20"/>
      <c r="AA43" s="20"/>
      <c r="AB43" s="20"/>
      <c r="AC43" s="20"/>
      <c r="AD43" s="17"/>
      <c r="AE43" s="17"/>
      <c r="AF43" s="20"/>
      <c r="AG43" s="17"/>
      <c r="AH43" s="20"/>
      <c r="AI43" s="17"/>
      <c r="AJ43" s="20"/>
      <c r="AK43" s="17"/>
      <c r="AL43" s="17"/>
      <c r="AM43" s="20"/>
      <c r="AN43" s="20"/>
      <c r="AO43" s="20"/>
      <c r="AP43" s="20"/>
      <c r="AQ43" s="17"/>
      <c r="AR43" s="17"/>
      <c r="AS43" s="20"/>
      <c r="AT43" s="17"/>
      <c r="AU43" s="17"/>
      <c r="AV43" s="17"/>
      <c r="AW43" s="17"/>
      <c r="AX43" s="17"/>
      <c r="AY43" s="17"/>
      <c r="AZ43" s="17"/>
      <c r="BA43" s="17"/>
      <c r="BB43" s="20"/>
      <c r="BC43" s="17"/>
      <c r="BD43" s="20"/>
      <c r="BE43" s="17"/>
      <c r="BF43" s="20"/>
      <c r="BG43" s="20"/>
      <c r="BH43" s="20"/>
      <c r="BI43" s="20"/>
    </row>
    <row r="44" spans="3:61" s="30" customFormat="1" ht="18" x14ac:dyDescent="0.35">
      <c r="C44" s="31"/>
      <c r="D44" s="31"/>
      <c r="E44" s="31"/>
      <c r="F44" s="19"/>
      <c r="G44" s="18"/>
      <c r="H44" s="18"/>
      <c r="I44" s="18"/>
      <c r="J44" s="18"/>
      <c r="K44" s="18"/>
      <c r="L44" s="18"/>
      <c r="M44" s="18"/>
      <c r="N44" s="18"/>
      <c r="P44"/>
      <c r="Q44"/>
      <c r="R44"/>
      <c r="S44"/>
      <c r="T44"/>
      <c r="U44"/>
      <c r="V44"/>
      <c r="X44" s="32"/>
      <c r="Y44" s="20"/>
      <c r="Z44" s="20"/>
      <c r="AA44" s="20"/>
      <c r="AB44" s="20"/>
      <c r="AC44" s="20"/>
      <c r="AD44" s="17"/>
      <c r="AE44" s="17"/>
      <c r="AF44" s="20"/>
      <c r="AG44" s="17"/>
      <c r="AH44" s="20"/>
      <c r="AI44" s="17"/>
      <c r="AJ44" s="20"/>
      <c r="AK44" s="17"/>
      <c r="AL44" s="17"/>
      <c r="AM44" s="20"/>
      <c r="AN44" s="20"/>
      <c r="AO44" s="20"/>
      <c r="AP44" s="20"/>
      <c r="AQ44" s="17"/>
      <c r="AR44" s="17"/>
      <c r="AS44" s="20"/>
      <c r="AT44" s="17"/>
      <c r="AU44" s="17"/>
      <c r="AV44" s="17"/>
      <c r="AW44" s="17"/>
      <c r="AX44" s="17"/>
      <c r="AY44" s="17"/>
      <c r="AZ44" s="17"/>
      <c r="BA44" s="17"/>
      <c r="BB44" s="20"/>
      <c r="BC44" s="17"/>
      <c r="BD44" s="20"/>
      <c r="BE44" s="17"/>
      <c r="BF44" s="20"/>
      <c r="BG44" s="20"/>
      <c r="BH44" s="20"/>
      <c r="BI44" s="20"/>
    </row>
    <row r="45" spans="3:61" s="30" customFormat="1" ht="18" x14ac:dyDescent="0.35">
      <c r="C45" s="31"/>
      <c r="D45" s="31"/>
      <c r="E45" s="31"/>
      <c r="F45" s="19"/>
      <c r="G45" s="18"/>
      <c r="H45" s="18"/>
      <c r="I45" s="18"/>
      <c r="J45" s="18"/>
      <c r="K45" s="18"/>
      <c r="L45" s="18"/>
      <c r="M45" s="18"/>
      <c r="N45" s="18"/>
      <c r="P45"/>
      <c r="Q45"/>
      <c r="R45"/>
      <c r="S45"/>
      <c r="T45"/>
      <c r="U45"/>
      <c r="V45"/>
      <c r="X45" s="33"/>
      <c r="Y45" s="20"/>
      <c r="Z45" s="20"/>
      <c r="AA45" s="20"/>
      <c r="AB45" s="20"/>
      <c r="AC45" s="20"/>
      <c r="AD45" s="17"/>
      <c r="AE45" s="17"/>
      <c r="AF45" s="20"/>
      <c r="AG45" s="17"/>
      <c r="AH45" s="20"/>
      <c r="AI45" s="17"/>
      <c r="AJ45" s="20"/>
      <c r="AK45" s="17"/>
      <c r="AL45" s="17"/>
      <c r="AM45" s="20"/>
      <c r="AN45" s="20"/>
      <c r="AO45" s="20"/>
      <c r="AP45" s="20"/>
      <c r="AQ45" s="17"/>
      <c r="AR45" s="17"/>
      <c r="AS45" s="20"/>
      <c r="AT45" s="17"/>
      <c r="AU45" s="17"/>
      <c r="AV45" s="17"/>
      <c r="AW45" s="17"/>
      <c r="AX45" s="17"/>
      <c r="AY45" s="17"/>
      <c r="AZ45" s="17"/>
      <c r="BA45" s="17"/>
      <c r="BB45" s="20"/>
      <c r="BC45" s="17"/>
      <c r="BD45" s="20"/>
      <c r="BE45" s="17"/>
      <c r="BF45" s="20"/>
      <c r="BG45" s="20"/>
      <c r="BH45" s="20"/>
      <c r="BI45" s="20"/>
    </row>
    <row r="46" spans="3:61" s="30" customFormat="1" ht="18" x14ac:dyDescent="0.35">
      <c r="C46" s="31"/>
      <c r="D46" s="31"/>
      <c r="E46" s="31"/>
      <c r="F46" s="19"/>
      <c r="G46" s="18"/>
      <c r="H46" s="18"/>
      <c r="I46" s="18"/>
      <c r="J46" s="18"/>
      <c r="K46" s="18"/>
      <c r="L46" s="18"/>
      <c r="M46" s="18"/>
      <c r="N46" s="18"/>
      <c r="P46"/>
      <c r="Q46"/>
      <c r="R46"/>
      <c r="S46"/>
      <c r="T46"/>
      <c r="U46"/>
      <c r="V46"/>
      <c r="X46" s="33"/>
      <c r="Y46" s="20"/>
      <c r="Z46" s="20"/>
      <c r="AA46" s="20"/>
      <c r="AB46" s="20"/>
      <c r="AC46" s="20"/>
      <c r="AD46" s="17"/>
      <c r="AE46" s="17"/>
      <c r="AF46" s="20"/>
      <c r="AG46" s="17"/>
      <c r="AH46" s="20"/>
      <c r="AI46" s="17"/>
      <c r="AJ46" s="20"/>
      <c r="AK46" s="17"/>
      <c r="AL46" s="17"/>
      <c r="AM46" s="20"/>
      <c r="AN46" s="20"/>
      <c r="AO46" s="20"/>
      <c r="AP46" s="20"/>
      <c r="AQ46" s="17"/>
      <c r="AR46" s="17"/>
      <c r="AS46" s="20"/>
      <c r="AT46" s="17"/>
      <c r="AU46" s="17"/>
      <c r="AV46" s="17"/>
      <c r="AW46" s="17"/>
      <c r="AX46" s="17"/>
      <c r="AY46" s="17"/>
      <c r="AZ46" s="17"/>
      <c r="BA46" s="17"/>
      <c r="BB46" s="20"/>
      <c r="BC46" s="17"/>
      <c r="BD46" s="20"/>
      <c r="BE46" s="17"/>
      <c r="BF46" s="20"/>
      <c r="BG46" s="20"/>
      <c r="BH46" s="20"/>
      <c r="BI46" s="20"/>
    </row>
    <row r="47" spans="3:61" s="30" customFormat="1" ht="18" x14ac:dyDescent="0.35">
      <c r="C47" s="31"/>
      <c r="D47" s="31"/>
      <c r="E47" s="31"/>
      <c r="F47" s="19"/>
      <c r="G47" s="18"/>
      <c r="H47" s="18"/>
      <c r="I47" s="18"/>
      <c r="J47" s="18"/>
      <c r="K47" s="18"/>
      <c r="L47" s="18"/>
      <c r="M47" s="18"/>
      <c r="N47" s="18"/>
      <c r="P47"/>
      <c r="Q47"/>
      <c r="R47"/>
      <c r="S47"/>
      <c r="T47"/>
      <c r="U47"/>
      <c r="V47"/>
      <c r="X47" s="33"/>
      <c r="Y47" s="20"/>
      <c r="Z47" s="20"/>
      <c r="AA47" s="20"/>
      <c r="AB47" s="20"/>
      <c r="AC47" s="20"/>
      <c r="AD47" s="17"/>
      <c r="AE47" s="17"/>
      <c r="AF47" s="20"/>
      <c r="AG47" s="17"/>
      <c r="AH47" s="20"/>
      <c r="AI47" s="17"/>
      <c r="AJ47" s="20"/>
      <c r="AK47" s="17"/>
      <c r="AL47" s="17"/>
      <c r="AM47" s="20"/>
      <c r="AN47" s="20"/>
      <c r="AO47" s="20"/>
      <c r="AP47" s="20"/>
      <c r="AQ47" s="17"/>
      <c r="AR47" s="17"/>
      <c r="AS47" s="20"/>
      <c r="AT47" s="17"/>
      <c r="AU47" s="17"/>
      <c r="AV47" s="17"/>
      <c r="AW47" s="17"/>
      <c r="AX47" s="17"/>
      <c r="AY47" s="17"/>
      <c r="AZ47" s="17"/>
      <c r="BA47" s="17"/>
      <c r="BB47" s="20"/>
      <c r="BC47" s="17"/>
      <c r="BD47" s="20"/>
      <c r="BE47" s="17"/>
      <c r="BF47" s="20"/>
      <c r="BG47" s="20"/>
      <c r="BH47" s="20"/>
      <c r="BI47" s="20"/>
    </row>
    <row r="48" spans="3:61" s="30" customFormat="1" ht="18" x14ac:dyDescent="0.35">
      <c r="C48" s="31"/>
      <c r="D48" s="31"/>
      <c r="E48" s="31"/>
      <c r="F48" s="19"/>
      <c r="G48" s="18"/>
      <c r="H48" s="18"/>
      <c r="I48" s="18"/>
      <c r="J48" s="18"/>
      <c r="K48" s="18"/>
      <c r="L48" s="18"/>
      <c r="M48" s="18"/>
      <c r="N48" s="18"/>
      <c r="P48"/>
      <c r="Q48"/>
      <c r="R48"/>
      <c r="S48"/>
      <c r="T48"/>
      <c r="U48"/>
      <c r="V48"/>
      <c r="X48" s="33"/>
      <c r="Y48" s="20"/>
      <c r="Z48" s="20"/>
      <c r="AA48" s="20"/>
      <c r="AB48" s="20"/>
      <c r="AC48" s="20"/>
      <c r="AD48" s="17"/>
      <c r="AE48" s="17"/>
      <c r="AF48" s="20"/>
      <c r="AG48" s="17"/>
      <c r="AH48" s="20"/>
      <c r="AI48" s="17"/>
      <c r="AJ48" s="20"/>
      <c r="AK48" s="17"/>
      <c r="AL48" s="17"/>
      <c r="AM48" s="20"/>
      <c r="AN48" s="20"/>
      <c r="AO48" s="20"/>
      <c r="AP48" s="20"/>
      <c r="AQ48" s="17"/>
      <c r="AR48" s="17"/>
      <c r="AS48" s="20"/>
      <c r="AT48" s="17"/>
      <c r="AU48" s="17"/>
      <c r="AV48" s="17"/>
      <c r="AW48" s="17"/>
      <c r="AX48" s="17"/>
      <c r="AY48" s="17"/>
      <c r="AZ48" s="17"/>
      <c r="BA48" s="17"/>
      <c r="BB48" s="20"/>
      <c r="BC48" s="17"/>
      <c r="BD48" s="20"/>
      <c r="BE48" s="17"/>
      <c r="BF48" s="20"/>
      <c r="BG48" s="20"/>
      <c r="BH48" s="20"/>
      <c r="BI48" s="20"/>
    </row>
    <row r="49" spans="3:61" s="30" customFormat="1" ht="18" x14ac:dyDescent="0.35">
      <c r="C49" s="31"/>
      <c r="D49" s="31"/>
      <c r="E49" s="31"/>
      <c r="F49" s="19"/>
      <c r="G49" s="18"/>
      <c r="H49" s="18"/>
      <c r="I49" s="18"/>
      <c r="J49" s="18"/>
      <c r="K49" s="18"/>
      <c r="L49" s="18"/>
      <c r="M49" s="18"/>
      <c r="N49" s="18"/>
      <c r="P49"/>
      <c r="Q49"/>
      <c r="R49"/>
      <c r="S49"/>
      <c r="T49"/>
      <c r="U49"/>
      <c r="V49"/>
      <c r="X49" s="33"/>
      <c r="Y49" s="20"/>
      <c r="Z49" s="20"/>
      <c r="AA49" s="20"/>
      <c r="AB49" s="20"/>
      <c r="AC49" s="20"/>
      <c r="AD49" s="17"/>
      <c r="AE49" s="17"/>
      <c r="AF49" s="20"/>
      <c r="AG49" s="17"/>
      <c r="AH49" s="20"/>
      <c r="AI49" s="17"/>
      <c r="AJ49" s="20"/>
      <c r="AK49" s="17"/>
      <c r="AL49" s="17"/>
      <c r="AM49" s="20"/>
      <c r="AN49" s="20"/>
      <c r="AO49" s="20"/>
      <c r="AP49" s="20"/>
      <c r="AQ49" s="17"/>
      <c r="AR49" s="17"/>
      <c r="AS49" s="20"/>
      <c r="AT49" s="17"/>
      <c r="AU49" s="17"/>
      <c r="AV49" s="17"/>
      <c r="AW49" s="17"/>
      <c r="AX49" s="17"/>
      <c r="AY49" s="17"/>
      <c r="AZ49" s="17"/>
      <c r="BA49" s="17"/>
      <c r="BB49" s="20"/>
      <c r="BC49" s="17"/>
      <c r="BD49" s="20"/>
      <c r="BE49" s="17"/>
      <c r="BF49" s="20"/>
      <c r="BG49" s="20"/>
      <c r="BH49" s="20"/>
      <c r="BI49" s="20"/>
    </row>
    <row r="50" spans="3:61" s="30" customFormat="1" ht="18" x14ac:dyDescent="0.35">
      <c r="C50" s="31"/>
      <c r="D50" s="31"/>
      <c r="E50" s="31"/>
      <c r="F50" s="19"/>
      <c r="G50" s="18"/>
      <c r="H50" s="18"/>
      <c r="I50" s="18"/>
      <c r="J50" s="18"/>
      <c r="K50" s="18"/>
      <c r="L50" s="18"/>
      <c r="M50" s="18"/>
      <c r="N50" s="18"/>
      <c r="P50"/>
      <c r="Q50"/>
      <c r="R50"/>
      <c r="S50"/>
      <c r="T50"/>
      <c r="U50"/>
      <c r="V50"/>
      <c r="X50" s="33"/>
      <c r="Y50" s="20"/>
      <c r="Z50" s="20"/>
      <c r="AA50" s="20"/>
      <c r="AB50" s="20"/>
      <c r="AC50" s="20"/>
      <c r="AD50" s="17"/>
      <c r="AE50" s="17"/>
      <c r="AF50" s="20"/>
      <c r="AG50" s="17"/>
      <c r="AH50" s="20"/>
      <c r="AI50" s="17"/>
      <c r="AJ50" s="20"/>
      <c r="AK50" s="17"/>
      <c r="AL50" s="17"/>
      <c r="AM50" s="20"/>
      <c r="AN50" s="20"/>
      <c r="AO50" s="20"/>
      <c r="AP50" s="20"/>
      <c r="AQ50" s="17"/>
      <c r="AR50" s="17"/>
      <c r="AS50" s="20"/>
      <c r="AT50" s="17"/>
      <c r="AU50" s="17"/>
      <c r="AV50" s="17"/>
      <c r="AW50" s="17"/>
      <c r="AX50" s="17"/>
      <c r="AY50" s="17"/>
      <c r="AZ50" s="17"/>
      <c r="BA50" s="17"/>
      <c r="BB50" s="20"/>
      <c r="BC50" s="17"/>
      <c r="BD50" s="20"/>
      <c r="BE50" s="17"/>
      <c r="BF50" s="20"/>
      <c r="BG50" s="20"/>
      <c r="BH50" s="20"/>
      <c r="BI50" s="20"/>
    </row>
    <row r="51" spans="3:61" s="30" customFormat="1" ht="18" x14ac:dyDescent="0.35">
      <c r="C51" s="31"/>
      <c r="D51" s="31"/>
      <c r="E51" s="31"/>
      <c r="F51" s="19"/>
      <c r="G51" s="18"/>
      <c r="H51" s="18"/>
      <c r="I51" s="18"/>
      <c r="J51" s="18"/>
      <c r="K51" s="18"/>
      <c r="L51" s="18"/>
      <c r="M51" s="18"/>
      <c r="N51" s="18"/>
      <c r="P51"/>
      <c r="Q51"/>
      <c r="R51"/>
      <c r="S51"/>
      <c r="T51"/>
      <c r="U51"/>
      <c r="V51"/>
      <c r="X51" s="33"/>
      <c r="Y51" s="20"/>
      <c r="Z51" s="20"/>
      <c r="AA51" s="20"/>
      <c r="AB51" s="20"/>
      <c r="AC51" s="20"/>
      <c r="AD51" s="17"/>
      <c r="AE51" s="17"/>
      <c r="AF51" s="20"/>
      <c r="AG51" s="17"/>
      <c r="AH51" s="20"/>
      <c r="AI51" s="17"/>
      <c r="AJ51" s="20"/>
      <c r="AK51" s="17"/>
      <c r="AL51" s="17"/>
      <c r="AM51" s="20"/>
      <c r="AN51" s="20"/>
      <c r="AO51" s="20"/>
      <c r="AP51" s="20"/>
      <c r="AQ51" s="17"/>
      <c r="AR51" s="17"/>
      <c r="AS51" s="20"/>
      <c r="AT51" s="17"/>
      <c r="AU51" s="17"/>
      <c r="AV51" s="17"/>
      <c r="AW51" s="17"/>
      <c r="AX51" s="17"/>
      <c r="AY51" s="17"/>
      <c r="AZ51" s="17"/>
      <c r="BA51" s="17"/>
      <c r="BB51" s="20"/>
      <c r="BC51" s="17"/>
      <c r="BD51" s="20"/>
      <c r="BE51" s="17"/>
      <c r="BF51" s="20"/>
      <c r="BG51" s="20"/>
      <c r="BH51" s="20"/>
      <c r="BI51" s="20"/>
    </row>
    <row r="52" spans="3:61" s="30" customFormat="1" ht="18" x14ac:dyDescent="0.35">
      <c r="C52" s="31"/>
      <c r="D52" s="31"/>
      <c r="E52" s="31"/>
      <c r="F52" s="19"/>
      <c r="G52" s="18"/>
      <c r="H52" s="18"/>
      <c r="I52" s="18"/>
      <c r="J52" s="18"/>
      <c r="K52" s="18"/>
      <c r="L52" s="18"/>
      <c r="M52" s="18"/>
      <c r="N52" s="18"/>
      <c r="P52"/>
      <c r="Q52"/>
      <c r="R52"/>
      <c r="S52"/>
      <c r="T52"/>
      <c r="U52"/>
      <c r="V52"/>
      <c r="X52" s="33"/>
      <c r="Y52" s="20"/>
      <c r="Z52" s="20"/>
      <c r="AA52" s="20"/>
      <c r="AB52" s="20"/>
      <c r="AC52" s="20"/>
      <c r="AD52" s="17"/>
      <c r="AE52" s="17"/>
      <c r="AF52" s="20"/>
      <c r="AG52" s="17"/>
      <c r="AH52" s="20"/>
      <c r="AI52" s="17"/>
      <c r="AJ52" s="20"/>
      <c r="AK52" s="17"/>
      <c r="AL52" s="17"/>
      <c r="AM52" s="20"/>
      <c r="AN52" s="20"/>
      <c r="AO52" s="20"/>
      <c r="AP52" s="20"/>
      <c r="AQ52" s="17"/>
      <c r="AR52" s="17"/>
      <c r="AS52" s="20"/>
      <c r="AT52" s="17"/>
      <c r="AU52" s="17"/>
      <c r="AV52" s="17"/>
      <c r="AW52" s="17"/>
      <c r="AX52" s="17"/>
      <c r="AY52" s="17"/>
      <c r="AZ52" s="17"/>
      <c r="BA52" s="17"/>
      <c r="BB52" s="20"/>
      <c r="BC52" s="17"/>
      <c r="BD52" s="20"/>
      <c r="BE52" s="17"/>
      <c r="BF52" s="20"/>
      <c r="BG52" s="20"/>
      <c r="BH52" s="20"/>
      <c r="BI52" s="20"/>
    </row>
    <row r="53" spans="3:61" s="30" customFormat="1" ht="18" x14ac:dyDescent="0.35">
      <c r="C53" s="31"/>
      <c r="D53" s="31"/>
      <c r="E53" s="31"/>
      <c r="F53" s="19"/>
      <c r="G53" s="18"/>
      <c r="H53" s="18"/>
      <c r="I53" s="18"/>
      <c r="J53" s="18"/>
      <c r="K53" s="18"/>
      <c r="L53" s="18"/>
      <c r="M53" s="18"/>
      <c r="N53" s="18"/>
      <c r="P53"/>
      <c r="Q53"/>
      <c r="R53"/>
      <c r="S53"/>
      <c r="T53"/>
      <c r="U53"/>
      <c r="V53"/>
      <c r="X53" s="33"/>
      <c r="Y53" s="20"/>
      <c r="Z53" s="20"/>
      <c r="AA53" s="20"/>
      <c r="AB53" s="20"/>
      <c r="AC53" s="20"/>
      <c r="AD53" s="17"/>
      <c r="AE53" s="17"/>
      <c r="AF53" s="20"/>
      <c r="AG53" s="17"/>
      <c r="AH53" s="20"/>
      <c r="AI53" s="17"/>
      <c r="AJ53" s="20"/>
      <c r="AK53" s="17"/>
      <c r="AL53" s="17"/>
      <c r="AM53" s="20"/>
      <c r="AN53" s="20"/>
      <c r="AO53" s="20"/>
      <c r="AP53" s="20"/>
      <c r="AQ53" s="17"/>
      <c r="AR53" s="17"/>
      <c r="AS53" s="20"/>
      <c r="AT53" s="17"/>
      <c r="AU53" s="17"/>
      <c r="AV53" s="17"/>
      <c r="AW53" s="17"/>
      <c r="AX53" s="17"/>
      <c r="AY53" s="17"/>
      <c r="AZ53" s="17"/>
      <c r="BA53" s="17"/>
      <c r="BB53" s="20"/>
      <c r="BC53" s="17"/>
      <c r="BD53" s="20"/>
      <c r="BE53" s="17"/>
      <c r="BF53" s="20"/>
      <c r="BG53" s="20"/>
      <c r="BH53" s="20"/>
      <c r="BI53" s="20"/>
    </row>
    <row r="54" spans="3:61" s="30" customFormat="1" ht="18" x14ac:dyDescent="0.35">
      <c r="C54" s="31"/>
      <c r="D54" s="31"/>
      <c r="E54" s="31"/>
      <c r="F54" s="19"/>
      <c r="G54" s="18"/>
      <c r="H54" s="18"/>
      <c r="I54" s="18"/>
      <c r="J54" s="18"/>
      <c r="K54" s="18"/>
      <c r="L54" s="18"/>
      <c r="M54" s="18"/>
      <c r="N54" s="18"/>
      <c r="P54"/>
      <c r="Q54"/>
      <c r="R54"/>
      <c r="S54"/>
      <c r="T54"/>
      <c r="U54"/>
      <c r="V54"/>
      <c r="X54" s="33"/>
      <c r="Y54" s="20"/>
      <c r="Z54" s="20"/>
      <c r="AA54" s="20"/>
      <c r="AB54" s="20"/>
      <c r="AC54" s="20"/>
      <c r="AD54" s="17"/>
      <c r="AE54" s="17"/>
      <c r="AF54" s="20"/>
      <c r="AG54" s="17"/>
      <c r="AH54" s="20"/>
      <c r="AI54" s="17"/>
      <c r="AJ54" s="20"/>
      <c r="AK54" s="17"/>
      <c r="AL54" s="17"/>
      <c r="AM54" s="20"/>
      <c r="AN54" s="20"/>
      <c r="AO54" s="20"/>
      <c r="AP54" s="20"/>
      <c r="AQ54" s="17"/>
      <c r="AR54" s="17"/>
      <c r="AS54" s="20"/>
      <c r="AT54" s="17"/>
      <c r="AU54" s="17"/>
      <c r="AV54" s="17"/>
      <c r="AW54" s="17"/>
      <c r="AX54" s="17"/>
      <c r="AY54" s="17"/>
      <c r="AZ54" s="17"/>
      <c r="BA54" s="17"/>
      <c r="BB54" s="20"/>
      <c r="BC54" s="17"/>
      <c r="BD54" s="20"/>
      <c r="BE54" s="17"/>
      <c r="BF54" s="20"/>
      <c r="BG54" s="20"/>
      <c r="BH54" s="20"/>
      <c r="BI54" s="20"/>
    </row>
    <row r="55" spans="3:61" s="30" customFormat="1" ht="18" x14ac:dyDescent="0.35">
      <c r="C55" s="31"/>
      <c r="D55" s="31"/>
      <c r="E55" s="31"/>
      <c r="F55" s="19"/>
      <c r="G55" s="18"/>
      <c r="H55" s="18"/>
      <c r="I55" s="18"/>
      <c r="J55" s="18"/>
      <c r="K55" s="18"/>
      <c r="L55" s="18"/>
      <c r="M55" s="18"/>
      <c r="N55" s="18"/>
      <c r="P55"/>
      <c r="Q55"/>
      <c r="R55"/>
      <c r="S55"/>
      <c r="T55"/>
      <c r="U55"/>
      <c r="V55"/>
      <c r="X55" s="33"/>
      <c r="Y55" s="20"/>
      <c r="Z55" s="20"/>
      <c r="AA55" s="20"/>
      <c r="AB55" s="20"/>
      <c r="AC55" s="20"/>
      <c r="AD55" s="17"/>
      <c r="AE55" s="17"/>
      <c r="AF55" s="20"/>
      <c r="AG55" s="17"/>
      <c r="AH55" s="20"/>
      <c r="AI55" s="17"/>
      <c r="AJ55" s="20"/>
      <c r="AK55" s="17"/>
      <c r="AL55" s="17"/>
      <c r="AM55" s="20"/>
      <c r="AN55" s="20"/>
      <c r="AO55" s="20"/>
      <c r="AP55" s="20"/>
      <c r="AQ55" s="17"/>
      <c r="AR55" s="17"/>
      <c r="AS55" s="20"/>
      <c r="AT55" s="17"/>
      <c r="AU55" s="17"/>
      <c r="AV55" s="17"/>
      <c r="AW55" s="17"/>
      <c r="AX55" s="17"/>
      <c r="AY55" s="17"/>
      <c r="AZ55" s="17"/>
      <c r="BA55" s="17"/>
      <c r="BB55" s="20"/>
      <c r="BC55" s="17"/>
      <c r="BD55" s="20"/>
      <c r="BE55" s="17"/>
      <c r="BF55" s="20"/>
      <c r="BG55" s="20"/>
      <c r="BH55" s="20"/>
      <c r="BI55" s="20"/>
    </row>
    <row r="56" spans="3:61" s="30" customFormat="1" ht="18" x14ac:dyDescent="0.35">
      <c r="C56" s="31"/>
      <c r="D56" s="31"/>
      <c r="E56" s="31"/>
      <c r="F56" s="19"/>
      <c r="G56" s="18"/>
      <c r="H56" s="18"/>
      <c r="I56" s="18"/>
      <c r="J56" s="18"/>
      <c r="K56" s="18"/>
      <c r="L56" s="18"/>
      <c r="M56" s="18"/>
      <c r="N56" s="18"/>
      <c r="P56"/>
      <c r="Q56"/>
      <c r="R56"/>
      <c r="S56"/>
      <c r="T56"/>
      <c r="U56"/>
      <c r="V56"/>
      <c r="X56" s="33"/>
      <c r="Y56" s="20"/>
      <c r="Z56" s="20"/>
      <c r="AA56" s="20"/>
      <c r="AB56" s="20"/>
      <c r="AC56" s="20"/>
      <c r="AD56" s="17"/>
      <c r="AE56" s="17"/>
      <c r="AF56" s="20"/>
      <c r="AG56" s="17"/>
      <c r="AH56" s="20"/>
      <c r="AI56" s="17"/>
      <c r="AJ56" s="20"/>
      <c r="AK56" s="17"/>
      <c r="AL56" s="17"/>
      <c r="AM56" s="20"/>
      <c r="AN56" s="20"/>
      <c r="AO56" s="20"/>
      <c r="AP56" s="20"/>
      <c r="AQ56" s="17"/>
      <c r="AR56" s="17"/>
      <c r="AS56" s="20"/>
      <c r="AT56" s="17"/>
      <c r="AU56" s="17"/>
      <c r="AV56" s="17"/>
      <c r="AW56" s="17"/>
      <c r="AX56" s="17"/>
      <c r="AY56" s="17"/>
      <c r="AZ56" s="17"/>
      <c r="BA56" s="17"/>
      <c r="BB56" s="20"/>
      <c r="BC56" s="17"/>
      <c r="BD56" s="20"/>
      <c r="BE56" s="17"/>
      <c r="BF56" s="20"/>
      <c r="BG56" s="20"/>
      <c r="BH56" s="20"/>
      <c r="BI56" s="20"/>
    </row>
    <row r="57" spans="3:61" s="30" customFormat="1" ht="18" x14ac:dyDescent="0.35">
      <c r="C57" s="31"/>
      <c r="D57" s="31"/>
      <c r="E57" s="31"/>
      <c r="F57" s="19"/>
      <c r="G57" s="18"/>
      <c r="H57" s="18"/>
      <c r="I57" s="18"/>
      <c r="J57" s="18"/>
      <c r="K57" s="18"/>
      <c r="L57" s="18"/>
      <c r="M57" s="18"/>
      <c r="N57" s="18"/>
      <c r="P57"/>
      <c r="Q57"/>
      <c r="R57"/>
      <c r="S57"/>
      <c r="T57"/>
      <c r="U57"/>
      <c r="V57"/>
      <c r="X57" s="33"/>
      <c r="Y57" s="20"/>
      <c r="Z57" s="20"/>
      <c r="AA57" s="20"/>
      <c r="AB57" s="20"/>
      <c r="AC57" s="20"/>
      <c r="AD57" s="17"/>
      <c r="AE57" s="17"/>
      <c r="AF57" s="20"/>
      <c r="AG57" s="17"/>
      <c r="AH57" s="20"/>
      <c r="AI57" s="17"/>
      <c r="AJ57" s="20"/>
      <c r="AK57" s="17"/>
      <c r="AL57" s="17"/>
      <c r="AM57" s="20"/>
      <c r="AN57" s="20"/>
      <c r="AO57" s="20"/>
      <c r="AP57" s="20"/>
      <c r="AQ57" s="17"/>
      <c r="AR57" s="17"/>
      <c r="AS57" s="20"/>
      <c r="AT57" s="17"/>
      <c r="AU57" s="17"/>
      <c r="AV57" s="17"/>
      <c r="AW57" s="17"/>
      <c r="AX57" s="17"/>
      <c r="AY57" s="17"/>
      <c r="AZ57" s="17"/>
      <c r="BA57" s="17"/>
      <c r="BB57" s="20"/>
      <c r="BC57" s="17"/>
      <c r="BD57" s="20"/>
      <c r="BE57" s="17"/>
      <c r="BF57" s="20"/>
      <c r="BG57" s="20"/>
      <c r="BH57" s="20"/>
      <c r="BI57" s="20"/>
    </row>
    <row r="58" spans="3:61" s="30" customFormat="1" ht="18" x14ac:dyDescent="0.35">
      <c r="C58" s="31"/>
      <c r="D58" s="31"/>
      <c r="E58" s="31"/>
      <c r="F58" s="19"/>
      <c r="G58" s="18"/>
      <c r="H58" s="18"/>
      <c r="I58" s="18"/>
      <c r="J58" s="18"/>
      <c r="K58" s="18"/>
      <c r="L58" s="18"/>
      <c r="M58" s="18"/>
      <c r="N58" s="18"/>
      <c r="P58"/>
      <c r="Q58"/>
      <c r="R58"/>
      <c r="S58"/>
      <c r="T58"/>
      <c r="U58"/>
      <c r="V58"/>
      <c r="X58" s="33"/>
      <c r="Y58" s="20"/>
      <c r="Z58" s="20"/>
      <c r="AA58" s="20"/>
      <c r="AB58" s="20"/>
      <c r="AC58" s="20"/>
      <c r="AD58" s="17"/>
      <c r="AE58" s="17"/>
      <c r="AF58" s="20"/>
      <c r="AG58" s="17"/>
      <c r="AH58" s="20"/>
      <c r="AI58" s="17"/>
      <c r="AJ58" s="20"/>
      <c r="AK58" s="17"/>
      <c r="AL58" s="17"/>
      <c r="AM58" s="20"/>
      <c r="AN58" s="20"/>
      <c r="AO58" s="20"/>
      <c r="AP58" s="20"/>
      <c r="AQ58" s="17"/>
      <c r="AR58" s="17"/>
      <c r="AS58" s="20"/>
      <c r="AT58" s="17"/>
      <c r="AU58" s="17"/>
      <c r="AV58" s="17"/>
      <c r="AW58" s="17"/>
      <c r="AX58" s="17"/>
      <c r="AY58" s="17"/>
      <c r="AZ58" s="17"/>
      <c r="BA58" s="17"/>
      <c r="BB58" s="20"/>
      <c r="BC58" s="17"/>
      <c r="BD58" s="20"/>
      <c r="BE58" s="17"/>
      <c r="BF58" s="20"/>
      <c r="BG58" s="20"/>
      <c r="BH58" s="20"/>
      <c r="BI58" s="20"/>
    </row>
    <row r="59" spans="3:61" s="30" customFormat="1" ht="18" x14ac:dyDescent="0.35">
      <c r="C59" s="31"/>
      <c r="D59" s="31"/>
      <c r="E59" s="31"/>
      <c r="F59" s="19"/>
      <c r="G59" s="18"/>
      <c r="H59" s="18"/>
      <c r="I59" s="18"/>
      <c r="J59" s="18"/>
      <c r="K59" s="18"/>
      <c r="L59" s="18"/>
      <c r="M59" s="18"/>
      <c r="N59" s="18"/>
      <c r="P59"/>
      <c r="Q59"/>
      <c r="R59"/>
      <c r="S59"/>
      <c r="T59"/>
      <c r="U59"/>
      <c r="V59"/>
      <c r="X59" s="33"/>
      <c r="Y59" s="20"/>
      <c r="Z59" s="20"/>
      <c r="AA59" s="20"/>
      <c r="AB59" s="20"/>
      <c r="AC59" s="20"/>
      <c r="AD59" s="17"/>
      <c r="AE59" s="17"/>
      <c r="AF59" s="20"/>
      <c r="AG59" s="17"/>
      <c r="AH59" s="20"/>
      <c r="AI59" s="17"/>
      <c r="AJ59" s="20"/>
      <c r="AK59" s="17"/>
      <c r="AL59" s="17"/>
      <c r="AM59" s="20"/>
      <c r="AN59" s="20"/>
      <c r="AO59" s="20"/>
      <c r="AP59" s="20"/>
      <c r="AQ59" s="17"/>
      <c r="AR59" s="17"/>
      <c r="AS59" s="20"/>
      <c r="AT59" s="17"/>
      <c r="AU59" s="17"/>
      <c r="AV59" s="17"/>
      <c r="AW59" s="17"/>
      <c r="AX59" s="17"/>
      <c r="AY59" s="17"/>
      <c r="AZ59" s="17"/>
      <c r="BA59" s="17"/>
      <c r="BB59" s="20"/>
      <c r="BC59" s="17"/>
      <c r="BD59" s="20"/>
      <c r="BE59" s="17"/>
      <c r="BF59" s="20"/>
      <c r="BG59" s="20"/>
      <c r="BH59" s="20"/>
      <c r="BI59" s="20"/>
    </row>
    <row r="60" spans="3:61" s="30" customFormat="1" ht="18" x14ac:dyDescent="0.35">
      <c r="C60" s="31"/>
      <c r="D60" s="31"/>
      <c r="E60" s="31"/>
      <c r="F60" s="19"/>
      <c r="G60" s="18"/>
      <c r="H60" s="18"/>
      <c r="I60" s="18"/>
      <c r="J60" s="18"/>
      <c r="K60" s="18"/>
      <c r="L60" s="18"/>
      <c r="M60" s="18"/>
      <c r="N60" s="18"/>
      <c r="P60"/>
      <c r="Q60"/>
      <c r="R60"/>
      <c r="S60"/>
      <c r="T60"/>
      <c r="U60"/>
      <c r="V60"/>
      <c r="X60" s="33"/>
      <c r="Y60" s="20"/>
      <c r="Z60" s="20"/>
      <c r="AA60" s="20"/>
      <c r="AB60" s="20"/>
      <c r="AC60" s="20"/>
      <c r="AD60" s="17"/>
      <c r="AE60" s="17"/>
      <c r="AF60" s="20"/>
      <c r="AG60" s="17"/>
      <c r="AH60" s="20"/>
      <c r="AI60" s="17"/>
      <c r="AJ60" s="20"/>
      <c r="AK60" s="17"/>
      <c r="AL60" s="17"/>
      <c r="AM60" s="20"/>
      <c r="AN60" s="20"/>
      <c r="AO60" s="20"/>
      <c r="AP60" s="20"/>
      <c r="AQ60" s="17"/>
      <c r="AR60" s="17"/>
      <c r="AS60" s="20"/>
      <c r="AT60" s="17"/>
      <c r="AU60" s="17"/>
      <c r="AV60" s="17"/>
      <c r="AW60" s="17"/>
      <c r="AX60" s="17"/>
      <c r="AY60" s="17"/>
      <c r="AZ60" s="17"/>
      <c r="BA60" s="17"/>
      <c r="BB60" s="20"/>
      <c r="BC60" s="17"/>
      <c r="BD60" s="20"/>
      <c r="BE60" s="17"/>
      <c r="BF60" s="20"/>
      <c r="BG60" s="20"/>
      <c r="BH60" s="20"/>
      <c r="BI60" s="20"/>
    </row>
    <row r="61" spans="3:61" s="30" customFormat="1" ht="18" x14ac:dyDescent="0.35">
      <c r="C61" s="31"/>
      <c r="D61" s="31"/>
      <c r="E61" s="31"/>
      <c r="F61" s="19"/>
      <c r="G61" s="18"/>
      <c r="H61" s="18"/>
      <c r="I61" s="18"/>
      <c r="J61" s="18"/>
      <c r="K61" s="18"/>
      <c r="L61" s="18"/>
      <c r="M61" s="18"/>
      <c r="N61" s="18"/>
      <c r="P61"/>
      <c r="Q61"/>
      <c r="R61"/>
      <c r="S61"/>
      <c r="T61"/>
      <c r="U61"/>
      <c r="V61"/>
      <c r="X61" s="33"/>
      <c r="Y61" s="20"/>
      <c r="Z61" s="20"/>
      <c r="AA61" s="20"/>
      <c r="AB61" s="20"/>
      <c r="AC61" s="20"/>
      <c r="AD61" s="17"/>
      <c r="AE61" s="17"/>
      <c r="AF61" s="20"/>
      <c r="AG61" s="17"/>
      <c r="AH61" s="20"/>
      <c r="AI61" s="17"/>
      <c r="AJ61" s="20"/>
      <c r="AK61" s="17"/>
      <c r="AL61" s="17"/>
      <c r="AM61" s="20"/>
      <c r="AN61" s="20"/>
      <c r="AO61" s="20"/>
      <c r="AP61" s="20"/>
      <c r="AQ61" s="17"/>
      <c r="AR61" s="17"/>
      <c r="AS61" s="20"/>
      <c r="AT61" s="17"/>
      <c r="AU61" s="17"/>
      <c r="AV61" s="17"/>
      <c r="AW61" s="17"/>
      <c r="AX61" s="17"/>
      <c r="AY61" s="17"/>
      <c r="AZ61" s="17"/>
      <c r="BA61" s="17"/>
      <c r="BB61" s="20"/>
      <c r="BC61" s="17"/>
      <c r="BD61" s="20"/>
      <c r="BE61" s="17"/>
      <c r="BF61" s="20"/>
      <c r="BG61" s="20"/>
      <c r="BH61" s="20"/>
      <c r="BI61" s="20"/>
    </row>
    <row r="62" spans="3:61" s="30" customFormat="1" ht="18" x14ac:dyDescent="0.35">
      <c r="C62" s="31"/>
      <c r="D62" s="31"/>
      <c r="E62" s="31"/>
      <c r="F62" s="19"/>
      <c r="G62" s="18"/>
      <c r="H62" s="18"/>
      <c r="I62" s="18"/>
      <c r="J62" s="18"/>
      <c r="K62" s="18"/>
      <c r="L62" s="18"/>
      <c r="M62" s="18"/>
      <c r="N62" s="18"/>
      <c r="P62"/>
      <c r="Q62"/>
      <c r="R62"/>
      <c r="S62"/>
      <c r="T62"/>
      <c r="U62"/>
      <c r="V62"/>
      <c r="X62" s="33"/>
      <c r="Y62" s="20"/>
      <c r="Z62" s="20"/>
      <c r="AA62" s="20"/>
      <c r="AB62" s="20"/>
      <c r="AC62" s="20"/>
      <c r="AD62" s="17"/>
      <c r="AE62" s="17"/>
      <c r="AF62" s="20"/>
      <c r="AG62" s="17"/>
      <c r="AH62" s="20"/>
      <c r="AI62" s="17"/>
      <c r="AJ62" s="20"/>
      <c r="AK62" s="17"/>
      <c r="AL62" s="17"/>
      <c r="AM62" s="20"/>
      <c r="AN62" s="20"/>
      <c r="AO62" s="20"/>
      <c r="AP62" s="20"/>
      <c r="AQ62" s="17"/>
      <c r="AR62" s="17"/>
      <c r="AS62" s="20"/>
      <c r="AT62" s="17"/>
      <c r="AU62" s="17"/>
      <c r="AV62" s="17"/>
      <c r="AW62" s="17"/>
      <c r="AX62" s="17"/>
      <c r="AY62" s="17"/>
      <c r="AZ62" s="17"/>
      <c r="BA62" s="17"/>
      <c r="BB62" s="20"/>
      <c r="BC62" s="17"/>
      <c r="BD62" s="20"/>
      <c r="BE62" s="17"/>
      <c r="BF62" s="20"/>
      <c r="BG62" s="20"/>
      <c r="BH62" s="20"/>
      <c r="BI62" s="20"/>
    </row>
    <row r="63" spans="3:61" s="30" customFormat="1" ht="18" x14ac:dyDescent="0.35">
      <c r="C63" s="31"/>
      <c r="D63" s="31"/>
      <c r="E63" s="31"/>
      <c r="F63" s="19"/>
      <c r="G63" s="18"/>
      <c r="H63" s="18"/>
      <c r="I63" s="18"/>
      <c r="J63" s="18"/>
      <c r="K63" s="18"/>
      <c r="L63" s="18"/>
      <c r="M63" s="18"/>
      <c r="N63" s="18"/>
      <c r="P63"/>
      <c r="Q63"/>
      <c r="R63"/>
      <c r="S63"/>
      <c r="T63"/>
      <c r="U63"/>
      <c r="V63"/>
      <c r="X63" s="33"/>
      <c r="Y63" s="20"/>
      <c r="Z63" s="20"/>
      <c r="AA63" s="20"/>
      <c r="AB63" s="20"/>
      <c r="AC63" s="20"/>
      <c r="AD63" s="17"/>
      <c r="AE63" s="17"/>
      <c r="AF63" s="20"/>
      <c r="AG63" s="17"/>
      <c r="AH63" s="20"/>
      <c r="AI63" s="17"/>
      <c r="AJ63" s="20"/>
      <c r="AK63" s="17"/>
      <c r="AL63" s="17"/>
      <c r="AM63" s="20"/>
      <c r="AN63" s="20"/>
      <c r="AO63" s="20"/>
      <c r="AP63" s="20"/>
      <c r="AQ63" s="17"/>
      <c r="AR63" s="17"/>
      <c r="AS63" s="20"/>
      <c r="AT63" s="17"/>
      <c r="AU63" s="17"/>
      <c r="AV63" s="17"/>
      <c r="AW63" s="17"/>
      <c r="AX63" s="17"/>
      <c r="AY63" s="17"/>
      <c r="AZ63" s="17"/>
      <c r="BA63" s="17"/>
      <c r="BB63" s="20"/>
      <c r="BC63" s="17"/>
      <c r="BD63" s="20"/>
      <c r="BE63" s="17"/>
      <c r="BF63" s="20"/>
      <c r="BG63" s="20"/>
      <c r="BH63" s="20"/>
      <c r="BI63" s="20"/>
    </row>
    <row r="64" spans="3:61" s="30" customFormat="1" ht="18" x14ac:dyDescent="0.35">
      <c r="C64" s="31"/>
      <c r="D64" s="31"/>
      <c r="E64" s="31"/>
      <c r="F64" s="19"/>
      <c r="G64" s="18"/>
      <c r="H64" s="18"/>
      <c r="I64" s="18"/>
      <c r="J64" s="18"/>
      <c r="K64" s="18"/>
      <c r="L64" s="18"/>
      <c r="M64" s="18"/>
      <c r="N64" s="18"/>
      <c r="P64"/>
      <c r="Q64"/>
      <c r="R64"/>
      <c r="S64"/>
      <c r="T64"/>
      <c r="U64"/>
      <c r="V64"/>
      <c r="X64" s="33"/>
      <c r="Y64" s="20"/>
      <c r="Z64" s="20"/>
      <c r="AA64" s="20"/>
      <c r="AB64" s="20"/>
      <c r="AC64" s="20"/>
      <c r="AD64" s="17"/>
      <c r="AE64" s="17"/>
      <c r="AF64" s="20"/>
      <c r="AG64" s="17"/>
      <c r="AH64" s="20"/>
      <c r="AI64" s="17"/>
      <c r="AJ64" s="20"/>
      <c r="AK64" s="17"/>
      <c r="AL64" s="17"/>
      <c r="AM64" s="20"/>
      <c r="AN64" s="20"/>
      <c r="AO64" s="20"/>
      <c r="AP64" s="20"/>
      <c r="AQ64" s="17"/>
      <c r="AR64" s="17"/>
      <c r="AS64" s="20"/>
      <c r="AT64" s="17"/>
      <c r="AU64" s="17"/>
      <c r="AV64" s="17"/>
      <c r="AW64" s="17"/>
      <c r="AX64" s="17"/>
      <c r="AY64" s="17"/>
      <c r="AZ64" s="17"/>
      <c r="BA64" s="17"/>
      <c r="BB64" s="20"/>
      <c r="BC64" s="17"/>
      <c r="BD64" s="20"/>
      <c r="BE64" s="17"/>
      <c r="BF64" s="20"/>
      <c r="BG64" s="20"/>
      <c r="BH64" s="20"/>
      <c r="BI64" s="20"/>
    </row>
    <row r="65" spans="3:61" s="30" customFormat="1" ht="18" x14ac:dyDescent="0.35">
      <c r="C65" s="31"/>
      <c r="D65" s="31"/>
      <c r="E65" s="31"/>
      <c r="F65" s="19"/>
      <c r="G65" s="18"/>
      <c r="H65" s="18"/>
      <c r="I65" s="18"/>
      <c r="J65" s="18"/>
      <c r="K65" s="18"/>
      <c r="L65" s="18"/>
      <c r="M65" s="18"/>
      <c r="N65" s="18"/>
      <c r="P65"/>
      <c r="Q65"/>
      <c r="R65"/>
      <c r="S65"/>
      <c r="T65"/>
      <c r="U65"/>
      <c r="V65"/>
      <c r="X65" s="33"/>
      <c r="Y65" s="20"/>
      <c r="Z65" s="20"/>
      <c r="AA65" s="20"/>
      <c r="AB65" s="20"/>
      <c r="AC65" s="20"/>
      <c r="AD65" s="17"/>
      <c r="AE65" s="17"/>
      <c r="AF65" s="20"/>
      <c r="AG65" s="17"/>
      <c r="AH65" s="20"/>
      <c r="AI65" s="17"/>
      <c r="AJ65" s="20"/>
      <c r="AK65" s="17"/>
      <c r="AL65" s="17"/>
      <c r="AM65" s="20"/>
      <c r="AN65" s="20"/>
      <c r="AO65" s="20"/>
      <c r="AP65" s="20"/>
      <c r="AQ65" s="17"/>
      <c r="AR65" s="17"/>
      <c r="AS65" s="20"/>
      <c r="AT65" s="17"/>
      <c r="AU65" s="17"/>
      <c r="AV65" s="17"/>
      <c r="AW65" s="17"/>
      <c r="AX65" s="17"/>
      <c r="AY65" s="17"/>
      <c r="AZ65" s="17"/>
      <c r="BA65" s="17"/>
      <c r="BB65" s="20"/>
      <c r="BC65" s="17"/>
      <c r="BD65" s="20"/>
      <c r="BE65" s="17"/>
      <c r="BF65" s="20"/>
      <c r="BG65" s="20"/>
      <c r="BH65" s="20"/>
      <c r="BI65" s="20"/>
    </row>
    <row r="66" spans="3:61" s="30" customFormat="1" ht="18" x14ac:dyDescent="0.35">
      <c r="C66" s="31"/>
      <c r="D66" s="31"/>
      <c r="E66" s="31"/>
      <c r="F66" s="19"/>
      <c r="G66" s="18"/>
      <c r="H66" s="18"/>
      <c r="I66" s="18"/>
      <c r="J66" s="18"/>
      <c r="K66" s="18"/>
      <c r="L66" s="18"/>
      <c r="M66" s="18"/>
      <c r="N66" s="18"/>
      <c r="P66"/>
      <c r="Q66"/>
      <c r="R66"/>
      <c r="S66"/>
      <c r="T66"/>
      <c r="U66"/>
      <c r="V66"/>
      <c r="X66" s="33"/>
      <c r="Y66" s="20"/>
      <c r="Z66" s="20"/>
      <c r="AA66" s="20"/>
      <c r="AB66" s="20"/>
      <c r="AC66" s="20"/>
      <c r="AD66" s="17"/>
      <c r="AE66" s="17"/>
      <c r="AF66" s="20"/>
      <c r="AG66" s="17"/>
      <c r="AH66" s="20"/>
      <c r="AI66" s="17"/>
      <c r="AJ66" s="20"/>
      <c r="AK66" s="17"/>
      <c r="AL66" s="17"/>
      <c r="AM66" s="20"/>
      <c r="AN66" s="20"/>
      <c r="AO66" s="20"/>
      <c r="AP66" s="20"/>
      <c r="AQ66" s="17"/>
      <c r="AR66" s="17"/>
      <c r="AS66" s="20"/>
      <c r="AT66" s="17"/>
      <c r="AU66" s="17"/>
      <c r="AV66" s="17"/>
      <c r="AW66" s="17"/>
      <c r="AX66" s="17"/>
      <c r="AY66" s="17"/>
      <c r="AZ66" s="17"/>
      <c r="BA66" s="17"/>
      <c r="BB66" s="20"/>
      <c r="BC66" s="17"/>
      <c r="BD66" s="20"/>
      <c r="BE66" s="17"/>
      <c r="BF66" s="20"/>
      <c r="BG66" s="20"/>
      <c r="BH66" s="20"/>
      <c r="BI66" s="20"/>
    </row>
    <row r="67" spans="3:61" s="30" customFormat="1" ht="18" x14ac:dyDescent="0.35">
      <c r="C67" s="31"/>
      <c r="D67" s="31"/>
      <c r="E67" s="31"/>
      <c r="F67" s="19"/>
      <c r="G67" s="18"/>
      <c r="H67" s="18"/>
      <c r="I67" s="18"/>
      <c r="J67" s="18"/>
      <c r="K67" s="18"/>
      <c r="L67" s="18"/>
      <c r="M67" s="18"/>
      <c r="N67" s="18"/>
      <c r="P67"/>
      <c r="Q67"/>
      <c r="R67"/>
      <c r="S67"/>
      <c r="T67"/>
      <c r="U67"/>
      <c r="V67"/>
      <c r="X67" s="33"/>
      <c r="Y67" s="20"/>
      <c r="Z67" s="20"/>
      <c r="AA67" s="20"/>
      <c r="AB67" s="20"/>
      <c r="AC67" s="20"/>
      <c r="AD67" s="17"/>
      <c r="AE67" s="17"/>
      <c r="AF67" s="20"/>
      <c r="AG67" s="17"/>
      <c r="AH67" s="20"/>
      <c r="AI67" s="17"/>
      <c r="AJ67" s="20"/>
      <c r="AK67" s="17"/>
      <c r="AL67" s="17"/>
      <c r="AM67" s="20"/>
      <c r="AN67" s="20"/>
      <c r="AO67" s="20"/>
      <c r="AP67" s="20"/>
      <c r="AQ67" s="17"/>
      <c r="AR67" s="17"/>
      <c r="AS67" s="20"/>
      <c r="AT67" s="17"/>
      <c r="AU67" s="17"/>
      <c r="AV67" s="17"/>
      <c r="AW67" s="17"/>
      <c r="AX67" s="17"/>
      <c r="AY67" s="17"/>
      <c r="AZ67" s="17"/>
      <c r="BA67" s="17"/>
      <c r="BB67" s="20"/>
      <c r="BC67" s="17"/>
      <c r="BD67" s="20"/>
      <c r="BE67" s="17"/>
      <c r="BF67" s="20"/>
      <c r="BG67" s="20"/>
      <c r="BH67" s="20"/>
      <c r="BI67" s="20"/>
    </row>
    <row r="68" spans="3:61" s="30" customFormat="1" ht="18" x14ac:dyDescent="0.35">
      <c r="C68" s="31"/>
      <c r="D68" s="31"/>
      <c r="E68" s="31"/>
      <c r="F68" s="19"/>
      <c r="G68" s="18"/>
      <c r="H68" s="18"/>
      <c r="I68" s="18"/>
      <c r="J68" s="18"/>
      <c r="K68" s="18"/>
      <c r="L68" s="18"/>
      <c r="M68" s="18"/>
      <c r="N68" s="18"/>
      <c r="P68"/>
      <c r="Q68"/>
      <c r="R68"/>
      <c r="S68"/>
      <c r="T68"/>
      <c r="U68"/>
      <c r="V68"/>
      <c r="X68" s="33"/>
      <c r="Y68" s="20"/>
      <c r="Z68" s="20"/>
      <c r="AA68" s="20"/>
      <c r="AB68" s="20"/>
      <c r="AC68" s="20"/>
      <c r="AD68" s="17"/>
      <c r="AE68" s="17"/>
      <c r="AF68" s="20"/>
      <c r="AG68" s="17"/>
      <c r="AH68" s="20"/>
      <c r="AI68" s="17"/>
      <c r="AJ68" s="20"/>
      <c r="AK68" s="17"/>
      <c r="AL68" s="17"/>
      <c r="AM68" s="20"/>
      <c r="AN68" s="20"/>
      <c r="AO68" s="20"/>
      <c r="AP68" s="20"/>
      <c r="AQ68" s="17"/>
      <c r="AR68" s="17"/>
      <c r="AS68" s="20"/>
      <c r="AT68" s="17"/>
      <c r="AU68" s="17"/>
      <c r="AV68" s="17"/>
      <c r="AW68" s="17"/>
      <c r="AX68" s="17"/>
      <c r="AY68" s="17"/>
      <c r="AZ68" s="17"/>
      <c r="BA68" s="17"/>
      <c r="BB68" s="20"/>
      <c r="BC68" s="17"/>
      <c r="BD68" s="20"/>
      <c r="BE68" s="17"/>
      <c r="BF68" s="20"/>
      <c r="BG68" s="20"/>
      <c r="BH68" s="20"/>
      <c r="BI68" s="20"/>
    </row>
    <row r="69" spans="3:61" s="30" customFormat="1" ht="18" x14ac:dyDescent="0.35">
      <c r="C69" s="31"/>
      <c r="D69" s="31"/>
      <c r="E69" s="31"/>
      <c r="F69" s="19"/>
      <c r="G69" s="18"/>
      <c r="H69" s="18"/>
      <c r="I69" s="18"/>
      <c r="J69" s="18"/>
      <c r="K69" s="18"/>
      <c r="L69" s="18"/>
      <c r="M69" s="18"/>
      <c r="N69" s="18"/>
      <c r="P69"/>
      <c r="Q69"/>
      <c r="R69"/>
      <c r="S69"/>
      <c r="T69"/>
      <c r="U69"/>
      <c r="V69"/>
      <c r="X69" s="33"/>
      <c r="Y69" s="20"/>
      <c r="Z69" s="20"/>
      <c r="AA69" s="20"/>
      <c r="AB69" s="20"/>
      <c r="AC69" s="20"/>
      <c r="AD69" s="17"/>
      <c r="AE69" s="17"/>
      <c r="AF69" s="20"/>
      <c r="AG69" s="17"/>
      <c r="AH69" s="20"/>
      <c r="AI69" s="17"/>
      <c r="AJ69" s="20"/>
      <c r="AK69" s="17"/>
      <c r="AL69" s="17"/>
      <c r="AM69" s="20"/>
      <c r="AN69" s="20"/>
      <c r="AO69" s="20"/>
      <c r="AP69" s="20"/>
      <c r="AQ69" s="17"/>
      <c r="AR69" s="17"/>
      <c r="AS69" s="20"/>
      <c r="AT69" s="17"/>
      <c r="AU69" s="17"/>
      <c r="AV69" s="17"/>
      <c r="AW69" s="17"/>
      <c r="AX69" s="17"/>
      <c r="AY69" s="17"/>
      <c r="AZ69" s="17"/>
      <c r="BA69" s="17"/>
      <c r="BB69" s="20"/>
      <c r="BC69" s="17"/>
      <c r="BD69" s="20"/>
      <c r="BE69" s="17"/>
      <c r="BF69" s="20"/>
      <c r="BG69" s="20"/>
      <c r="BH69" s="20"/>
      <c r="BI69" s="20"/>
    </row>
    <row r="70" spans="3:61" s="30" customFormat="1" ht="18" x14ac:dyDescent="0.35">
      <c r="C70" s="31"/>
      <c r="D70" s="31"/>
      <c r="E70" s="31"/>
      <c r="F70" s="19"/>
      <c r="G70" s="18"/>
      <c r="H70" s="18"/>
      <c r="I70" s="18"/>
      <c r="J70" s="18"/>
      <c r="K70" s="18"/>
      <c r="L70" s="18"/>
      <c r="M70" s="18"/>
      <c r="N70" s="18"/>
      <c r="P70"/>
      <c r="Q70"/>
      <c r="R70"/>
      <c r="S70"/>
      <c r="T70"/>
      <c r="U70"/>
      <c r="V70"/>
      <c r="X70" s="33"/>
      <c r="Y70" s="20"/>
      <c r="Z70" s="20"/>
      <c r="AA70" s="20"/>
      <c r="AB70" s="20"/>
      <c r="AC70" s="20"/>
      <c r="AD70" s="17"/>
      <c r="AE70" s="17"/>
      <c r="AF70" s="20"/>
      <c r="AG70" s="17"/>
      <c r="AH70" s="20"/>
      <c r="AI70" s="17"/>
      <c r="AJ70" s="20"/>
      <c r="AK70" s="17"/>
      <c r="AL70" s="17"/>
      <c r="AM70" s="20"/>
      <c r="AN70" s="20"/>
      <c r="AO70" s="20"/>
      <c r="AP70" s="20"/>
      <c r="AQ70" s="17"/>
      <c r="AR70" s="17"/>
      <c r="AS70" s="20"/>
      <c r="AT70" s="17"/>
      <c r="AU70" s="17"/>
      <c r="AV70" s="17"/>
      <c r="AW70" s="17"/>
      <c r="AX70" s="17"/>
      <c r="AY70" s="17"/>
      <c r="AZ70" s="17"/>
      <c r="BA70" s="17"/>
      <c r="BB70" s="20"/>
      <c r="BC70" s="17"/>
      <c r="BD70" s="20"/>
      <c r="BE70" s="17"/>
      <c r="BF70" s="20"/>
      <c r="BG70" s="20"/>
      <c r="BH70" s="20"/>
      <c r="BI70" s="20"/>
    </row>
    <row r="71" spans="3:61" s="30" customFormat="1" ht="18" x14ac:dyDescent="0.35">
      <c r="C71" s="31"/>
      <c r="D71" s="31"/>
      <c r="E71" s="31"/>
      <c r="F71" s="19"/>
      <c r="G71" s="18"/>
      <c r="H71" s="18"/>
      <c r="I71" s="18"/>
      <c r="J71" s="18"/>
      <c r="K71" s="18"/>
      <c r="L71" s="18"/>
      <c r="M71" s="18"/>
      <c r="N71" s="18"/>
      <c r="P71"/>
      <c r="Q71"/>
      <c r="R71"/>
      <c r="S71"/>
      <c r="T71"/>
      <c r="U71"/>
      <c r="V71"/>
      <c r="X71" s="33"/>
      <c r="Y71" s="20"/>
      <c r="Z71" s="20"/>
      <c r="AA71" s="20"/>
      <c r="AB71" s="20"/>
      <c r="AC71" s="20"/>
      <c r="AD71" s="17"/>
      <c r="AE71" s="17"/>
      <c r="AF71" s="20"/>
      <c r="AG71" s="17"/>
      <c r="AH71" s="20"/>
      <c r="AI71" s="17"/>
      <c r="AJ71" s="20"/>
      <c r="AK71" s="17"/>
      <c r="AL71" s="17"/>
      <c r="AM71" s="20"/>
      <c r="AN71" s="20"/>
      <c r="AO71" s="20"/>
      <c r="AP71" s="20"/>
      <c r="AQ71" s="17"/>
      <c r="AR71" s="17"/>
      <c r="AS71" s="20"/>
      <c r="AT71" s="17"/>
      <c r="AU71" s="17"/>
      <c r="AV71" s="17"/>
      <c r="AW71" s="17"/>
      <c r="AX71" s="17"/>
      <c r="AY71" s="17"/>
      <c r="AZ71" s="17"/>
      <c r="BA71" s="17"/>
      <c r="BB71" s="20"/>
      <c r="BC71" s="17"/>
      <c r="BD71" s="20"/>
      <c r="BE71" s="17"/>
      <c r="BF71" s="20"/>
      <c r="BG71" s="20"/>
      <c r="BH71" s="20"/>
      <c r="BI71" s="20"/>
    </row>
    <row r="72" spans="3:61" s="30" customFormat="1" ht="18" x14ac:dyDescent="0.35">
      <c r="C72" s="31"/>
      <c r="D72" s="31"/>
      <c r="E72" s="31"/>
      <c r="F72" s="19"/>
      <c r="G72" s="18"/>
      <c r="H72" s="18"/>
      <c r="I72" s="18"/>
      <c r="J72" s="18"/>
      <c r="K72" s="18"/>
      <c r="L72" s="18"/>
      <c r="M72" s="18"/>
      <c r="N72" s="18"/>
      <c r="P72"/>
      <c r="Q72"/>
      <c r="R72"/>
      <c r="S72"/>
      <c r="T72"/>
      <c r="U72"/>
      <c r="V72"/>
      <c r="X72" s="33"/>
      <c r="Y72" s="20"/>
      <c r="Z72" s="20"/>
      <c r="AA72" s="20"/>
      <c r="AB72" s="20"/>
      <c r="AC72" s="20"/>
      <c r="AD72" s="17"/>
      <c r="AE72" s="17"/>
      <c r="AF72" s="20"/>
      <c r="AG72" s="17"/>
      <c r="AH72" s="20"/>
      <c r="AI72" s="17"/>
      <c r="AJ72" s="20"/>
      <c r="AK72" s="17"/>
      <c r="AL72" s="17"/>
      <c r="AM72" s="20"/>
      <c r="AN72" s="20"/>
      <c r="AO72" s="20"/>
      <c r="AP72" s="20"/>
      <c r="AQ72" s="17"/>
      <c r="AR72" s="17"/>
      <c r="AS72" s="20"/>
      <c r="AT72" s="17"/>
      <c r="AU72" s="17"/>
      <c r="AV72" s="17"/>
      <c r="AW72" s="17"/>
      <c r="AX72" s="17"/>
      <c r="AY72" s="17"/>
      <c r="AZ72" s="17"/>
      <c r="BA72" s="17"/>
      <c r="BB72" s="20"/>
      <c r="BC72" s="17"/>
      <c r="BD72" s="20"/>
      <c r="BE72" s="17"/>
      <c r="BF72" s="20"/>
      <c r="BG72" s="20"/>
      <c r="BH72" s="20"/>
      <c r="BI72" s="20"/>
    </row>
    <row r="73" spans="3:61" s="30" customFormat="1" ht="18" x14ac:dyDescent="0.35">
      <c r="C73" s="31"/>
      <c r="D73" s="31"/>
      <c r="E73" s="31"/>
      <c r="F73" s="19"/>
      <c r="G73" s="18"/>
      <c r="H73" s="18"/>
      <c r="I73" s="18"/>
      <c r="J73" s="18"/>
      <c r="K73" s="18"/>
      <c r="L73" s="18"/>
      <c r="M73" s="18"/>
      <c r="N73" s="18"/>
      <c r="P73"/>
      <c r="Q73"/>
      <c r="R73"/>
      <c r="S73"/>
      <c r="T73"/>
      <c r="U73"/>
      <c r="V73"/>
      <c r="X73" s="33"/>
      <c r="Y73" s="20"/>
      <c r="Z73" s="20"/>
      <c r="AA73" s="20"/>
      <c r="AB73" s="20"/>
      <c r="AC73" s="20"/>
      <c r="AD73" s="17"/>
      <c r="AE73" s="17"/>
      <c r="AF73" s="20"/>
      <c r="AG73" s="17"/>
      <c r="AH73" s="20"/>
      <c r="AI73" s="17"/>
      <c r="AJ73" s="20"/>
      <c r="AK73" s="17"/>
      <c r="AL73" s="17"/>
      <c r="AM73" s="20"/>
      <c r="AN73" s="20"/>
      <c r="AO73" s="20"/>
      <c r="AP73" s="20"/>
      <c r="AQ73" s="17"/>
      <c r="AR73" s="17"/>
      <c r="AS73" s="20"/>
      <c r="AT73" s="17"/>
      <c r="AU73" s="17"/>
      <c r="AV73" s="17"/>
      <c r="AW73" s="17"/>
      <c r="AX73" s="17"/>
      <c r="AY73" s="17"/>
      <c r="AZ73" s="17"/>
      <c r="BA73" s="17"/>
      <c r="BB73" s="20"/>
      <c r="BC73" s="17"/>
      <c r="BD73" s="20"/>
      <c r="BE73" s="17"/>
      <c r="BF73" s="20"/>
      <c r="BG73" s="20"/>
      <c r="BH73" s="20"/>
      <c r="BI73" s="20"/>
    </row>
    <row r="74" spans="3:61" s="30" customFormat="1" ht="18" x14ac:dyDescent="0.35">
      <c r="C74" s="31"/>
      <c r="D74" s="31"/>
      <c r="E74" s="31"/>
      <c r="F74" s="19"/>
      <c r="G74" s="18"/>
      <c r="H74" s="18"/>
      <c r="I74" s="18"/>
      <c r="J74" s="18"/>
      <c r="K74" s="18"/>
      <c r="L74" s="18"/>
      <c r="M74" s="18"/>
      <c r="N74" s="18"/>
      <c r="P74"/>
      <c r="Q74"/>
      <c r="R74"/>
      <c r="S74"/>
      <c r="T74"/>
      <c r="U74"/>
      <c r="V74"/>
      <c r="X74" s="33"/>
      <c r="Y74" s="20"/>
      <c r="Z74" s="20"/>
      <c r="AA74" s="20"/>
      <c r="AB74" s="20"/>
      <c r="AC74" s="20"/>
      <c r="AD74" s="17"/>
      <c r="AE74" s="17"/>
      <c r="AF74" s="20"/>
      <c r="AG74" s="17"/>
      <c r="AH74" s="20"/>
      <c r="AI74" s="17"/>
      <c r="AJ74" s="20"/>
      <c r="AK74" s="17"/>
      <c r="AL74" s="17"/>
      <c r="AM74" s="20"/>
      <c r="AN74" s="20"/>
      <c r="AO74" s="20"/>
      <c r="AP74" s="20"/>
      <c r="AQ74" s="17"/>
      <c r="AR74" s="17"/>
      <c r="AS74" s="20"/>
      <c r="AT74" s="17"/>
      <c r="AU74" s="17"/>
      <c r="AV74" s="17"/>
      <c r="AW74" s="17"/>
      <c r="AX74" s="17"/>
      <c r="AY74" s="17"/>
      <c r="AZ74" s="17"/>
      <c r="BA74" s="17"/>
      <c r="BB74" s="20"/>
      <c r="BC74" s="17"/>
      <c r="BD74" s="20"/>
      <c r="BE74" s="17"/>
      <c r="BF74" s="20"/>
      <c r="BG74" s="20"/>
      <c r="BH74" s="20"/>
      <c r="BI74" s="20"/>
    </row>
    <row r="75" spans="3:61" s="30" customFormat="1" ht="18" x14ac:dyDescent="0.35">
      <c r="C75" s="31"/>
      <c r="D75" s="31"/>
      <c r="E75" s="31"/>
      <c r="F75" s="19"/>
      <c r="G75" s="18"/>
      <c r="H75" s="18"/>
      <c r="I75" s="18"/>
      <c r="J75" s="18"/>
      <c r="K75" s="18"/>
      <c r="L75" s="18"/>
      <c r="M75" s="18"/>
      <c r="N75" s="18"/>
      <c r="P75"/>
      <c r="Q75"/>
      <c r="R75"/>
      <c r="S75"/>
      <c r="T75"/>
      <c r="U75"/>
      <c r="V75"/>
      <c r="X75" s="33"/>
      <c r="Y75" s="20"/>
      <c r="Z75" s="20"/>
      <c r="AA75" s="20"/>
      <c r="AB75" s="20"/>
      <c r="AC75" s="20"/>
      <c r="AD75" s="17"/>
      <c r="AE75" s="17"/>
      <c r="AF75" s="20"/>
      <c r="AG75" s="17"/>
      <c r="AH75" s="20"/>
      <c r="AI75" s="17"/>
      <c r="AJ75" s="20"/>
      <c r="AK75" s="17"/>
      <c r="AL75" s="17"/>
      <c r="AM75" s="20"/>
      <c r="AN75" s="20"/>
      <c r="AO75" s="20"/>
      <c r="AP75" s="20"/>
      <c r="AQ75" s="17"/>
      <c r="AR75" s="17"/>
      <c r="AS75" s="20"/>
      <c r="AT75" s="17"/>
      <c r="AU75" s="17"/>
      <c r="AV75" s="17"/>
      <c r="AW75" s="17"/>
      <c r="AX75" s="17"/>
      <c r="AY75" s="17"/>
      <c r="AZ75" s="17"/>
      <c r="BA75" s="17"/>
      <c r="BB75" s="20"/>
      <c r="BC75" s="17"/>
      <c r="BD75" s="20"/>
      <c r="BE75" s="17"/>
      <c r="BF75" s="20"/>
      <c r="BG75" s="20"/>
      <c r="BH75" s="20"/>
      <c r="BI75" s="20"/>
    </row>
    <row r="76" spans="3:61" s="30" customFormat="1" ht="18" x14ac:dyDescent="0.35">
      <c r="C76" s="31"/>
      <c r="D76" s="31"/>
      <c r="E76" s="31"/>
      <c r="F76" s="19"/>
      <c r="G76" s="18"/>
      <c r="H76" s="18"/>
      <c r="I76" s="18"/>
      <c r="J76" s="18"/>
      <c r="K76" s="18"/>
      <c r="L76" s="18"/>
      <c r="M76" s="18"/>
      <c r="N76" s="18"/>
      <c r="P76"/>
      <c r="Q76"/>
      <c r="R76"/>
      <c r="S76"/>
      <c r="T76"/>
      <c r="U76"/>
      <c r="V76"/>
      <c r="X76" s="33"/>
      <c r="Y76" s="20"/>
      <c r="Z76" s="20"/>
      <c r="AA76" s="20"/>
      <c r="AB76" s="20"/>
      <c r="AC76" s="20"/>
      <c r="AD76" s="17"/>
      <c r="AE76" s="17"/>
      <c r="AF76" s="20"/>
      <c r="AG76" s="17"/>
      <c r="AH76" s="20"/>
      <c r="AI76" s="17"/>
      <c r="AJ76" s="20"/>
      <c r="AK76" s="17"/>
      <c r="AL76" s="17"/>
      <c r="AM76" s="20"/>
      <c r="AN76" s="20"/>
      <c r="AO76" s="20"/>
      <c r="AP76" s="20"/>
      <c r="AQ76" s="17"/>
      <c r="AR76" s="17"/>
      <c r="AS76" s="20"/>
      <c r="AT76" s="17"/>
      <c r="AU76" s="17"/>
      <c r="AV76" s="17"/>
      <c r="AW76" s="17"/>
      <c r="AX76" s="17"/>
      <c r="AY76" s="17"/>
      <c r="AZ76" s="17"/>
      <c r="BA76" s="17"/>
      <c r="BB76" s="20"/>
      <c r="BC76" s="17"/>
      <c r="BD76" s="20"/>
      <c r="BE76" s="17"/>
      <c r="BF76" s="20"/>
      <c r="BG76" s="20"/>
      <c r="BH76" s="20"/>
      <c r="BI76" s="20"/>
    </row>
    <row r="77" spans="3:61" s="30" customFormat="1" ht="18" x14ac:dyDescent="0.35">
      <c r="C77" s="31"/>
      <c r="D77" s="31"/>
      <c r="E77" s="31"/>
      <c r="F77" s="19"/>
      <c r="G77" s="18"/>
      <c r="H77" s="18"/>
      <c r="I77" s="18"/>
      <c r="J77" s="18"/>
      <c r="K77" s="18"/>
      <c r="L77" s="18"/>
      <c r="M77" s="18"/>
      <c r="N77" s="18"/>
      <c r="P77"/>
      <c r="Q77"/>
      <c r="R77"/>
      <c r="S77"/>
      <c r="T77"/>
      <c r="U77"/>
      <c r="V77"/>
      <c r="X77" s="33"/>
      <c r="Y77" s="20"/>
      <c r="Z77" s="20"/>
      <c r="AA77" s="20"/>
      <c r="AB77" s="20"/>
      <c r="AC77" s="20"/>
      <c r="AD77" s="17"/>
      <c r="AE77" s="17"/>
      <c r="AF77" s="20"/>
      <c r="AG77" s="17"/>
      <c r="AH77" s="20"/>
      <c r="AI77" s="17"/>
      <c r="AJ77" s="20"/>
      <c r="AK77" s="17"/>
      <c r="AL77" s="17"/>
      <c r="AM77" s="20"/>
      <c r="AN77" s="20"/>
      <c r="AO77" s="20"/>
      <c r="AP77" s="20"/>
      <c r="AQ77" s="17"/>
      <c r="AR77" s="17"/>
      <c r="AS77" s="20"/>
      <c r="AT77" s="17"/>
      <c r="AU77" s="17"/>
      <c r="AV77" s="17"/>
      <c r="AW77" s="17"/>
      <c r="AX77" s="17"/>
      <c r="AY77" s="17"/>
      <c r="AZ77" s="17"/>
      <c r="BA77" s="17"/>
      <c r="BB77" s="20"/>
      <c r="BC77" s="17"/>
      <c r="BD77" s="20"/>
      <c r="BE77" s="17"/>
      <c r="BF77" s="20"/>
      <c r="BG77" s="20"/>
      <c r="BH77" s="20"/>
      <c r="BI77" s="20"/>
    </row>
    <row r="78" spans="3:61" s="30" customFormat="1" ht="18" x14ac:dyDescent="0.35">
      <c r="C78" s="31"/>
      <c r="D78" s="31"/>
      <c r="E78" s="31"/>
      <c r="F78" s="19"/>
      <c r="G78" s="18"/>
      <c r="H78" s="18"/>
      <c r="I78" s="18"/>
      <c r="J78" s="18"/>
      <c r="K78" s="18"/>
      <c r="L78" s="18"/>
      <c r="M78" s="18"/>
      <c r="N78" s="18"/>
      <c r="P78"/>
      <c r="Q78"/>
      <c r="R78"/>
      <c r="S78"/>
      <c r="T78"/>
      <c r="U78"/>
      <c r="V78"/>
      <c r="X78" s="33"/>
      <c r="Y78" s="20"/>
      <c r="Z78" s="20"/>
      <c r="AA78" s="20"/>
      <c r="AB78" s="20"/>
      <c r="AC78" s="20"/>
      <c r="AD78" s="17"/>
      <c r="AE78" s="17"/>
      <c r="AF78" s="20"/>
      <c r="AG78" s="17"/>
      <c r="AH78" s="20"/>
      <c r="AI78" s="17"/>
      <c r="AJ78" s="20"/>
      <c r="AK78" s="17"/>
      <c r="AL78" s="17"/>
      <c r="AM78" s="20"/>
      <c r="AN78" s="20"/>
      <c r="AO78" s="20"/>
      <c r="AP78" s="20"/>
      <c r="AQ78" s="17"/>
      <c r="AR78" s="17"/>
      <c r="AS78" s="20"/>
      <c r="AT78" s="17"/>
      <c r="AU78" s="17"/>
      <c r="AV78" s="17"/>
      <c r="AW78" s="17"/>
      <c r="AX78" s="17"/>
      <c r="AY78" s="17"/>
      <c r="AZ78" s="17"/>
      <c r="BA78" s="17"/>
      <c r="BB78" s="20"/>
      <c r="BC78" s="17"/>
      <c r="BD78" s="20"/>
      <c r="BE78" s="17"/>
      <c r="BF78" s="20"/>
      <c r="BG78" s="20"/>
      <c r="BH78" s="20"/>
      <c r="BI78" s="20"/>
    </row>
    <row r="79" spans="3:61" s="30" customFormat="1" ht="18" x14ac:dyDescent="0.35">
      <c r="C79" s="31"/>
      <c r="D79" s="31"/>
      <c r="E79" s="31"/>
      <c r="F79" s="19"/>
      <c r="G79" s="18"/>
      <c r="H79" s="18"/>
      <c r="I79" s="18"/>
      <c r="J79" s="18"/>
      <c r="K79" s="18"/>
      <c r="L79" s="18"/>
      <c r="M79" s="18"/>
      <c r="N79" s="18"/>
      <c r="P79"/>
      <c r="Q79"/>
      <c r="R79"/>
      <c r="S79"/>
      <c r="T79"/>
      <c r="U79"/>
      <c r="V79"/>
      <c r="X79" s="33"/>
      <c r="Y79" s="20"/>
      <c r="Z79" s="20"/>
      <c r="AA79" s="20"/>
      <c r="AB79" s="20"/>
      <c r="AC79" s="20"/>
      <c r="AD79" s="17"/>
      <c r="AE79" s="17"/>
      <c r="AF79" s="20"/>
      <c r="AG79" s="17"/>
      <c r="AH79" s="20"/>
      <c r="AI79" s="17"/>
      <c r="AJ79" s="20"/>
      <c r="AK79" s="17"/>
      <c r="AL79" s="17"/>
      <c r="AM79" s="20"/>
      <c r="AN79" s="20"/>
      <c r="AO79" s="20"/>
      <c r="AP79" s="20"/>
      <c r="AQ79" s="17"/>
      <c r="AR79" s="17"/>
      <c r="AS79" s="20"/>
      <c r="AT79" s="17"/>
      <c r="AU79" s="17"/>
      <c r="AV79" s="17"/>
      <c r="AW79" s="17"/>
      <c r="AX79" s="17"/>
      <c r="AY79" s="17"/>
      <c r="AZ79" s="17"/>
      <c r="BA79" s="17"/>
      <c r="BB79" s="20"/>
      <c r="BC79" s="17"/>
      <c r="BD79" s="20"/>
      <c r="BE79" s="17"/>
      <c r="BF79" s="20"/>
      <c r="BG79" s="20"/>
      <c r="BH79" s="20"/>
      <c r="BI79" s="20"/>
    </row>
    <row r="80" spans="3:61" s="30" customFormat="1" ht="18" x14ac:dyDescent="0.35">
      <c r="C80" s="31"/>
      <c r="D80" s="31"/>
      <c r="E80" s="31"/>
      <c r="F80" s="19"/>
      <c r="G80" s="18"/>
      <c r="H80" s="18"/>
      <c r="I80" s="18"/>
      <c r="J80" s="18"/>
      <c r="K80" s="18"/>
      <c r="L80" s="18"/>
      <c r="M80" s="18"/>
      <c r="N80" s="18"/>
      <c r="P80"/>
      <c r="Q80"/>
      <c r="R80"/>
      <c r="S80"/>
      <c r="T80"/>
      <c r="U80"/>
      <c r="V80"/>
      <c r="X80" s="33"/>
      <c r="Y80" s="20"/>
      <c r="Z80" s="20"/>
      <c r="AA80" s="20"/>
      <c r="AB80" s="20"/>
      <c r="AC80" s="20"/>
      <c r="AD80" s="17"/>
      <c r="AE80" s="17"/>
      <c r="AF80" s="20"/>
      <c r="AG80" s="17"/>
      <c r="AH80" s="20"/>
      <c r="AI80" s="17"/>
      <c r="AJ80" s="20"/>
      <c r="AK80" s="17"/>
      <c r="AL80" s="17"/>
      <c r="AM80" s="20"/>
      <c r="AN80" s="20"/>
      <c r="AO80" s="20"/>
      <c r="AP80" s="20"/>
      <c r="AQ80" s="17"/>
      <c r="AR80" s="17"/>
      <c r="AS80" s="20"/>
      <c r="AT80" s="17"/>
      <c r="AU80" s="17"/>
      <c r="AV80" s="17"/>
      <c r="AW80" s="17"/>
      <c r="AX80" s="17"/>
      <c r="AY80" s="17"/>
      <c r="AZ80" s="17"/>
      <c r="BA80" s="17"/>
      <c r="BB80" s="20"/>
      <c r="BC80" s="17"/>
      <c r="BD80" s="20"/>
      <c r="BE80" s="17"/>
      <c r="BF80" s="20"/>
      <c r="BG80" s="20"/>
      <c r="BH80" s="20"/>
      <c r="BI80" s="20"/>
    </row>
    <row r="81" spans="3:61" s="30" customFormat="1" ht="18" x14ac:dyDescent="0.35">
      <c r="C81" s="31"/>
      <c r="D81" s="31"/>
      <c r="E81" s="31"/>
      <c r="F81" s="19"/>
      <c r="G81" s="18"/>
      <c r="H81" s="18"/>
      <c r="I81" s="18"/>
      <c r="J81" s="18"/>
      <c r="K81" s="18"/>
      <c r="L81" s="18"/>
      <c r="M81" s="18"/>
      <c r="N81" s="18"/>
      <c r="P81"/>
      <c r="Q81"/>
      <c r="R81"/>
      <c r="S81"/>
      <c r="T81"/>
      <c r="U81"/>
      <c r="V81"/>
      <c r="X81" s="33"/>
      <c r="Y81" s="20"/>
      <c r="Z81" s="20"/>
      <c r="AA81" s="20"/>
      <c r="AB81" s="20"/>
      <c r="AC81" s="20"/>
      <c r="AD81" s="17"/>
      <c r="AE81" s="17"/>
      <c r="AF81" s="20"/>
      <c r="AG81" s="17"/>
      <c r="AH81" s="20"/>
      <c r="AI81" s="17"/>
      <c r="AJ81" s="20"/>
      <c r="AK81" s="17"/>
      <c r="AL81" s="17"/>
      <c r="AM81" s="20"/>
      <c r="AN81" s="20"/>
      <c r="AO81" s="20"/>
      <c r="AP81" s="20"/>
      <c r="AQ81" s="17"/>
      <c r="AR81" s="17"/>
      <c r="AS81" s="20"/>
      <c r="AT81" s="17"/>
      <c r="AU81" s="17"/>
      <c r="AV81" s="17"/>
      <c r="AW81" s="17"/>
      <c r="AX81" s="17"/>
      <c r="AY81" s="17"/>
      <c r="AZ81" s="17"/>
      <c r="BA81" s="17"/>
      <c r="BB81" s="20"/>
      <c r="BC81" s="17"/>
      <c r="BD81" s="20"/>
      <c r="BE81" s="17"/>
      <c r="BF81" s="20"/>
      <c r="BG81" s="20"/>
      <c r="BH81" s="20"/>
      <c r="BI81" s="20"/>
    </row>
    <row r="82" spans="3:61" s="30" customFormat="1" ht="18" x14ac:dyDescent="0.35">
      <c r="C82" s="31"/>
      <c r="D82" s="31"/>
      <c r="E82" s="31"/>
      <c r="F82" s="19"/>
      <c r="G82" s="18"/>
      <c r="H82" s="18"/>
      <c r="I82" s="18"/>
      <c r="J82" s="18"/>
      <c r="K82" s="18"/>
      <c r="L82" s="18"/>
      <c r="M82" s="18"/>
      <c r="N82" s="18"/>
      <c r="P82"/>
      <c r="Q82"/>
      <c r="R82"/>
      <c r="S82"/>
      <c r="T82"/>
      <c r="U82"/>
      <c r="V82"/>
      <c r="X82" s="33"/>
      <c r="Y82" s="20"/>
      <c r="Z82" s="20"/>
      <c r="AA82" s="20"/>
      <c r="AB82" s="20"/>
      <c r="AC82" s="20"/>
      <c r="AD82" s="17"/>
      <c r="AE82" s="17"/>
      <c r="AF82" s="20"/>
      <c r="AG82" s="17"/>
      <c r="AH82" s="20"/>
      <c r="AI82" s="17"/>
      <c r="AJ82" s="20"/>
      <c r="AK82" s="17"/>
      <c r="AL82" s="17"/>
      <c r="AM82" s="20"/>
      <c r="AN82" s="20"/>
      <c r="AO82" s="20"/>
      <c r="AP82" s="20"/>
      <c r="AQ82" s="17"/>
      <c r="AR82" s="17"/>
      <c r="AS82" s="20"/>
      <c r="AT82" s="17"/>
      <c r="AU82" s="17"/>
      <c r="AV82" s="17"/>
      <c r="AW82" s="17"/>
      <c r="AX82" s="17"/>
      <c r="AY82" s="17"/>
      <c r="AZ82" s="17"/>
      <c r="BA82" s="17"/>
      <c r="BB82" s="20"/>
      <c r="BC82" s="17"/>
      <c r="BD82" s="20"/>
      <c r="BE82" s="17"/>
      <c r="BF82" s="20"/>
      <c r="BG82" s="20"/>
      <c r="BH82" s="20"/>
      <c r="BI82" s="20"/>
    </row>
    <row r="83" spans="3:61" s="30" customFormat="1" ht="18" x14ac:dyDescent="0.35">
      <c r="C83" s="31"/>
      <c r="D83" s="31"/>
      <c r="E83" s="31"/>
      <c r="F83" s="19"/>
      <c r="G83" s="18"/>
      <c r="H83" s="18"/>
      <c r="I83" s="18"/>
      <c r="J83" s="18"/>
      <c r="K83" s="18"/>
      <c r="L83" s="18"/>
      <c r="M83" s="18"/>
      <c r="N83" s="18"/>
      <c r="P83"/>
      <c r="Q83"/>
      <c r="R83"/>
      <c r="S83"/>
      <c r="T83"/>
      <c r="U83"/>
      <c r="V83"/>
      <c r="X83" s="33"/>
      <c r="Y83" s="20"/>
      <c r="Z83" s="20"/>
      <c r="AA83" s="20"/>
      <c r="AB83" s="20"/>
      <c r="AC83" s="20"/>
      <c r="AD83" s="17"/>
      <c r="AE83" s="17"/>
      <c r="AF83" s="20"/>
      <c r="AG83" s="17"/>
      <c r="AH83" s="20"/>
      <c r="AI83" s="17"/>
      <c r="AJ83" s="20"/>
      <c r="AK83" s="17"/>
      <c r="AL83" s="17"/>
      <c r="AM83" s="20"/>
      <c r="AN83" s="20"/>
      <c r="AO83" s="20"/>
      <c r="AP83" s="20"/>
      <c r="AQ83" s="17"/>
      <c r="AR83" s="17"/>
      <c r="AS83" s="20"/>
      <c r="AT83" s="17"/>
      <c r="AU83" s="17"/>
      <c r="AV83" s="17"/>
      <c r="AW83" s="17"/>
      <c r="AX83" s="17"/>
      <c r="AY83" s="17"/>
      <c r="AZ83" s="17"/>
      <c r="BA83" s="17"/>
      <c r="BB83" s="20"/>
      <c r="BC83" s="17"/>
      <c r="BD83" s="20"/>
      <c r="BE83" s="17"/>
      <c r="BF83" s="20"/>
      <c r="BG83" s="20"/>
      <c r="BH83" s="20"/>
      <c r="BI83" s="20"/>
    </row>
    <row r="84" spans="3:61" s="30" customFormat="1" ht="18" x14ac:dyDescent="0.35">
      <c r="C84" s="31"/>
      <c r="D84" s="31"/>
      <c r="E84" s="31"/>
      <c r="F84" s="19"/>
      <c r="G84" s="18"/>
      <c r="H84" s="18"/>
      <c r="I84" s="18"/>
      <c r="J84" s="18"/>
      <c r="K84" s="18"/>
      <c r="L84" s="18"/>
      <c r="M84" s="18"/>
      <c r="N84" s="18"/>
      <c r="P84"/>
      <c r="Q84"/>
      <c r="R84"/>
      <c r="S84"/>
      <c r="T84"/>
      <c r="U84"/>
      <c r="V84"/>
      <c r="X84" s="33"/>
      <c r="Y84" s="20"/>
      <c r="Z84" s="20"/>
      <c r="AA84" s="20"/>
      <c r="AB84" s="20"/>
      <c r="AC84" s="20"/>
      <c r="AD84" s="17"/>
      <c r="AE84" s="17"/>
      <c r="AF84" s="20"/>
      <c r="AG84" s="17"/>
      <c r="AH84" s="20"/>
      <c r="AI84" s="17"/>
      <c r="AJ84" s="20"/>
      <c r="AK84" s="17"/>
      <c r="AL84" s="17"/>
      <c r="AM84" s="20"/>
      <c r="AN84" s="20"/>
      <c r="AO84" s="20"/>
      <c r="AP84" s="20"/>
      <c r="AQ84" s="17"/>
      <c r="AR84" s="17"/>
      <c r="AS84" s="20"/>
      <c r="AT84" s="17"/>
      <c r="AU84" s="17"/>
      <c r="AV84" s="17"/>
      <c r="AW84" s="17"/>
      <c r="AX84" s="17"/>
      <c r="AY84" s="17"/>
      <c r="AZ84" s="17"/>
      <c r="BA84" s="17"/>
      <c r="BB84" s="20"/>
      <c r="BC84" s="17"/>
      <c r="BD84" s="20"/>
      <c r="BE84" s="17"/>
      <c r="BF84" s="20"/>
      <c r="BG84" s="20"/>
      <c r="BH84" s="20"/>
      <c r="BI84" s="20"/>
    </row>
    <row r="85" spans="3:61" s="30" customFormat="1" ht="18" x14ac:dyDescent="0.35">
      <c r="C85" s="31"/>
      <c r="D85" s="31"/>
      <c r="E85" s="31"/>
      <c r="F85" s="19"/>
      <c r="G85" s="18"/>
      <c r="H85" s="18"/>
      <c r="I85" s="18"/>
      <c r="J85" s="18"/>
      <c r="K85" s="18"/>
      <c r="L85" s="18"/>
      <c r="M85" s="18"/>
      <c r="N85" s="18"/>
      <c r="P85"/>
      <c r="Q85"/>
      <c r="R85"/>
      <c r="S85"/>
      <c r="T85"/>
      <c r="U85"/>
      <c r="V85"/>
      <c r="X85" s="33"/>
      <c r="Y85" s="20"/>
      <c r="Z85" s="20"/>
      <c r="AA85" s="20"/>
      <c r="AB85" s="20"/>
      <c r="AC85" s="20"/>
      <c r="AD85" s="17"/>
      <c r="AE85" s="17"/>
      <c r="AF85" s="20"/>
      <c r="AG85" s="17"/>
      <c r="AH85" s="20"/>
      <c r="AI85" s="17"/>
      <c r="AJ85" s="20"/>
      <c r="AK85" s="17"/>
      <c r="AL85" s="17"/>
      <c r="AM85" s="20"/>
      <c r="AN85" s="20"/>
      <c r="AO85" s="20"/>
      <c r="AP85" s="20"/>
      <c r="AQ85" s="17"/>
      <c r="AR85" s="17"/>
      <c r="AS85" s="20"/>
      <c r="AT85" s="17"/>
      <c r="AU85" s="17"/>
      <c r="AV85" s="17"/>
      <c r="AW85" s="17"/>
      <c r="AX85" s="17"/>
      <c r="AY85" s="17"/>
      <c r="AZ85" s="17"/>
      <c r="BA85" s="17"/>
      <c r="BB85" s="20"/>
      <c r="BC85" s="17"/>
      <c r="BD85" s="20"/>
      <c r="BE85" s="17"/>
      <c r="BF85" s="20"/>
      <c r="BG85" s="20"/>
      <c r="BH85" s="20"/>
      <c r="BI85" s="20"/>
    </row>
    <row r="86" spans="3:61" s="30" customFormat="1" ht="18" x14ac:dyDescent="0.35">
      <c r="C86" s="31"/>
      <c r="D86" s="31"/>
      <c r="E86" s="31"/>
      <c r="F86" s="19"/>
      <c r="G86" s="18"/>
      <c r="H86" s="18"/>
      <c r="I86" s="18"/>
      <c r="J86" s="18"/>
      <c r="K86" s="18"/>
      <c r="L86" s="18"/>
      <c r="M86" s="18"/>
      <c r="N86" s="18"/>
      <c r="P86"/>
      <c r="Q86"/>
      <c r="R86"/>
      <c r="S86"/>
      <c r="T86"/>
      <c r="U86"/>
      <c r="V86"/>
      <c r="X86" s="33"/>
      <c r="Y86" s="20"/>
      <c r="Z86" s="20"/>
      <c r="AA86" s="20"/>
      <c r="AB86" s="20"/>
      <c r="AC86" s="20"/>
      <c r="AD86" s="17"/>
      <c r="AE86" s="17"/>
      <c r="AF86" s="20"/>
      <c r="AG86" s="17"/>
      <c r="AH86" s="20"/>
      <c r="AI86" s="17"/>
      <c r="AJ86" s="20"/>
      <c r="AK86" s="17"/>
      <c r="AL86" s="17"/>
      <c r="AM86" s="20"/>
      <c r="AN86" s="20"/>
      <c r="AO86" s="20"/>
      <c r="AP86" s="20"/>
      <c r="AQ86" s="17"/>
      <c r="AR86" s="17"/>
      <c r="AS86" s="20"/>
      <c r="AT86" s="17"/>
      <c r="AU86" s="17"/>
      <c r="AV86" s="17"/>
      <c r="AW86" s="17"/>
      <c r="AX86" s="17"/>
      <c r="AY86" s="17"/>
      <c r="AZ86" s="17"/>
      <c r="BA86" s="17"/>
      <c r="BB86" s="20"/>
      <c r="BC86" s="17"/>
      <c r="BD86" s="20"/>
      <c r="BE86" s="17"/>
      <c r="BF86" s="20"/>
      <c r="BG86" s="20"/>
      <c r="BH86" s="20"/>
      <c r="BI86" s="20"/>
    </row>
    <row r="87" spans="3:61" s="30" customFormat="1" ht="18" x14ac:dyDescent="0.35">
      <c r="C87" s="31"/>
      <c r="D87" s="31"/>
      <c r="E87" s="31"/>
      <c r="F87" s="19"/>
      <c r="G87" s="18"/>
      <c r="H87" s="18"/>
      <c r="I87" s="18"/>
      <c r="J87" s="18"/>
      <c r="K87" s="18"/>
      <c r="L87" s="18"/>
      <c r="M87" s="18"/>
      <c r="N87" s="18"/>
      <c r="P87"/>
      <c r="Q87"/>
      <c r="R87"/>
      <c r="S87"/>
      <c r="T87"/>
      <c r="U87"/>
      <c r="V87"/>
      <c r="X87" s="33"/>
      <c r="Y87" s="20"/>
      <c r="Z87" s="20"/>
      <c r="AA87" s="20"/>
      <c r="AB87" s="20"/>
      <c r="AC87" s="20"/>
      <c r="AD87" s="17"/>
      <c r="AE87" s="17"/>
      <c r="AF87" s="20"/>
      <c r="AG87" s="17"/>
      <c r="AH87" s="20"/>
      <c r="AI87" s="17"/>
      <c r="AJ87" s="20"/>
      <c r="AK87" s="17"/>
      <c r="AL87" s="17"/>
      <c r="AM87" s="20"/>
      <c r="AN87" s="20"/>
      <c r="AO87" s="20"/>
      <c r="AP87" s="20"/>
      <c r="AQ87" s="17"/>
      <c r="AR87" s="17"/>
      <c r="AS87" s="20"/>
      <c r="AT87" s="17"/>
      <c r="AU87" s="17"/>
      <c r="AV87" s="17"/>
      <c r="AW87" s="17"/>
      <c r="AX87" s="17"/>
      <c r="AY87" s="17"/>
      <c r="AZ87" s="17"/>
      <c r="BA87" s="17"/>
      <c r="BB87" s="20"/>
      <c r="BC87" s="17"/>
      <c r="BD87" s="20"/>
      <c r="BE87" s="17"/>
      <c r="BF87" s="20"/>
      <c r="BG87" s="20"/>
      <c r="BH87" s="20"/>
      <c r="BI87" s="20"/>
    </row>
    <row r="88" spans="3:61" s="30" customFormat="1" ht="18" x14ac:dyDescent="0.35">
      <c r="C88" s="31"/>
      <c r="D88" s="31"/>
      <c r="E88" s="31"/>
      <c r="F88" s="19"/>
      <c r="G88" s="18"/>
      <c r="H88" s="18"/>
      <c r="I88" s="18"/>
      <c r="J88" s="18"/>
      <c r="K88" s="18"/>
      <c r="L88" s="18"/>
      <c r="M88" s="18"/>
      <c r="N88" s="18"/>
      <c r="P88"/>
      <c r="Q88"/>
      <c r="R88"/>
      <c r="S88"/>
      <c r="T88"/>
      <c r="U88"/>
      <c r="V88"/>
      <c r="X88" s="33"/>
      <c r="Y88" s="20"/>
      <c r="Z88" s="20"/>
      <c r="AA88" s="20"/>
      <c r="AB88" s="20"/>
      <c r="AC88" s="20"/>
      <c r="AD88" s="17"/>
      <c r="AE88" s="17"/>
      <c r="AF88" s="20"/>
      <c r="AG88" s="17"/>
      <c r="AH88" s="20"/>
      <c r="AI88" s="17"/>
      <c r="AJ88" s="20"/>
      <c r="AK88" s="17"/>
      <c r="AL88" s="17"/>
      <c r="AM88" s="20"/>
      <c r="AN88" s="20"/>
      <c r="AO88" s="20"/>
      <c r="AP88" s="20"/>
      <c r="AQ88" s="17"/>
      <c r="AR88" s="17"/>
      <c r="AS88" s="20"/>
      <c r="AT88" s="17"/>
      <c r="AU88" s="17"/>
      <c r="AV88" s="17"/>
      <c r="AW88" s="17"/>
      <c r="AX88" s="17"/>
      <c r="AY88" s="17"/>
      <c r="AZ88" s="17"/>
      <c r="BA88" s="17"/>
      <c r="BB88" s="20"/>
      <c r="BC88" s="17"/>
      <c r="BD88" s="20"/>
      <c r="BE88" s="17"/>
      <c r="BF88" s="20"/>
      <c r="BG88" s="20"/>
      <c r="BH88" s="20"/>
      <c r="BI88" s="20"/>
    </row>
    <row r="89" spans="3:61" s="30" customFormat="1" ht="18" x14ac:dyDescent="0.35">
      <c r="C89" s="31"/>
      <c r="D89" s="31"/>
      <c r="E89" s="31"/>
      <c r="F89" s="19"/>
      <c r="G89" s="18"/>
      <c r="H89" s="18"/>
      <c r="I89" s="18"/>
      <c r="J89" s="18"/>
      <c r="K89" s="18"/>
      <c r="L89" s="18"/>
      <c r="M89" s="18"/>
      <c r="N89" s="18"/>
      <c r="P89"/>
      <c r="Q89"/>
      <c r="R89"/>
      <c r="S89"/>
      <c r="T89"/>
      <c r="U89"/>
      <c r="V89"/>
      <c r="X89" s="33"/>
      <c r="Y89" s="20"/>
      <c r="Z89" s="20"/>
      <c r="AA89" s="20"/>
      <c r="AB89" s="20"/>
      <c r="AC89" s="20"/>
      <c r="AD89" s="17"/>
      <c r="AE89" s="17"/>
      <c r="AF89" s="20"/>
      <c r="AG89" s="17"/>
      <c r="AH89" s="20"/>
      <c r="AI89" s="17"/>
      <c r="AJ89" s="20"/>
      <c r="AK89" s="17"/>
      <c r="AL89" s="17"/>
      <c r="AM89" s="20"/>
      <c r="AN89" s="20"/>
      <c r="AO89" s="20"/>
      <c r="AP89" s="20"/>
      <c r="AQ89" s="17"/>
      <c r="AR89" s="17"/>
      <c r="AS89" s="20"/>
      <c r="AT89" s="17"/>
      <c r="AU89" s="17"/>
      <c r="AV89" s="17"/>
      <c r="AW89" s="17"/>
      <c r="AX89" s="17"/>
      <c r="AY89" s="17"/>
      <c r="AZ89" s="17"/>
      <c r="BA89" s="17"/>
      <c r="BB89" s="20"/>
      <c r="BC89" s="17"/>
      <c r="BD89" s="20"/>
      <c r="BE89" s="17"/>
      <c r="BF89" s="20"/>
      <c r="BG89" s="20"/>
      <c r="BH89" s="20"/>
      <c r="BI89" s="20"/>
    </row>
    <row r="90" spans="3:61" s="30" customFormat="1" ht="18" x14ac:dyDescent="0.35">
      <c r="C90" s="31"/>
      <c r="D90" s="31"/>
      <c r="E90" s="31"/>
      <c r="F90" s="19"/>
      <c r="G90" s="18"/>
      <c r="H90" s="18"/>
      <c r="I90" s="18"/>
      <c r="J90" s="18"/>
      <c r="K90" s="18"/>
      <c r="L90" s="18"/>
      <c r="M90" s="18"/>
      <c r="N90" s="18"/>
      <c r="P90"/>
      <c r="Q90"/>
      <c r="R90"/>
      <c r="S90"/>
      <c r="T90"/>
      <c r="U90"/>
      <c r="V90"/>
      <c r="X90" s="33"/>
      <c r="Y90" s="20"/>
      <c r="Z90" s="20"/>
      <c r="AA90" s="20"/>
      <c r="AB90" s="20"/>
      <c r="AC90" s="20"/>
      <c r="AD90" s="17"/>
      <c r="AE90" s="17"/>
      <c r="AF90" s="20"/>
      <c r="AG90" s="17"/>
      <c r="AH90" s="20"/>
      <c r="AI90" s="17"/>
      <c r="AJ90" s="20"/>
      <c r="AK90" s="17"/>
      <c r="AL90" s="17"/>
      <c r="AM90" s="20"/>
      <c r="AN90" s="20"/>
      <c r="AO90" s="20"/>
      <c r="AP90" s="20"/>
      <c r="AQ90" s="17"/>
      <c r="AR90" s="17"/>
      <c r="AS90" s="20"/>
      <c r="AT90" s="17"/>
      <c r="AU90" s="17"/>
      <c r="AV90" s="17"/>
      <c r="AW90" s="17"/>
      <c r="AX90" s="17"/>
      <c r="AY90" s="17"/>
      <c r="AZ90" s="17"/>
      <c r="BA90" s="17"/>
      <c r="BB90" s="20"/>
      <c r="BC90" s="17"/>
      <c r="BD90" s="20"/>
      <c r="BE90" s="17"/>
      <c r="BF90" s="20"/>
      <c r="BG90" s="20"/>
      <c r="BH90" s="20"/>
      <c r="BI90" s="20"/>
    </row>
    <row r="91" spans="3:61" s="30" customFormat="1" ht="18" x14ac:dyDescent="0.35">
      <c r="C91" s="31"/>
      <c r="D91" s="31"/>
      <c r="E91" s="31"/>
      <c r="F91" s="19"/>
      <c r="G91" s="18"/>
      <c r="H91" s="18"/>
      <c r="I91" s="18"/>
      <c r="J91" s="18"/>
      <c r="K91" s="18"/>
      <c r="L91" s="18"/>
      <c r="M91" s="18"/>
      <c r="N91" s="18"/>
      <c r="P91"/>
      <c r="Q91"/>
      <c r="R91"/>
      <c r="S91"/>
      <c r="T91"/>
      <c r="U91"/>
      <c r="V91"/>
      <c r="X91" s="33"/>
      <c r="Y91" s="20"/>
      <c r="Z91" s="20"/>
      <c r="AA91" s="20"/>
      <c r="AB91" s="20"/>
      <c r="AC91" s="20"/>
      <c r="AD91" s="17"/>
      <c r="AE91" s="17"/>
      <c r="AF91" s="20"/>
      <c r="AG91" s="17"/>
      <c r="AH91" s="20"/>
      <c r="AI91" s="17"/>
      <c r="AJ91" s="20"/>
      <c r="AK91" s="17"/>
      <c r="AL91" s="17"/>
      <c r="AM91" s="20"/>
      <c r="AN91" s="20"/>
      <c r="AO91" s="20"/>
      <c r="AP91" s="20"/>
      <c r="AQ91" s="17"/>
      <c r="AR91" s="17"/>
      <c r="AS91" s="20"/>
      <c r="AT91" s="17"/>
      <c r="AU91" s="17"/>
      <c r="AV91" s="17"/>
      <c r="AW91" s="17"/>
      <c r="AX91" s="17"/>
      <c r="AY91" s="17"/>
      <c r="AZ91" s="17"/>
      <c r="BA91" s="17"/>
      <c r="BB91" s="20"/>
      <c r="BC91" s="17"/>
      <c r="BD91" s="20"/>
      <c r="BE91" s="17"/>
      <c r="BF91" s="20"/>
      <c r="BG91" s="20"/>
      <c r="BH91" s="20"/>
      <c r="BI91" s="20"/>
    </row>
    <row r="92" spans="3:61" s="30" customFormat="1" ht="18" x14ac:dyDescent="0.35">
      <c r="C92" s="31"/>
      <c r="D92" s="31"/>
      <c r="E92" s="31"/>
      <c r="F92" s="19"/>
      <c r="G92" s="18"/>
      <c r="H92" s="18"/>
      <c r="I92" s="18"/>
      <c r="J92" s="18"/>
      <c r="K92" s="18"/>
      <c r="L92" s="18"/>
      <c r="M92" s="18"/>
      <c r="N92" s="18"/>
      <c r="P92"/>
      <c r="Q92"/>
      <c r="R92"/>
      <c r="S92"/>
      <c r="T92"/>
      <c r="U92"/>
      <c r="V92"/>
      <c r="X92" s="33"/>
      <c r="Y92" s="20"/>
      <c r="Z92" s="20"/>
      <c r="AA92" s="20"/>
      <c r="AB92" s="20"/>
      <c r="AC92" s="20"/>
      <c r="AD92" s="17"/>
      <c r="AE92" s="17"/>
      <c r="AF92" s="20"/>
      <c r="AG92" s="17"/>
      <c r="AH92" s="20"/>
      <c r="AI92" s="17"/>
      <c r="AJ92" s="20"/>
      <c r="AK92" s="17"/>
      <c r="AL92" s="17"/>
      <c r="AM92" s="20"/>
      <c r="AN92" s="20"/>
      <c r="AO92" s="20"/>
      <c r="AP92" s="20"/>
      <c r="AQ92" s="17"/>
      <c r="AR92" s="17"/>
      <c r="AS92" s="20"/>
      <c r="AT92" s="17"/>
      <c r="AU92" s="17"/>
      <c r="AV92" s="17"/>
      <c r="AW92" s="17"/>
      <c r="AX92" s="17"/>
      <c r="AY92" s="17"/>
      <c r="AZ92" s="17"/>
      <c r="BA92" s="17"/>
      <c r="BB92" s="20"/>
      <c r="BC92" s="17"/>
      <c r="BD92" s="20"/>
      <c r="BE92" s="17"/>
      <c r="BF92" s="20"/>
      <c r="BG92" s="20"/>
      <c r="BH92" s="20"/>
      <c r="BI92" s="20"/>
    </row>
    <row r="93" spans="3:61" s="30" customFormat="1" ht="18" x14ac:dyDescent="0.35">
      <c r="C93" s="31"/>
      <c r="D93" s="31"/>
      <c r="E93" s="31"/>
      <c r="F93" s="19"/>
      <c r="G93" s="18"/>
      <c r="H93" s="18"/>
      <c r="I93" s="18"/>
      <c r="J93" s="18"/>
      <c r="K93" s="18"/>
      <c r="L93" s="18"/>
      <c r="M93" s="18"/>
      <c r="N93" s="18"/>
      <c r="P93"/>
      <c r="Q93"/>
      <c r="R93"/>
      <c r="S93"/>
      <c r="T93"/>
      <c r="U93"/>
      <c r="V93"/>
      <c r="X93" s="33"/>
      <c r="Y93" s="20"/>
      <c r="Z93" s="20"/>
      <c r="AA93" s="20"/>
      <c r="AB93" s="20"/>
      <c r="AC93" s="20"/>
      <c r="AD93" s="17"/>
      <c r="AE93" s="17"/>
      <c r="AF93" s="20"/>
      <c r="AG93" s="17"/>
      <c r="AH93" s="20"/>
      <c r="AI93" s="17"/>
      <c r="AJ93" s="20"/>
      <c r="AK93" s="17"/>
      <c r="AL93" s="17"/>
      <c r="AM93" s="20"/>
      <c r="AN93" s="20"/>
      <c r="AO93" s="20"/>
      <c r="AP93" s="20"/>
      <c r="AQ93" s="17"/>
      <c r="AR93" s="17"/>
      <c r="AS93" s="20"/>
      <c r="AT93" s="17"/>
      <c r="AU93" s="17"/>
      <c r="AV93" s="17"/>
      <c r="AW93" s="17"/>
      <c r="AX93" s="17"/>
      <c r="AY93" s="17"/>
      <c r="AZ93" s="17"/>
      <c r="BA93" s="17"/>
      <c r="BB93" s="20"/>
      <c r="BC93" s="17"/>
      <c r="BD93" s="20"/>
      <c r="BE93" s="17"/>
      <c r="BF93" s="20"/>
      <c r="BG93" s="20"/>
      <c r="BH93" s="20"/>
      <c r="BI93" s="20"/>
    </row>
    <row r="94" spans="3:61" s="30" customFormat="1" ht="18" x14ac:dyDescent="0.35">
      <c r="C94" s="31"/>
      <c r="D94" s="31"/>
      <c r="E94" s="31"/>
      <c r="F94" s="19"/>
      <c r="G94" s="18"/>
      <c r="H94" s="18"/>
      <c r="I94" s="18"/>
      <c r="J94" s="18"/>
      <c r="K94" s="18"/>
      <c r="L94" s="18"/>
      <c r="M94" s="18"/>
      <c r="N94" s="18"/>
      <c r="P94"/>
      <c r="Q94"/>
      <c r="R94"/>
      <c r="S94"/>
      <c r="T94"/>
      <c r="U94"/>
      <c r="V94"/>
      <c r="X94" s="33"/>
      <c r="Y94" s="20"/>
      <c r="Z94" s="20"/>
      <c r="AA94" s="20"/>
      <c r="AB94" s="20"/>
      <c r="AC94" s="20"/>
      <c r="AD94" s="17"/>
      <c r="AE94" s="17"/>
      <c r="AF94" s="20"/>
      <c r="AG94" s="17"/>
      <c r="AH94" s="20"/>
      <c r="AI94" s="17"/>
      <c r="AJ94" s="20"/>
      <c r="AK94" s="17"/>
      <c r="AL94" s="17"/>
      <c r="AM94" s="20"/>
      <c r="AN94" s="20"/>
      <c r="AO94" s="20"/>
      <c r="AP94" s="20"/>
      <c r="AQ94" s="17"/>
      <c r="AR94" s="17"/>
      <c r="AS94" s="20"/>
      <c r="AT94" s="17"/>
      <c r="AU94" s="17"/>
      <c r="AV94" s="17"/>
      <c r="AW94" s="17"/>
      <c r="AX94" s="17"/>
      <c r="AY94" s="17"/>
      <c r="AZ94" s="17"/>
      <c r="BA94" s="17"/>
      <c r="BB94" s="20"/>
      <c r="BC94" s="17"/>
      <c r="BD94" s="20"/>
      <c r="BE94" s="17"/>
      <c r="BF94" s="20"/>
      <c r="BG94" s="20"/>
      <c r="BH94" s="20"/>
      <c r="BI94" s="20"/>
    </row>
    <row r="95" spans="3:61" s="30" customFormat="1" ht="18" x14ac:dyDescent="0.35">
      <c r="C95" s="31"/>
      <c r="D95" s="31"/>
      <c r="E95" s="31"/>
      <c r="F95" s="19"/>
      <c r="G95" s="18"/>
      <c r="H95" s="18"/>
      <c r="I95" s="18"/>
      <c r="J95" s="18"/>
      <c r="K95" s="18"/>
      <c r="L95" s="18"/>
      <c r="M95" s="18"/>
      <c r="N95" s="18"/>
      <c r="P95"/>
      <c r="Q95"/>
      <c r="R95"/>
      <c r="S95"/>
      <c r="T95"/>
      <c r="U95"/>
      <c r="V95"/>
      <c r="X95" s="33"/>
      <c r="Y95" s="20"/>
      <c r="Z95" s="20"/>
      <c r="AA95" s="20"/>
      <c r="AB95" s="20"/>
      <c r="AC95" s="20"/>
      <c r="AD95" s="17"/>
      <c r="AE95" s="17"/>
      <c r="AF95" s="20"/>
      <c r="AG95" s="17"/>
      <c r="AH95" s="20"/>
      <c r="AI95" s="17"/>
      <c r="AJ95" s="20"/>
      <c r="AK95" s="17"/>
      <c r="AL95" s="17"/>
      <c r="AM95" s="20"/>
      <c r="AN95" s="20"/>
      <c r="AO95" s="20"/>
      <c r="AP95" s="20"/>
      <c r="AQ95" s="17"/>
      <c r="AR95" s="17"/>
      <c r="AS95" s="20"/>
      <c r="AT95" s="17"/>
      <c r="AU95" s="17"/>
      <c r="AV95" s="17"/>
      <c r="AW95" s="17"/>
      <c r="AX95" s="17"/>
      <c r="AY95" s="17"/>
      <c r="AZ95" s="17"/>
      <c r="BA95" s="17"/>
      <c r="BB95" s="20"/>
      <c r="BC95" s="17"/>
      <c r="BD95" s="20"/>
      <c r="BE95" s="17"/>
      <c r="BF95" s="20"/>
      <c r="BG95" s="20"/>
      <c r="BH95" s="20"/>
      <c r="BI95" s="20"/>
    </row>
    <row r="96" spans="3:61" s="30" customFormat="1" ht="18" x14ac:dyDescent="0.35">
      <c r="C96" s="31"/>
      <c r="D96" s="31"/>
      <c r="E96" s="31"/>
      <c r="F96" s="19"/>
      <c r="G96" s="18"/>
      <c r="H96" s="18"/>
      <c r="I96" s="18"/>
      <c r="J96" s="18"/>
      <c r="K96" s="18"/>
      <c r="L96" s="18"/>
      <c r="M96" s="18"/>
      <c r="N96" s="18"/>
      <c r="P96"/>
      <c r="Q96"/>
      <c r="R96"/>
      <c r="S96"/>
      <c r="T96"/>
      <c r="U96"/>
      <c r="V96"/>
      <c r="X96" s="33"/>
      <c r="Y96" s="20"/>
      <c r="Z96" s="20"/>
      <c r="AA96" s="20"/>
      <c r="AB96" s="20"/>
      <c r="AC96" s="20"/>
      <c r="AD96" s="17"/>
      <c r="AE96" s="17"/>
      <c r="AF96" s="20"/>
      <c r="AG96" s="17"/>
      <c r="AH96" s="20"/>
      <c r="AI96" s="17"/>
      <c r="AJ96" s="20"/>
      <c r="AK96" s="17"/>
      <c r="AL96" s="17"/>
      <c r="AM96" s="20"/>
      <c r="AN96" s="20"/>
      <c r="AO96" s="20"/>
      <c r="AP96" s="20"/>
      <c r="AQ96" s="17"/>
      <c r="AR96" s="17"/>
      <c r="AS96" s="20"/>
      <c r="AT96" s="17"/>
      <c r="AU96" s="17"/>
      <c r="AV96" s="17"/>
      <c r="AW96" s="17"/>
      <c r="AX96" s="17"/>
      <c r="AY96" s="17"/>
      <c r="AZ96" s="17"/>
      <c r="BA96" s="17"/>
      <c r="BB96" s="20"/>
      <c r="BC96" s="17"/>
      <c r="BD96" s="20"/>
      <c r="BE96" s="17"/>
      <c r="BF96" s="20"/>
      <c r="BG96" s="20"/>
      <c r="BH96" s="20"/>
      <c r="BI96" s="20"/>
    </row>
    <row r="97" spans="3:61" s="30" customFormat="1" ht="18" x14ac:dyDescent="0.35">
      <c r="C97" s="31"/>
      <c r="D97" s="31"/>
      <c r="E97" s="31"/>
      <c r="F97" s="19"/>
      <c r="G97" s="18"/>
      <c r="H97" s="18"/>
      <c r="I97" s="18"/>
      <c r="J97" s="18"/>
      <c r="K97" s="18"/>
      <c r="L97" s="18"/>
      <c r="M97" s="18"/>
      <c r="N97" s="18"/>
      <c r="P97"/>
      <c r="Q97"/>
      <c r="R97"/>
      <c r="S97"/>
      <c r="T97"/>
      <c r="U97"/>
      <c r="V97"/>
      <c r="X97" s="33"/>
      <c r="Y97" s="20"/>
      <c r="Z97" s="20"/>
      <c r="AA97" s="20"/>
      <c r="AB97" s="20"/>
      <c r="AC97" s="20"/>
      <c r="AD97" s="17"/>
      <c r="AE97" s="17"/>
      <c r="AF97" s="20"/>
      <c r="AG97" s="17"/>
      <c r="AH97" s="20"/>
      <c r="AI97" s="17"/>
      <c r="AJ97" s="20"/>
      <c r="AK97" s="17"/>
      <c r="AL97" s="17"/>
      <c r="AM97" s="20"/>
      <c r="AN97" s="20"/>
      <c r="AO97" s="20"/>
      <c r="AP97" s="20"/>
      <c r="AQ97" s="17"/>
      <c r="AR97" s="17"/>
      <c r="AS97" s="20"/>
      <c r="AT97" s="17"/>
      <c r="AU97" s="17"/>
      <c r="AV97" s="17"/>
      <c r="AW97" s="17"/>
      <c r="AX97" s="17"/>
      <c r="AY97" s="17"/>
      <c r="AZ97" s="17"/>
      <c r="BA97" s="17"/>
      <c r="BB97" s="20"/>
      <c r="BC97" s="17"/>
      <c r="BD97" s="20"/>
      <c r="BE97" s="17"/>
      <c r="BF97" s="20"/>
      <c r="BG97" s="20"/>
      <c r="BH97" s="20"/>
      <c r="BI97" s="20"/>
    </row>
    <row r="98" spans="3:61" s="30" customFormat="1" ht="18" x14ac:dyDescent="0.35">
      <c r="C98" s="31"/>
      <c r="D98" s="31"/>
      <c r="E98" s="31"/>
      <c r="F98" s="19"/>
      <c r="G98" s="18"/>
      <c r="H98" s="18"/>
      <c r="I98" s="18"/>
      <c r="J98" s="18"/>
      <c r="K98" s="18"/>
      <c r="L98" s="18"/>
      <c r="M98" s="18"/>
      <c r="N98" s="18"/>
      <c r="P98"/>
      <c r="Q98"/>
      <c r="R98"/>
      <c r="S98"/>
      <c r="T98"/>
      <c r="U98"/>
      <c r="V98"/>
      <c r="X98" s="33"/>
      <c r="Y98" s="20"/>
      <c r="Z98" s="20"/>
      <c r="AA98" s="20"/>
      <c r="AB98" s="20"/>
      <c r="AC98" s="20"/>
      <c r="AD98" s="17"/>
      <c r="AE98" s="17"/>
      <c r="AF98" s="20"/>
      <c r="AG98" s="17"/>
      <c r="AH98" s="20"/>
      <c r="AI98" s="17"/>
      <c r="AJ98" s="20"/>
      <c r="AK98" s="17"/>
      <c r="AL98" s="17"/>
      <c r="AM98" s="20"/>
      <c r="AN98" s="20"/>
      <c r="AO98" s="20"/>
      <c r="AP98" s="20"/>
      <c r="AQ98" s="17"/>
      <c r="AR98" s="17"/>
      <c r="AS98" s="20"/>
      <c r="AT98" s="17"/>
      <c r="AU98" s="17"/>
      <c r="AV98" s="17"/>
      <c r="AW98" s="17"/>
      <c r="AX98" s="17"/>
      <c r="AY98" s="17"/>
      <c r="AZ98" s="17"/>
      <c r="BA98" s="17"/>
      <c r="BB98" s="20"/>
      <c r="BC98" s="17"/>
      <c r="BD98" s="20"/>
      <c r="BE98" s="17"/>
      <c r="BF98" s="20"/>
      <c r="BG98" s="20"/>
      <c r="BH98" s="20"/>
      <c r="BI98" s="20"/>
    </row>
    <row r="99" spans="3:61" s="30" customFormat="1" ht="18" x14ac:dyDescent="0.35">
      <c r="C99" s="31"/>
      <c r="D99" s="31"/>
      <c r="E99" s="31"/>
      <c r="F99" s="19"/>
      <c r="G99" s="18"/>
      <c r="H99" s="18"/>
      <c r="I99" s="18"/>
      <c r="J99" s="18"/>
      <c r="K99" s="18"/>
      <c r="L99" s="18"/>
      <c r="M99" s="18"/>
      <c r="N99" s="18"/>
      <c r="P99"/>
      <c r="Q99"/>
      <c r="R99"/>
      <c r="S99"/>
      <c r="T99"/>
      <c r="U99"/>
      <c r="V99"/>
      <c r="X99" s="33"/>
      <c r="Y99" s="20"/>
      <c r="Z99" s="20"/>
      <c r="AA99" s="20"/>
      <c r="AB99" s="20"/>
      <c r="AC99" s="20"/>
      <c r="AD99" s="17"/>
      <c r="AE99" s="17"/>
      <c r="AF99" s="20"/>
      <c r="AG99" s="17"/>
      <c r="AH99" s="20"/>
      <c r="AI99" s="17"/>
      <c r="AJ99" s="20"/>
      <c r="AK99" s="17"/>
      <c r="AL99" s="17"/>
      <c r="AM99" s="20"/>
      <c r="AN99" s="20"/>
      <c r="AO99" s="20"/>
      <c r="AP99" s="20"/>
      <c r="AQ99" s="17"/>
      <c r="AR99" s="17"/>
      <c r="AS99" s="20"/>
      <c r="AT99" s="17"/>
      <c r="AU99" s="17"/>
      <c r="AV99" s="17"/>
      <c r="AW99" s="17"/>
      <c r="AX99" s="17"/>
      <c r="AY99" s="17"/>
      <c r="AZ99" s="17"/>
      <c r="BA99" s="17"/>
      <c r="BB99" s="20"/>
      <c r="BC99" s="17"/>
      <c r="BD99" s="20"/>
      <c r="BE99" s="17"/>
      <c r="BF99" s="20"/>
      <c r="BG99" s="20"/>
      <c r="BH99" s="20"/>
      <c r="BI99" s="20"/>
    </row>
    <row r="100" spans="3:61" s="30" customFormat="1" ht="18" x14ac:dyDescent="0.35">
      <c r="C100" s="31"/>
      <c r="D100" s="31"/>
      <c r="E100" s="31"/>
      <c r="F100" s="19"/>
      <c r="G100" s="18"/>
      <c r="H100" s="18"/>
      <c r="I100" s="18"/>
      <c r="J100" s="18"/>
      <c r="K100" s="18"/>
      <c r="L100" s="18"/>
      <c r="M100" s="18"/>
      <c r="N100" s="18"/>
      <c r="P100"/>
      <c r="Q100"/>
      <c r="R100"/>
      <c r="S100"/>
      <c r="T100"/>
      <c r="U100"/>
      <c r="V100"/>
      <c r="X100" s="33"/>
      <c r="Y100" s="20"/>
      <c r="Z100" s="20"/>
      <c r="AA100" s="20"/>
      <c r="AB100" s="20"/>
      <c r="AC100" s="20"/>
      <c r="AD100" s="17"/>
      <c r="AE100" s="17"/>
      <c r="AF100" s="20"/>
      <c r="AG100" s="17"/>
      <c r="AH100" s="20"/>
      <c r="AI100" s="17"/>
      <c r="AJ100" s="20"/>
      <c r="AK100" s="17"/>
      <c r="AL100" s="17"/>
      <c r="AM100" s="20"/>
      <c r="AN100" s="20"/>
      <c r="AO100" s="20"/>
      <c r="AP100" s="20"/>
      <c r="AQ100" s="17"/>
      <c r="AR100" s="17"/>
      <c r="AS100" s="20"/>
      <c r="AT100" s="17"/>
      <c r="AU100" s="17"/>
      <c r="AV100" s="17"/>
      <c r="AW100" s="17"/>
      <c r="AX100" s="17"/>
      <c r="AY100" s="17"/>
      <c r="AZ100" s="17"/>
      <c r="BA100" s="17"/>
      <c r="BB100" s="20"/>
      <c r="BC100" s="17"/>
      <c r="BD100" s="20"/>
      <c r="BE100" s="17"/>
      <c r="BF100" s="20"/>
      <c r="BG100" s="20"/>
      <c r="BH100" s="20"/>
      <c r="BI100" s="20"/>
    </row>
    <row r="101" spans="3:61" s="30" customFormat="1" ht="18" x14ac:dyDescent="0.35">
      <c r="C101" s="31"/>
      <c r="D101" s="31"/>
      <c r="E101" s="31"/>
      <c r="F101" s="19"/>
      <c r="G101" s="18"/>
      <c r="H101" s="18"/>
      <c r="I101" s="18"/>
      <c r="J101" s="18"/>
      <c r="K101" s="18"/>
      <c r="L101" s="18"/>
      <c r="M101" s="18"/>
      <c r="N101" s="18"/>
      <c r="P101"/>
      <c r="Q101"/>
      <c r="R101"/>
      <c r="S101"/>
      <c r="T101"/>
      <c r="U101"/>
      <c r="V101"/>
      <c r="X101" s="33"/>
      <c r="Y101" s="20"/>
      <c r="Z101" s="20"/>
      <c r="AA101" s="20"/>
      <c r="AB101" s="20"/>
      <c r="AC101" s="20"/>
      <c r="AD101" s="17"/>
      <c r="AE101" s="17"/>
      <c r="AF101" s="20"/>
      <c r="AG101" s="17"/>
      <c r="AH101" s="20"/>
      <c r="AI101" s="17"/>
      <c r="AJ101" s="20"/>
      <c r="AK101" s="17"/>
      <c r="AL101" s="17"/>
      <c r="AM101" s="20"/>
      <c r="AN101" s="20"/>
      <c r="AO101" s="20"/>
      <c r="AP101" s="20"/>
      <c r="AQ101" s="17"/>
      <c r="AR101" s="17"/>
      <c r="AS101" s="20"/>
      <c r="AT101" s="17"/>
      <c r="AU101" s="17"/>
      <c r="AV101" s="17"/>
      <c r="AW101" s="17"/>
      <c r="AX101" s="17"/>
      <c r="AY101" s="17"/>
      <c r="AZ101" s="17"/>
      <c r="BA101" s="17"/>
      <c r="BB101" s="20"/>
      <c r="BC101" s="17"/>
      <c r="BD101" s="20"/>
      <c r="BE101" s="17"/>
      <c r="BF101" s="20"/>
      <c r="BG101" s="20"/>
      <c r="BH101" s="20"/>
      <c r="BI101" s="20"/>
    </row>
    <row r="102" spans="3:61" s="30" customFormat="1" ht="18" x14ac:dyDescent="0.35">
      <c r="C102" s="31"/>
      <c r="D102" s="31"/>
      <c r="E102" s="31"/>
      <c r="F102" s="19"/>
      <c r="G102" s="18"/>
      <c r="H102" s="18"/>
      <c r="I102" s="18"/>
      <c r="J102" s="18"/>
      <c r="K102" s="18"/>
      <c r="L102" s="18"/>
      <c r="M102" s="18"/>
      <c r="N102" s="18"/>
      <c r="P102"/>
      <c r="Q102"/>
      <c r="R102"/>
      <c r="S102"/>
      <c r="T102"/>
      <c r="U102"/>
      <c r="V102"/>
      <c r="X102" s="33"/>
      <c r="Y102" s="20"/>
      <c r="Z102" s="20"/>
      <c r="AA102" s="20"/>
      <c r="AB102" s="20"/>
      <c r="AC102" s="20"/>
      <c r="AD102" s="17"/>
      <c r="AE102" s="17"/>
      <c r="AF102" s="20"/>
      <c r="AG102" s="17"/>
      <c r="AH102" s="20"/>
      <c r="AI102" s="17"/>
      <c r="AJ102" s="20"/>
      <c r="AK102" s="17"/>
      <c r="AL102" s="17"/>
      <c r="AM102" s="20"/>
      <c r="AN102" s="20"/>
      <c r="AO102" s="20"/>
      <c r="AP102" s="20"/>
      <c r="AQ102" s="17"/>
      <c r="AR102" s="17"/>
      <c r="AS102" s="20"/>
      <c r="AT102" s="17"/>
      <c r="AU102" s="17"/>
      <c r="AV102" s="17"/>
      <c r="AW102" s="17"/>
      <c r="AX102" s="17"/>
      <c r="AY102" s="17"/>
      <c r="AZ102" s="17"/>
      <c r="BA102" s="17"/>
      <c r="BB102" s="20"/>
      <c r="BC102" s="17"/>
      <c r="BD102" s="20"/>
      <c r="BE102" s="17"/>
      <c r="BF102" s="20"/>
      <c r="BG102" s="20"/>
      <c r="BH102" s="20"/>
      <c r="BI102" s="20"/>
    </row>
    <row r="103" spans="3:61" s="30" customFormat="1" ht="18" x14ac:dyDescent="0.35">
      <c r="C103" s="31"/>
      <c r="D103" s="31"/>
      <c r="E103" s="31"/>
      <c r="F103" s="19"/>
      <c r="G103" s="18"/>
      <c r="H103" s="18"/>
      <c r="I103" s="18"/>
      <c r="J103" s="18"/>
      <c r="K103" s="18"/>
      <c r="L103" s="18"/>
      <c r="M103" s="18"/>
      <c r="N103" s="18"/>
      <c r="P103"/>
      <c r="Q103"/>
      <c r="R103"/>
      <c r="S103"/>
      <c r="T103"/>
      <c r="U103"/>
      <c r="V103"/>
      <c r="X103" s="33"/>
      <c r="Y103" s="20"/>
      <c r="Z103" s="20"/>
      <c r="AA103" s="20"/>
      <c r="AB103" s="20"/>
      <c r="AC103" s="20"/>
      <c r="AD103" s="17"/>
      <c r="AE103" s="17"/>
      <c r="AF103" s="20"/>
      <c r="AG103" s="17"/>
      <c r="AH103" s="20"/>
      <c r="AI103" s="17"/>
      <c r="AJ103" s="20"/>
      <c r="AK103" s="17"/>
      <c r="AL103" s="17"/>
      <c r="AM103" s="20"/>
      <c r="AN103" s="20"/>
      <c r="AO103" s="20"/>
      <c r="AP103" s="20"/>
      <c r="AQ103" s="17"/>
      <c r="AR103" s="17"/>
      <c r="AS103" s="20"/>
      <c r="AT103" s="17"/>
      <c r="AU103" s="17"/>
      <c r="AV103" s="17"/>
      <c r="AW103" s="17"/>
      <c r="AX103" s="17"/>
      <c r="AY103" s="17"/>
      <c r="AZ103" s="17"/>
      <c r="BA103" s="17"/>
      <c r="BB103" s="20"/>
      <c r="BC103" s="17"/>
      <c r="BD103" s="20"/>
      <c r="BE103" s="17"/>
      <c r="BF103" s="20"/>
      <c r="BG103" s="20"/>
      <c r="BH103" s="20"/>
      <c r="BI103" s="20"/>
    </row>
    <row r="104" spans="3:61" s="30" customFormat="1" ht="18" x14ac:dyDescent="0.35">
      <c r="C104" s="31"/>
      <c r="D104" s="31"/>
      <c r="E104" s="31"/>
      <c r="F104" s="19"/>
      <c r="G104" s="18"/>
      <c r="H104" s="18"/>
      <c r="I104" s="18"/>
      <c r="J104" s="18"/>
      <c r="K104" s="18"/>
      <c r="L104" s="18"/>
      <c r="M104" s="18"/>
      <c r="N104" s="18"/>
      <c r="P104"/>
      <c r="Q104"/>
      <c r="R104"/>
      <c r="S104"/>
      <c r="T104"/>
      <c r="U104"/>
      <c r="V104"/>
      <c r="X104" s="33"/>
      <c r="Y104" s="20"/>
      <c r="Z104" s="20"/>
      <c r="AA104" s="20"/>
      <c r="AB104" s="20"/>
      <c r="AC104" s="20"/>
      <c r="AD104" s="17"/>
      <c r="AE104" s="17"/>
      <c r="AF104" s="20"/>
      <c r="AG104" s="17"/>
      <c r="AH104" s="20"/>
      <c r="AI104" s="17"/>
      <c r="AJ104" s="20"/>
      <c r="AK104" s="17"/>
      <c r="AL104" s="17"/>
      <c r="AM104" s="20"/>
      <c r="AN104" s="20"/>
      <c r="AO104" s="20"/>
      <c r="AP104" s="20"/>
      <c r="AQ104" s="17"/>
      <c r="AR104" s="17"/>
      <c r="AS104" s="20"/>
      <c r="AT104" s="17"/>
      <c r="AU104" s="17"/>
      <c r="AV104" s="17"/>
      <c r="AW104" s="17"/>
      <c r="AX104" s="17"/>
      <c r="AY104" s="17"/>
      <c r="AZ104" s="17"/>
      <c r="BA104" s="17"/>
      <c r="BB104" s="20"/>
      <c r="BC104" s="17"/>
      <c r="BD104" s="20"/>
      <c r="BE104" s="17"/>
      <c r="BF104" s="20"/>
      <c r="BG104" s="20"/>
      <c r="BH104" s="20"/>
      <c r="BI104" s="20"/>
    </row>
    <row r="105" spans="3:61" s="30" customFormat="1" ht="18" x14ac:dyDescent="0.35">
      <c r="C105" s="31"/>
      <c r="D105" s="31"/>
      <c r="E105" s="31"/>
      <c r="F105" s="19"/>
      <c r="G105" s="18"/>
      <c r="H105" s="18"/>
      <c r="I105" s="18"/>
      <c r="J105" s="18"/>
      <c r="K105" s="18"/>
      <c r="L105" s="18"/>
      <c r="M105" s="18"/>
      <c r="N105" s="18"/>
      <c r="P105"/>
      <c r="Q105"/>
      <c r="R105"/>
      <c r="S105"/>
      <c r="T105"/>
      <c r="U105"/>
      <c r="V105"/>
      <c r="X105" s="33"/>
      <c r="Y105" s="20"/>
      <c r="Z105" s="20"/>
      <c r="AA105" s="20"/>
      <c r="AB105" s="20"/>
      <c r="AC105" s="20"/>
      <c r="AD105" s="17"/>
      <c r="AE105" s="17"/>
      <c r="AF105" s="20"/>
      <c r="AG105" s="17"/>
      <c r="AH105" s="20"/>
      <c r="AI105" s="17"/>
      <c r="AJ105" s="20"/>
      <c r="AK105" s="17"/>
      <c r="AL105" s="17"/>
      <c r="AM105" s="20"/>
      <c r="AN105" s="20"/>
      <c r="AO105" s="20"/>
      <c r="AP105" s="20"/>
      <c r="AQ105" s="17"/>
      <c r="AR105" s="17"/>
      <c r="AS105" s="20"/>
      <c r="AT105" s="17"/>
      <c r="AU105" s="17"/>
      <c r="AV105" s="17"/>
      <c r="AW105" s="17"/>
      <c r="AX105" s="17"/>
      <c r="AY105" s="17"/>
      <c r="AZ105" s="17"/>
      <c r="BA105" s="17"/>
      <c r="BB105" s="20"/>
      <c r="BC105" s="17"/>
      <c r="BD105" s="20"/>
      <c r="BE105" s="17"/>
      <c r="BF105" s="20"/>
      <c r="BG105" s="20"/>
      <c r="BH105" s="20"/>
      <c r="BI105" s="20"/>
    </row>
    <row r="106" spans="3:61" s="30" customFormat="1" ht="18" x14ac:dyDescent="0.35">
      <c r="C106" s="31"/>
      <c r="D106" s="31"/>
      <c r="E106" s="31"/>
      <c r="F106" s="19"/>
      <c r="G106" s="18"/>
      <c r="H106" s="18"/>
      <c r="I106" s="18"/>
      <c r="J106" s="18"/>
      <c r="K106" s="18"/>
      <c r="L106" s="18"/>
      <c r="M106" s="18"/>
      <c r="N106" s="18"/>
      <c r="P106"/>
      <c r="Q106"/>
      <c r="R106"/>
      <c r="S106"/>
      <c r="T106"/>
      <c r="U106"/>
      <c r="V106"/>
      <c r="X106" s="33"/>
      <c r="Y106" s="20"/>
      <c r="Z106" s="20"/>
      <c r="AA106" s="20"/>
      <c r="AB106" s="20"/>
      <c r="AC106" s="20"/>
      <c r="AD106" s="17"/>
      <c r="AE106" s="17"/>
      <c r="AF106" s="20"/>
      <c r="AG106" s="17"/>
      <c r="AH106" s="20"/>
      <c r="AI106" s="17"/>
      <c r="AJ106" s="20"/>
      <c r="AK106" s="17"/>
      <c r="AL106" s="17"/>
      <c r="AM106" s="20"/>
      <c r="AN106" s="20"/>
      <c r="AO106" s="20"/>
      <c r="AP106" s="20"/>
      <c r="AQ106" s="17"/>
      <c r="AR106" s="17"/>
      <c r="AS106" s="20"/>
      <c r="AT106" s="17"/>
      <c r="AU106" s="17"/>
      <c r="AV106" s="17"/>
      <c r="AW106" s="17"/>
      <c r="AX106" s="17"/>
      <c r="AY106" s="17"/>
      <c r="AZ106" s="17"/>
      <c r="BA106" s="17"/>
      <c r="BB106" s="20"/>
      <c r="BC106" s="17"/>
      <c r="BD106" s="20"/>
      <c r="BE106" s="17"/>
      <c r="BF106" s="20"/>
      <c r="BG106" s="20"/>
      <c r="BH106" s="20"/>
      <c r="BI106" s="20"/>
    </row>
    <row r="107" spans="3:61" s="30" customFormat="1" ht="18" x14ac:dyDescent="0.35">
      <c r="C107" s="31"/>
      <c r="D107" s="31"/>
      <c r="E107" s="31"/>
      <c r="F107" s="19"/>
      <c r="G107" s="18"/>
      <c r="H107" s="18"/>
      <c r="I107" s="18"/>
      <c r="J107" s="18"/>
      <c r="K107" s="18"/>
      <c r="L107" s="18"/>
      <c r="M107" s="18"/>
      <c r="N107" s="18"/>
      <c r="P107"/>
      <c r="Q107"/>
      <c r="R107"/>
      <c r="S107"/>
      <c r="T107"/>
      <c r="U107"/>
      <c r="V107"/>
      <c r="X107" s="33"/>
      <c r="Y107" s="20"/>
      <c r="Z107" s="20"/>
      <c r="AA107" s="20"/>
      <c r="AB107" s="20"/>
      <c r="AC107" s="20"/>
      <c r="AD107" s="17"/>
      <c r="AE107" s="17"/>
      <c r="AF107" s="20"/>
      <c r="AG107" s="17"/>
      <c r="AH107" s="20"/>
      <c r="AI107" s="17"/>
      <c r="AJ107" s="20"/>
      <c r="AK107" s="17"/>
      <c r="AL107" s="17"/>
      <c r="AM107" s="20"/>
      <c r="AN107" s="20"/>
      <c r="AO107" s="20"/>
      <c r="AP107" s="20"/>
      <c r="AQ107" s="17"/>
      <c r="AR107" s="17"/>
      <c r="AS107" s="20"/>
      <c r="AT107" s="17"/>
      <c r="AU107" s="17"/>
      <c r="AV107" s="17"/>
      <c r="AW107" s="17"/>
      <c r="AX107" s="17"/>
      <c r="AY107" s="17"/>
      <c r="AZ107" s="17"/>
      <c r="BA107" s="17"/>
      <c r="BB107" s="20"/>
      <c r="BC107" s="17"/>
      <c r="BD107" s="20"/>
      <c r="BE107" s="17"/>
      <c r="BF107" s="20"/>
      <c r="BG107" s="20"/>
      <c r="BH107" s="20"/>
      <c r="BI107" s="20"/>
    </row>
    <row r="108" spans="3:61" s="30" customFormat="1" ht="18" x14ac:dyDescent="0.35">
      <c r="C108" s="31"/>
      <c r="D108" s="31"/>
      <c r="E108" s="31"/>
      <c r="F108" s="19"/>
      <c r="G108" s="18"/>
      <c r="H108" s="18"/>
      <c r="I108" s="18"/>
      <c r="J108" s="18"/>
      <c r="K108" s="18"/>
      <c r="L108" s="18"/>
      <c r="M108" s="18"/>
      <c r="N108" s="18"/>
      <c r="P108"/>
      <c r="Q108"/>
      <c r="R108"/>
      <c r="S108"/>
      <c r="T108"/>
      <c r="U108"/>
      <c r="V108"/>
      <c r="X108" s="33"/>
      <c r="Y108" s="20"/>
      <c r="Z108" s="20"/>
      <c r="AA108" s="20"/>
      <c r="AB108" s="20"/>
      <c r="AC108" s="20"/>
      <c r="AD108" s="17"/>
      <c r="AE108" s="17"/>
      <c r="AF108" s="20"/>
      <c r="AG108" s="17"/>
      <c r="AH108" s="20"/>
      <c r="AI108" s="17"/>
      <c r="AJ108" s="20"/>
      <c r="AK108" s="17"/>
      <c r="AL108" s="17"/>
      <c r="AM108" s="20"/>
      <c r="AN108" s="20"/>
      <c r="AO108" s="20"/>
      <c r="AP108" s="20"/>
      <c r="AQ108" s="17"/>
      <c r="AR108" s="17"/>
      <c r="AS108" s="20"/>
      <c r="AT108" s="17"/>
      <c r="AU108" s="17"/>
      <c r="AV108" s="17"/>
      <c r="AW108" s="17"/>
      <c r="AX108" s="17"/>
      <c r="AY108" s="17"/>
      <c r="AZ108" s="17"/>
      <c r="BA108" s="17"/>
      <c r="BB108" s="20"/>
      <c r="BC108" s="17"/>
      <c r="BD108" s="20"/>
      <c r="BE108" s="17"/>
      <c r="BF108" s="20"/>
      <c r="BG108" s="20"/>
      <c r="BH108" s="20"/>
      <c r="BI108" s="20"/>
    </row>
    <row r="109" spans="3:61" s="30" customFormat="1" ht="18" x14ac:dyDescent="0.35">
      <c r="C109" s="31"/>
      <c r="D109" s="31"/>
      <c r="E109" s="31"/>
      <c r="F109" s="19"/>
      <c r="G109" s="18"/>
      <c r="H109" s="18"/>
      <c r="I109" s="18"/>
      <c r="J109" s="18"/>
      <c r="K109" s="18"/>
      <c r="L109" s="18"/>
      <c r="M109" s="18"/>
      <c r="N109" s="18"/>
      <c r="P109"/>
      <c r="Q109"/>
      <c r="R109"/>
      <c r="S109"/>
      <c r="T109"/>
      <c r="U109"/>
      <c r="V109"/>
      <c r="X109" s="33"/>
      <c r="Y109" s="20"/>
      <c r="Z109" s="20"/>
      <c r="AA109" s="20"/>
      <c r="AB109" s="20"/>
      <c r="AC109" s="20"/>
      <c r="AD109" s="17"/>
      <c r="AE109" s="17"/>
      <c r="AF109" s="20"/>
      <c r="AG109" s="17"/>
      <c r="AH109" s="20"/>
      <c r="AI109" s="17"/>
      <c r="AJ109" s="20"/>
      <c r="AK109" s="17"/>
      <c r="AL109" s="17"/>
      <c r="AM109" s="20"/>
      <c r="AN109" s="20"/>
      <c r="AO109" s="20"/>
      <c r="AP109" s="20"/>
      <c r="AQ109" s="17"/>
      <c r="AR109" s="17"/>
      <c r="AS109" s="20"/>
      <c r="AT109" s="17"/>
      <c r="AU109" s="17"/>
      <c r="AV109" s="17"/>
      <c r="AW109" s="17"/>
      <c r="AX109" s="17"/>
      <c r="AY109" s="17"/>
      <c r="AZ109" s="17"/>
      <c r="BA109" s="17"/>
      <c r="BB109" s="20"/>
      <c r="BC109" s="17"/>
      <c r="BD109" s="20"/>
      <c r="BE109" s="17"/>
      <c r="BF109" s="20"/>
      <c r="BG109" s="20"/>
      <c r="BH109" s="20"/>
      <c r="BI109" s="20"/>
    </row>
    <row r="110" spans="3:61" s="30" customFormat="1" ht="18" x14ac:dyDescent="0.35">
      <c r="C110" s="31"/>
      <c r="D110" s="31"/>
      <c r="E110" s="31"/>
      <c r="F110" s="19"/>
      <c r="G110" s="18"/>
      <c r="H110" s="18"/>
      <c r="I110" s="18"/>
      <c r="J110" s="18"/>
      <c r="K110" s="18"/>
      <c r="L110" s="18"/>
      <c r="M110" s="18"/>
      <c r="N110" s="18"/>
      <c r="P110"/>
      <c r="Q110"/>
      <c r="R110"/>
      <c r="S110"/>
      <c r="T110"/>
      <c r="U110"/>
      <c r="V110"/>
      <c r="X110" s="33"/>
      <c r="Y110" s="20"/>
      <c r="Z110" s="20"/>
      <c r="AA110" s="20"/>
      <c r="AB110" s="20"/>
      <c r="AC110" s="20"/>
      <c r="AD110" s="17"/>
      <c r="AE110" s="17"/>
      <c r="AF110" s="20"/>
      <c r="AG110" s="17"/>
      <c r="AH110" s="20"/>
      <c r="AI110" s="17"/>
      <c r="AJ110" s="20"/>
      <c r="AK110" s="17"/>
      <c r="AL110" s="17"/>
      <c r="AM110" s="20"/>
      <c r="AN110" s="20"/>
      <c r="AO110" s="20"/>
      <c r="AP110" s="20"/>
      <c r="AQ110" s="17"/>
      <c r="AR110" s="17"/>
      <c r="AS110" s="20"/>
      <c r="AT110" s="17"/>
      <c r="AU110" s="17"/>
      <c r="AV110" s="17"/>
      <c r="AW110" s="17"/>
      <c r="AX110" s="17"/>
      <c r="AY110" s="17"/>
      <c r="AZ110" s="17"/>
      <c r="BA110" s="17"/>
      <c r="BB110" s="20"/>
      <c r="BC110" s="17"/>
      <c r="BD110" s="20"/>
      <c r="BE110" s="17"/>
      <c r="BF110" s="20"/>
      <c r="BG110" s="20"/>
      <c r="BH110" s="20"/>
      <c r="BI110" s="20"/>
    </row>
    <row r="111" spans="3:61" s="30" customFormat="1" ht="18" x14ac:dyDescent="0.35">
      <c r="C111" s="31"/>
      <c r="D111" s="31"/>
      <c r="E111" s="31"/>
      <c r="F111" s="19"/>
      <c r="G111" s="18"/>
      <c r="H111" s="18"/>
      <c r="I111" s="18"/>
      <c r="J111" s="18"/>
      <c r="K111" s="18"/>
      <c r="L111" s="18"/>
      <c r="M111" s="18"/>
      <c r="N111" s="18"/>
      <c r="P111"/>
      <c r="Q111"/>
      <c r="R111"/>
      <c r="S111"/>
      <c r="T111"/>
      <c r="U111"/>
      <c r="V111"/>
      <c r="X111" s="33"/>
      <c r="Y111" s="20"/>
      <c r="Z111" s="20"/>
      <c r="AA111" s="20"/>
      <c r="AB111" s="20"/>
      <c r="AC111" s="20"/>
      <c r="AD111" s="17"/>
      <c r="AE111" s="17"/>
      <c r="AF111" s="20"/>
      <c r="AG111" s="17"/>
      <c r="AH111" s="20"/>
      <c r="AI111" s="17"/>
      <c r="AJ111" s="20"/>
      <c r="AK111" s="17"/>
      <c r="AL111" s="17"/>
      <c r="AM111" s="20"/>
      <c r="AN111" s="20"/>
      <c r="AO111" s="20"/>
      <c r="AP111" s="20"/>
      <c r="AQ111" s="17"/>
      <c r="AR111" s="17"/>
      <c r="AS111" s="20"/>
      <c r="AT111" s="17"/>
      <c r="AU111" s="17"/>
      <c r="AV111" s="17"/>
      <c r="AW111" s="17"/>
      <c r="AX111" s="17"/>
      <c r="AY111" s="17"/>
      <c r="AZ111" s="17"/>
      <c r="BA111" s="17"/>
      <c r="BB111" s="20"/>
      <c r="BC111" s="17"/>
      <c r="BD111" s="20"/>
      <c r="BE111" s="17"/>
      <c r="BF111" s="20"/>
      <c r="BG111" s="20"/>
      <c r="BH111" s="20"/>
      <c r="BI111" s="20"/>
    </row>
    <row r="112" spans="3:61" s="30" customFormat="1" ht="18" x14ac:dyDescent="0.35">
      <c r="C112" s="31"/>
      <c r="D112" s="31"/>
      <c r="E112" s="31"/>
      <c r="F112" s="19"/>
      <c r="G112" s="18"/>
      <c r="H112" s="18"/>
      <c r="I112" s="18"/>
      <c r="J112" s="18"/>
      <c r="K112" s="18"/>
      <c r="L112" s="18"/>
      <c r="M112" s="18"/>
      <c r="N112" s="18"/>
      <c r="P112"/>
      <c r="Q112"/>
      <c r="R112"/>
      <c r="S112"/>
      <c r="T112"/>
      <c r="U112"/>
      <c r="V112"/>
      <c r="X112" s="33"/>
      <c r="Y112" s="20"/>
      <c r="Z112" s="20"/>
      <c r="AA112" s="20"/>
      <c r="AB112" s="20"/>
      <c r="AC112" s="20"/>
      <c r="AD112" s="17"/>
      <c r="AE112" s="17"/>
      <c r="AF112" s="20"/>
      <c r="AG112" s="17"/>
      <c r="AH112" s="20"/>
      <c r="AI112" s="17"/>
      <c r="AJ112" s="20"/>
      <c r="AK112" s="17"/>
      <c r="AL112" s="17"/>
      <c r="AM112" s="20"/>
      <c r="AN112" s="20"/>
      <c r="AO112" s="20"/>
      <c r="AP112" s="20"/>
      <c r="AQ112" s="17"/>
      <c r="AR112" s="17"/>
      <c r="AS112" s="20"/>
      <c r="AT112" s="17"/>
      <c r="AU112" s="17"/>
      <c r="AV112" s="17"/>
      <c r="AW112" s="17"/>
      <c r="AX112" s="17"/>
      <c r="AY112" s="17"/>
      <c r="AZ112" s="17"/>
      <c r="BA112" s="17"/>
      <c r="BB112" s="20"/>
      <c r="BC112" s="17"/>
      <c r="BD112" s="20"/>
      <c r="BE112" s="17"/>
      <c r="BF112" s="20"/>
      <c r="BG112" s="20"/>
      <c r="BH112" s="20"/>
      <c r="BI112" s="20"/>
    </row>
    <row r="113" spans="3:61" s="30" customFormat="1" ht="18" x14ac:dyDescent="0.35">
      <c r="C113" s="31"/>
      <c r="D113" s="31"/>
      <c r="E113" s="31"/>
      <c r="F113" s="19"/>
      <c r="G113" s="18"/>
      <c r="H113" s="18"/>
      <c r="I113" s="18"/>
      <c r="J113" s="18"/>
      <c r="K113" s="18"/>
      <c r="L113" s="18"/>
      <c r="M113" s="18"/>
      <c r="N113" s="18"/>
      <c r="P113"/>
      <c r="Q113"/>
      <c r="R113"/>
      <c r="S113"/>
      <c r="T113"/>
      <c r="U113"/>
      <c r="V113"/>
      <c r="X113" s="33"/>
      <c r="Y113" s="20"/>
      <c r="Z113" s="20"/>
      <c r="AA113" s="20"/>
      <c r="AB113" s="20"/>
      <c r="AC113" s="20"/>
      <c r="AD113" s="17"/>
      <c r="AE113" s="17"/>
      <c r="AF113" s="20"/>
      <c r="AG113" s="17"/>
      <c r="AH113" s="20"/>
      <c r="AI113" s="17"/>
      <c r="AJ113" s="20"/>
      <c r="AK113" s="17"/>
      <c r="AL113" s="17"/>
      <c r="AM113" s="20"/>
      <c r="AN113" s="20"/>
      <c r="AO113" s="20"/>
      <c r="AP113" s="20"/>
      <c r="AQ113" s="17"/>
      <c r="AR113" s="17"/>
      <c r="AS113" s="20"/>
      <c r="AT113" s="17"/>
      <c r="AU113" s="17"/>
      <c r="AV113" s="17"/>
      <c r="AW113" s="17"/>
      <c r="AX113" s="17"/>
      <c r="AY113" s="17"/>
      <c r="AZ113" s="17"/>
      <c r="BA113" s="17"/>
      <c r="BB113" s="20"/>
      <c r="BC113" s="17"/>
      <c r="BD113" s="20"/>
      <c r="BE113" s="17"/>
      <c r="BF113" s="20"/>
      <c r="BG113" s="20"/>
      <c r="BH113" s="20"/>
      <c r="BI113" s="20"/>
    </row>
    <row r="114" spans="3:61" s="30" customFormat="1" ht="18" x14ac:dyDescent="0.35">
      <c r="C114" s="31"/>
      <c r="D114" s="31"/>
      <c r="E114" s="31"/>
      <c r="F114" s="19"/>
      <c r="G114" s="18"/>
      <c r="H114" s="18"/>
      <c r="I114" s="18"/>
      <c r="J114" s="18"/>
      <c r="K114" s="18"/>
      <c r="L114" s="18"/>
      <c r="M114" s="18"/>
      <c r="N114" s="18"/>
      <c r="P114"/>
      <c r="Q114"/>
      <c r="R114"/>
      <c r="S114"/>
      <c r="T114"/>
      <c r="U114"/>
      <c r="V114"/>
      <c r="X114" s="33"/>
      <c r="Y114" s="20"/>
      <c r="Z114" s="20"/>
      <c r="AA114" s="20"/>
      <c r="AB114" s="20"/>
      <c r="AC114" s="20"/>
      <c r="AD114" s="17"/>
      <c r="AE114" s="17"/>
      <c r="AF114" s="20"/>
      <c r="AG114" s="17"/>
      <c r="AH114" s="20"/>
      <c r="AI114" s="17"/>
      <c r="AJ114" s="20"/>
      <c r="AK114" s="17"/>
      <c r="AL114" s="17"/>
      <c r="AM114" s="20"/>
      <c r="AN114" s="20"/>
      <c r="AO114" s="20"/>
      <c r="AP114" s="20"/>
      <c r="AQ114" s="17"/>
      <c r="AR114" s="17"/>
      <c r="AS114" s="20"/>
      <c r="AT114" s="17"/>
      <c r="AU114" s="17"/>
      <c r="AV114" s="17"/>
      <c r="AW114" s="17"/>
      <c r="AX114" s="17"/>
      <c r="AY114" s="17"/>
      <c r="AZ114" s="17"/>
      <c r="BA114" s="17"/>
      <c r="BB114" s="20"/>
      <c r="BC114" s="17"/>
      <c r="BD114" s="20"/>
      <c r="BE114" s="17"/>
      <c r="BF114" s="20"/>
      <c r="BG114" s="20"/>
      <c r="BH114" s="20"/>
      <c r="BI114" s="20"/>
    </row>
    <row r="115" spans="3:61" s="30" customFormat="1" ht="18" x14ac:dyDescent="0.35">
      <c r="C115" s="31"/>
      <c r="D115" s="31"/>
      <c r="E115" s="31"/>
      <c r="F115" s="19"/>
      <c r="G115" s="18"/>
      <c r="H115" s="18"/>
      <c r="I115" s="18"/>
      <c r="J115" s="18"/>
      <c r="K115" s="18"/>
      <c r="L115" s="18"/>
      <c r="M115" s="18"/>
      <c r="N115" s="18"/>
      <c r="P115"/>
      <c r="Q115"/>
      <c r="R115"/>
      <c r="S115"/>
      <c r="T115"/>
      <c r="U115"/>
      <c r="V115"/>
      <c r="X115" s="33"/>
      <c r="Y115" s="20"/>
      <c r="Z115" s="20"/>
      <c r="AA115" s="20"/>
      <c r="AB115" s="20"/>
      <c r="AC115" s="20"/>
      <c r="AD115" s="17"/>
      <c r="AE115" s="17"/>
      <c r="AF115" s="20"/>
      <c r="AG115" s="17"/>
      <c r="AH115" s="20"/>
      <c r="AI115" s="17"/>
      <c r="AJ115" s="20"/>
      <c r="AK115" s="17"/>
      <c r="AL115" s="17"/>
      <c r="AM115" s="20"/>
      <c r="AN115" s="20"/>
      <c r="AO115" s="20"/>
      <c r="AP115" s="20"/>
      <c r="AQ115" s="17"/>
      <c r="AR115" s="17"/>
      <c r="AS115" s="20"/>
      <c r="AT115" s="17"/>
      <c r="AU115" s="17"/>
      <c r="AV115" s="17"/>
      <c r="AW115" s="17"/>
      <c r="AX115" s="17"/>
      <c r="AY115" s="17"/>
      <c r="AZ115" s="17"/>
      <c r="BA115" s="17"/>
      <c r="BB115" s="20"/>
      <c r="BC115" s="17"/>
      <c r="BD115" s="20"/>
      <c r="BE115" s="17"/>
      <c r="BF115" s="20"/>
      <c r="BG115" s="20"/>
      <c r="BH115" s="20"/>
      <c r="BI115" s="20"/>
    </row>
    <row r="116" spans="3:61" s="30" customFormat="1" ht="18" x14ac:dyDescent="0.35">
      <c r="C116" s="31"/>
      <c r="D116" s="31"/>
      <c r="E116" s="31"/>
      <c r="F116" s="19"/>
      <c r="G116" s="18"/>
      <c r="H116" s="18"/>
      <c r="I116" s="18"/>
      <c r="J116" s="18"/>
      <c r="K116" s="18"/>
      <c r="L116" s="18"/>
      <c r="M116" s="18"/>
      <c r="N116" s="18"/>
      <c r="P116"/>
      <c r="Q116"/>
      <c r="R116"/>
      <c r="S116"/>
      <c r="T116"/>
      <c r="U116"/>
      <c r="V116"/>
      <c r="X116" s="33"/>
      <c r="Y116" s="20"/>
      <c r="Z116" s="20"/>
      <c r="AA116" s="20"/>
      <c r="AB116" s="20"/>
      <c r="AC116" s="20"/>
      <c r="AD116" s="17"/>
      <c r="AE116" s="17"/>
      <c r="AF116" s="20"/>
      <c r="AG116" s="17"/>
      <c r="AH116" s="20"/>
      <c r="AI116" s="17"/>
      <c r="AJ116" s="20"/>
      <c r="AK116" s="17"/>
      <c r="AL116" s="17"/>
      <c r="AM116" s="20"/>
      <c r="AN116" s="20"/>
      <c r="AO116" s="20"/>
      <c r="AP116" s="20"/>
      <c r="AQ116" s="17"/>
      <c r="AR116" s="17"/>
      <c r="AS116" s="20"/>
      <c r="AT116" s="17"/>
      <c r="AU116" s="17"/>
      <c r="AV116" s="17"/>
      <c r="AW116" s="17"/>
      <c r="AX116" s="17"/>
      <c r="AY116" s="17"/>
      <c r="AZ116" s="17"/>
      <c r="BA116" s="17"/>
      <c r="BB116" s="20"/>
      <c r="BC116" s="17"/>
      <c r="BD116" s="20"/>
      <c r="BE116" s="17"/>
      <c r="BF116" s="20"/>
      <c r="BG116" s="20"/>
      <c r="BH116" s="20"/>
      <c r="BI116" s="20"/>
    </row>
    <row r="117" spans="3:61" s="30" customFormat="1" ht="18" x14ac:dyDescent="0.35">
      <c r="C117" s="31"/>
      <c r="D117" s="31"/>
      <c r="E117" s="31"/>
      <c r="F117" s="19"/>
      <c r="G117" s="18"/>
      <c r="H117" s="18"/>
      <c r="I117" s="18"/>
      <c r="J117" s="18"/>
      <c r="K117" s="18"/>
      <c r="L117" s="18"/>
      <c r="M117" s="18"/>
      <c r="N117" s="18"/>
      <c r="P117"/>
      <c r="Q117"/>
      <c r="R117"/>
      <c r="S117"/>
      <c r="T117"/>
      <c r="U117"/>
      <c r="V117"/>
      <c r="X117" s="33"/>
      <c r="Y117" s="20"/>
      <c r="Z117" s="20"/>
      <c r="AA117" s="20"/>
      <c r="AB117" s="20"/>
      <c r="AC117" s="20"/>
      <c r="AD117" s="17"/>
      <c r="AE117" s="17"/>
      <c r="AF117" s="20"/>
      <c r="AG117" s="17"/>
      <c r="AH117" s="20"/>
      <c r="AI117" s="17"/>
      <c r="AJ117" s="20"/>
      <c r="AK117" s="17"/>
      <c r="AL117" s="17"/>
      <c r="AM117" s="20"/>
      <c r="AN117" s="20"/>
      <c r="AO117" s="20"/>
      <c r="AP117" s="20"/>
      <c r="AQ117" s="17"/>
      <c r="AR117" s="17"/>
      <c r="AS117" s="20"/>
      <c r="AT117" s="17"/>
      <c r="AU117" s="17"/>
      <c r="AV117" s="17"/>
      <c r="AW117" s="17"/>
      <c r="AX117" s="17"/>
      <c r="AY117" s="17"/>
      <c r="AZ117" s="17"/>
      <c r="BA117" s="17"/>
      <c r="BB117" s="20"/>
      <c r="BC117" s="17"/>
      <c r="BD117" s="20"/>
      <c r="BE117" s="17"/>
      <c r="BF117" s="20"/>
      <c r="BG117" s="20"/>
      <c r="BH117" s="20"/>
      <c r="BI117" s="20"/>
    </row>
    <row r="118" spans="3:61" s="30" customFormat="1" ht="18" x14ac:dyDescent="0.35">
      <c r="C118" s="31"/>
      <c r="D118" s="31"/>
      <c r="E118" s="31"/>
      <c r="F118" s="19"/>
      <c r="G118" s="18"/>
      <c r="H118" s="18"/>
      <c r="I118" s="18"/>
      <c r="J118" s="18"/>
      <c r="K118" s="18"/>
      <c r="L118" s="18"/>
      <c r="M118" s="18"/>
      <c r="N118" s="18"/>
      <c r="P118"/>
      <c r="Q118"/>
      <c r="R118"/>
      <c r="S118"/>
      <c r="T118"/>
      <c r="U118"/>
      <c r="V118"/>
      <c r="X118" s="33"/>
      <c r="Y118" s="20"/>
      <c r="Z118" s="20"/>
      <c r="AA118" s="20"/>
      <c r="AB118" s="20"/>
      <c r="AC118" s="20"/>
      <c r="AD118" s="17"/>
      <c r="AE118" s="17"/>
      <c r="AF118" s="20"/>
      <c r="AG118" s="17"/>
      <c r="AH118" s="20"/>
      <c r="AI118" s="17"/>
      <c r="AJ118" s="20"/>
      <c r="AK118" s="17"/>
      <c r="AL118" s="17"/>
      <c r="AM118" s="20"/>
      <c r="AN118" s="20"/>
      <c r="AO118" s="20"/>
      <c r="AP118" s="20"/>
      <c r="AQ118" s="17"/>
      <c r="AR118" s="17"/>
      <c r="AS118" s="20"/>
      <c r="AT118" s="17"/>
      <c r="AU118" s="17"/>
      <c r="AV118" s="17"/>
      <c r="AW118" s="17"/>
      <c r="AX118" s="17"/>
      <c r="AY118" s="17"/>
      <c r="AZ118" s="17"/>
      <c r="BA118" s="17"/>
      <c r="BB118" s="20"/>
      <c r="BC118" s="17"/>
      <c r="BD118" s="20"/>
      <c r="BE118" s="17"/>
      <c r="BF118" s="20"/>
      <c r="BG118" s="20"/>
      <c r="BH118" s="20"/>
      <c r="BI118" s="20"/>
    </row>
    <row r="119" spans="3:61" s="30" customFormat="1" ht="18" x14ac:dyDescent="0.35">
      <c r="C119" s="31"/>
      <c r="D119" s="31"/>
      <c r="E119" s="31"/>
      <c r="F119" s="19"/>
      <c r="G119" s="18"/>
      <c r="H119" s="18"/>
      <c r="I119" s="18"/>
      <c r="J119" s="18"/>
      <c r="K119" s="18"/>
      <c r="L119" s="18"/>
      <c r="M119" s="18"/>
      <c r="N119" s="18"/>
      <c r="P119"/>
      <c r="Q119"/>
      <c r="R119"/>
      <c r="S119"/>
      <c r="T119"/>
      <c r="U119"/>
      <c r="V119"/>
      <c r="X119" s="33"/>
      <c r="Y119" s="20"/>
      <c r="Z119" s="20"/>
      <c r="AA119" s="20"/>
      <c r="AB119" s="20"/>
      <c r="AC119" s="20"/>
      <c r="AD119" s="17"/>
      <c r="AE119" s="17"/>
      <c r="AF119" s="20"/>
      <c r="AG119" s="17"/>
      <c r="AH119" s="20"/>
      <c r="AI119" s="17"/>
      <c r="AJ119" s="20"/>
      <c r="AK119" s="17"/>
      <c r="AL119" s="17"/>
      <c r="AM119" s="20"/>
      <c r="AN119" s="20"/>
      <c r="AO119" s="20"/>
      <c r="AP119" s="20"/>
      <c r="AQ119" s="17"/>
      <c r="AR119" s="17"/>
      <c r="AS119" s="20"/>
      <c r="AT119" s="17"/>
      <c r="AU119" s="17"/>
      <c r="AV119" s="17"/>
      <c r="AW119" s="17"/>
      <c r="AX119" s="17"/>
      <c r="AY119" s="17"/>
      <c r="AZ119" s="17"/>
      <c r="BA119" s="17"/>
      <c r="BB119" s="20"/>
      <c r="BC119" s="17"/>
      <c r="BD119" s="20"/>
      <c r="BE119" s="17"/>
      <c r="BF119" s="20"/>
      <c r="BG119" s="20"/>
      <c r="BH119" s="20"/>
      <c r="BI119" s="20"/>
    </row>
    <row r="120" spans="3:61" s="30" customFormat="1" ht="18" x14ac:dyDescent="0.35">
      <c r="C120" s="31"/>
      <c r="D120" s="31"/>
      <c r="E120" s="31"/>
      <c r="F120" s="19"/>
      <c r="G120" s="18"/>
      <c r="H120" s="18"/>
      <c r="I120" s="18"/>
      <c r="J120" s="18"/>
      <c r="K120" s="18"/>
      <c r="L120" s="18"/>
      <c r="M120" s="18"/>
      <c r="N120" s="18"/>
      <c r="P120"/>
      <c r="Q120"/>
      <c r="R120"/>
      <c r="S120"/>
      <c r="T120"/>
      <c r="U120"/>
      <c r="V120"/>
      <c r="X120" s="33"/>
      <c r="Y120" s="20"/>
      <c r="Z120" s="20"/>
      <c r="AA120" s="20"/>
      <c r="AB120" s="20"/>
      <c r="AC120" s="20"/>
      <c r="AD120" s="17"/>
      <c r="AE120" s="17"/>
      <c r="AF120" s="20"/>
      <c r="AG120" s="17"/>
      <c r="AH120" s="20"/>
      <c r="AI120" s="17"/>
      <c r="AJ120" s="20"/>
      <c r="AK120" s="17"/>
      <c r="AL120" s="17"/>
      <c r="AM120" s="20"/>
      <c r="AN120" s="20"/>
      <c r="AO120" s="20"/>
      <c r="AP120" s="20"/>
      <c r="AQ120" s="17"/>
      <c r="AR120" s="17"/>
      <c r="AS120" s="20"/>
      <c r="AT120" s="17"/>
      <c r="AU120" s="17"/>
      <c r="AV120" s="17"/>
      <c r="AW120" s="17"/>
      <c r="AX120" s="17"/>
      <c r="AY120" s="17"/>
      <c r="AZ120" s="17"/>
      <c r="BA120" s="17"/>
      <c r="BB120" s="20"/>
      <c r="BC120" s="17"/>
      <c r="BD120" s="20"/>
      <c r="BE120" s="17"/>
      <c r="BF120" s="20"/>
      <c r="BG120" s="20"/>
      <c r="BH120" s="20"/>
      <c r="BI120" s="20"/>
    </row>
    <row r="121" spans="3:61" s="30" customFormat="1" ht="18" x14ac:dyDescent="0.35">
      <c r="C121" s="31"/>
      <c r="D121" s="31"/>
      <c r="E121" s="31"/>
      <c r="F121" s="19"/>
      <c r="G121" s="18"/>
      <c r="H121" s="18"/>
      <c r="I121" s="18"/>
      <c r="J121" s="18"/>
      <c r="K121" s="18"/>
      <c r="L121" s="18"/>
      <c r="M121" s="18"/>
      <c r="N121" s="18"/>
      <c r="P121"/>
      <c r="Q121"/>
      <c r="R121"/>
      <c r="S121"/>
      <c r="T121"/>
      <c r="U121"/>
      <c r="V121"/>
      <c r="X121" s="33"/>
      <c r="Y121" s="20"/>
      <c r="Z121" s="20"/>
      <c r="AA121" s="20"/>
      <c r="AB121" s="20"/>
      <c r="AC121" s="20"/>
      <c r="AD121" s="17"/>
      <c r="AE121" s="17"/>
      <c r="AF121" s="20"/>
      <c r="AG121" s="17"/>
      <c r="AH121" s="20"/>
      <c r="AI121" s="17"/>
      <c r="AJ121" s="20"/>
      <c r="AK121" s="17"/>
      <c r="AL121" s="17"/>
      <c r="AM121" s="20"/>
      <c r="AN121" s="20"/>
      <c r="AO121" s="20"/>
      <c r="AP121" s="20"/>
      <c r="AQ121" s="17"/>
      <c r="AR121" s="17"/>
      <c r="AS121" s="20"/>
      <c r="AT121" s="17"/>
      <c r="AU121" s="17"/>
      <c r="AV121" s="17"/>
      <c r="AW121" s="17"/>
      <c r="AX121" s="17"/>
      <c r="AY121" s="17"/>
      <c r="AZ121" s="17"/>
      <c r="BA121" s="17"/>
      <c r="BB121" s="20"/>
      <c r="BC121" s="17"/>
      <c r="BD121" s="20"/>
      <c r="BE121" s="17"/>
      <c r="BF121" s="20"/>
      <c r="BG121" s="20"/>
      <c r="BH121" s="20"/>
      <c r="BI121" s="20"/>
    </row>
    <row r="122" spans="3:61" s="30" customFormat="1" ht="18" x14ac:dyDescent="0.35">
      <c r="C122" s="31"/>
      <c r="D122" s="31"/>
      <c r="E122" s="31"/>
      <c r="F122" s="19"/>
      <c r="G122" s="18"/>
      <c r="H122" s="18"/>
      <c r="I122" s="18"/>
      <c r="J122" s="18"/>
      <c r="K122" s="18"/>
      <c r="L122" s="18"/>
      <c r="M122" s="18"/>
      <c r="N122" s="18"/>
      <c r="P122"/>
      <c r="Q122"/>
      <c r="R122"/>
      <c r="S122"/>
      <c r="T122"/>
      <c r="U122"/>
      <c r="V122"/>
      <c r="X122" s="33"/>
      <c r="Y122" s="20"/>
      <c r="Z122" s="20"/>
      <c r="AA122" s="20"/>
      <c r="AB122" s="20"/>
      <c r="AC122" s="20"/>
      <c r="AD122" s="17"/>
      <c r="AE122" s="17"/>
      <c r="AF122" s="20"/>
      <c r="AG122" s="17"/>
      <c r="AH122" s="20"/>
      <c r="AI122" s="17"/>
      <c r="AJ122" s="20"/>
      <c r="AK122" s="17"/>
      <c r="AL122" s="17"/>
      <c r="AM122" s="20"/>
      <c r="AN122" s="20"/>
      <c r="AO122" s="20"/>
      <c r="AP122" s="20"/>
      <c r="AQ122" s="17"/>
      <c r="AR122" s="17"/>
      <c r="AS122" s="20"/>
      <c r="AT122" s="17"/>
      <c r="AU122" s="17"/>
      <c r="AV122" s="17"/>
      <c r="AW122" s="17"/>
      <c r="AX122" s="17"/>
      <c r="AY122" s="17"/>
      <c r="AZ122" s="17"/>
      <c r="BA122" s="17"/>
      <c r="BB122" s="20"/>
      <c r="BC122" s="17"/>
      <c r="BD122" s="20"/>
      <c r="BE122" s="17"/>
      <c r="BF122" s="20"/>
      <c r="BG122" s="20"/>
      <c r="BH122" s="20"/>
      <c r="BI122" s="20"/>
    </row>
    <row r="123" spans="3:61" s="30" customFormat="1" ht="18" x14ac:dyDescent="0.35">
      <c r="C123" s="31"/>
      <c r="D123" s="31"/>
      <c r="E123" s="31"/>
      <c r="F123" s="19"/>
      <c r="G123" s="18"/>
      <c r="H123" s="18"/>
      <c r="I123" s="18"/>
      <c r="J123" s="18"/>
      <c r="K123" s="18"/>
      <c r="L123" s="18"/>
      <c r="M123" s="18"/>
      <c r="N123" s="18"/>
      <c r="P123"/>
      <c r="Q123"/>
      <c r="R123"/>
      <c r="S123"/>
      <c r="T123"/>
      <c r="U123"/>
      <c r="V123"/>
      <c r="X123" s="33"/>
      <c r="Y123" s="20"/>
      <c r="Z123" s="20"/>
      <c r="AA123" s="20"/>
      <c r="AB123" s="20"/>
      <c r="AC123" s="20"/>
      <c r="AD123" s="17"/>
      <c r="AE123" s="17"/>
      <c r="AF123" s="20"/>
      <c r="AG123" s="17"/>
      <c r="AH123" s="20"/>
      <c r="AI123" s="17"/>
      <c r="AJ123" s="20"/>
      <c r="AK123" s="17"/>
      <c r="AL123" s="17"/>
      <c r="AM123" s="20"/>
      <c r="AN123" s="20"/>
      <c r="AO123" s="20"/>
      <c r="AP123" s="20"/>
      <c r="AQ123" s="17"/>
      <c r="AR123" s="17"/>
      <c r="AS123" s="20"/>
      <c r="AT123" s="17"/>
      <c r="AU123" s="17"/>
      <c r="AV123" s="17"/>
      <c r="AW123" s="17"/>
      <c r="AX123" s="17"/>
      <c r="AY123" s="17"/>
      <c r="AZ123" s="17"/>
      <c r="BA123" s="17"/>
      <c r="BB123" s="20"/>
      <c r="BC123" s="17"/>
      <c r="BD123" s="20"/>
      <c r="BE123" s="17"/>
      <c r="BF123" s="20"/>
      <c r="BG123" s="20"/>
      <c r="BH123" s="20"/>
      <c r="BI123" s="20"/>
    </row>
    <row r="124" spans="3:61" s="30" customFormat="1" ht="18" x14ac:dyDescent="0.35">
      <c r="C124" s="31"/>
      <c r="D124" s="31"/>
      <c r="E124" s="31"/>
      <c r="F124" s="19"/>
      <c r="G124" s="18"/>
      <c r="H124" s="18"/>
      <c r="I124" s="18"/>
      <c r="J124" s="18"/>
      <c r="K124" s="18"/>
      <c r="L124" s="18"/>
      <c r="M124" s="18"/>
      <c r="N124" s="18"/>
      <c r="P124"/>
      <c r="Q124"/>
      <c r="R124"/>
      <c r="S124"/>
      <c r="T124"/>
      <c r="U124"/>
      <c r="V124"/>
      <c r="X124" s="33"/>
      <c r="Y124" s="20"/>
      <c r="Z124" s="20"/>
      <c r="AA124" s="20"/>
      <c r="AB124" s="20"/>
      <c r="AC124" s="20"/>
      <c r="AD124" s="17"/>
      <c r="AE124" s="17"/>
      <c r="AF124" s="20"/>
      <c r="AG124" s="17"/>
      <c r="AH124" s="20"/>
      <c r="AI124" s="17"/>
      <c r="AJ124" s="20"/>
      <c r="AK124" s="17"/>
      <c r="AL124" s="17"/>
      <c r="AM124" s="20"/>
      <c r="AN124" s="20"/>
      <c r="AO124" s="20"/>
      <c r="AP124" s="20"/>
      <c r="AQ124" s="17"/>
      <c r="AR124" s="17"/>
      <c r="AS124" s="20"/>
      <c r="AT124" s="17"/>
      <c r="AU124" s="17"/>
      <c r="AV124" s="17"/>
      <c r="AW124" s="17"/>
      <c r="AX124" s="17"/>
      <c r="AY124" s="17"/>
      <c r="AZ124" s="17"/>
      <c r="BA124" s="17"/>
      <c r="BB124" s="20"/>
      <c r="BC124" s="17"/>
      <c r="BD124" s="20"/>
      <c r="BE124" s="17"/>
      <c r="BF124" s="20"/>
      <c r="BG124" s="20"/>
      <c r="BH124" s="20"/>
      <c r="BI124" s="20"/>
    </row>
    <row r="125" spans="3:61" s="30" customFormat="1" ht="18" x14ac:dyDescent="0.35">
      <c r="C125" s="31"/>
      <c r="D125" s="31"/>
      <c r="E125" s="31"/>
      <c r="F125" s="19"/>
      <c r="G125" s="18"/>
      <c r="H125" s="18"/>
      <c r="I125" s="18"/>
      <c r="J125" s="18"/>
      <c r="K125" s="18"/>
      <c r="L125" s="18"/>
      <c r="M125" s="18"/>
      <c r="N125" s="18"/>
      <c r="P125"/>
      <c r="Q125"/>
      <c r="R125"/>
      <c r="S125"/>
      <c r="T125"/>
      <c r="U125"/>
      <c r="V125"/>
      <c r="X125" s="33"/>
      <c r="Y125" s="20"/>
      <c r="Z125" s="20"/>
      <c r="AA125" s="20"/>
      <c r="AB125" s="20"/>
      <c r="AC125" s="20"/>
      <c r="AD125" s="17"/>
      <c r="AE125" s="17"/>
      <c r="AF125" s="20"/>
      <c r="AG125" s="17"/>
      <c r="AH125" s="20"/>
      <c r="AI125" s="17"/>
      <c r="AJ125" s="20"/>
      <c r="AK125" s="17"/>
      <c r="AL125" s="17"/>
      <c r="AM125" s="20"/>
      <c r="AN125" s="20"/>
      <c r="AO125" s="20"/>
      <c r="AP125" s="20"/>
      <c r="AQ125" s="17"/>
      <c r="AR125" s="17"/>
      <c r="AS125" s="20"/>
      <c r="AT125" s="17"/>
      <c r="AU125" s="17"/>
      <c r="AV125" s="17"/>
      <c r="AW125" s="17"/>
      <c r="AX125" s="17"/>
      <c r="AY125" s="17"/>
      <c r="AZ125" s="17"/>
      <c r="BA125" s="17"/>
      <c r="BB125" s="20"/>
      <c r="BC125" s="17"/>
      <c r="BD125" s="20"/>
      <c r="BE125" s="17"/>
      <c r="BF125" s="20"/>
      <c r="BG125" s="20"/>
      <c r="BH125" s="20"/>
      <c r="BI125" s="20"/>
    </row>
    <row r="126" spans="3:61" s="30" customFormat="1" ht="18" x14ac:dyDescent="0.35">
      <c r="C126" s="31"/>
      <c r="D126" s="31"/>
      <c r="E126" s="31"/>
      <c r="F126" s="19"/>
      <c r="G126" s="18"/>
      <c r="H126" s="18"/>
      <c r="I126" s="18"/>
      <c r="J126" s="18"/>
      <c r="K126" s="18"/>
      <c r="L126" s="18"/>
      <c r="M126" s="18"/>
      <c r="N126" s="18"/>
      <c r="P126"/>
      <c r="Q126"/>
      <c r="R126"/>
      <c r="S126"/>
      <c r="T126"/>
      <c r="U126"/>
      <c r="V126"/>
      <c r="X126" s="33"/>
      <c r="Y126" s="20"/>
      <c r="Z126" s="20"/>
      <c r="AA126" s="20"/>
      <c r="AB126" s="20"/>
      <c r="AC126" s="20"/>
      <c r="AD126" s="17"/>
      <c r="AE126" s="17"/>
      <c r="AF126" s="20"/>
      <c r="AG126" s="17"/>
      <c r="AH126" s="20"/>
      <c r="AI126" s="17"/>
      <c r="AJ126" s="20"/>
      <c r="AK126" s="17"/>
      <c r="AL126" s="17"/>
      <c r="AM126" s="20"/>
      <c r="AN126" s="20"/>
      <c r="AO126" s="20"/>
      <c r="AP126" s="20"/>
      <c r="AQ126" s="17"/>
      <c r="AR126" s="17"/>
      <c r="AS126" s="20"/>
      <c r="AT126" s="17"/>
      <c r="AU126" s="17"/>
      <c r="AV126" s="17"/>
      <c r="AW126" s="17"/>
      <c r="AX126" s="17"/>
      <c r="AY126" s="17"/>
      <c r="AZ126" s="17"/>
      <c r="BA126" s="17"/>
      <c r="BB126" s="20"/>
      <c r="BC126" s="17"/>
      <c r="BD126" s="20"/>
      <c r="BE126" s="17"/>
      <c r="BF126" s="20"/>
      <c r="BG126" s="20"/>
      <c r="BH126" s="20"/>
      <c r="BI126" s="20"/>
    </row>
    <row r="127" spans="3:61" s="30" customFormat="1" ht="18" x14ac:dyDescent="0.35">
      <c r="C127" s="31"/>
      <c r="D127" s="31"/>
      <c r="E127" s="31"/>
      <c r="F127" s="19"/>
      <c r="G127" s="18"/>
      <c r="H127" s="18"/>
      <c r="I127" s="18"/>
      <c r="J127" s="18"/>
      <c r="K127" s="18"/>
      <c r="L127" s="18"/>
      <c r="M127" s="18"/>
      <c r="N127" s="18"/>
      <c r="P127"/>
      <c r="Q127"/>
      <c r="R127"/>
      <c r="S127"/>
      <c r="T127"/>
      <c r="U127"/>
      <c r="V127"/>
      <c r="X127" s="33"/>
      <c r="Y127" s="20"/>
      <c r="Z127" s="20"/>
      <c r="AA127" s="20"/>
      <c r="AB127" s="20"/>
      <c r="AC127" s="20"/>
      <c r="AD127" s="17"/>
      <c r="AE127" s="17"/>
      <c r="AF127" s="20"/>
      <c r="AG127" s="17"/>
      <c r="AH127" s="20"/>
      <c r="AI127" s="17"/>
      <c r="AJ127" s="20"/>
      <c r="AK127" s="17"/>
      <c r="AL127" s="17"/>
      <c r="AM127" s="20"/>
      <c r="AN127" s="20"/>
      <c r="AO127" s="20"/>
      <c r="AP127" s="20"/>
      <c r="AQ127" s="17"/>
      <c r="AR127" s="17"/>
      <c r="AS127" s="20"/>
      <c r="AT127" s="17"/>
      <c r="AU127" s="17"/>
      <c r="AV127" s="17"/>
      <c r="AW127" s="17"/>
      <c r="AX127" s="17"/>
      <c r="AY127" s="17"/>
      <c r="AZ127" s="17"/>
      <c r="BA127" s="17"/>
      <c r="BB127" s="20"/>
      <c r="BC127" s="17"/>
      <c r="BD127" s="20"/>
      <c r="BE127" s="17"/>
      <c r="BF127" s="20"/>
      <c r="BG127" s="20"/>
      <c r="BH127" s="20"/>
      <c r="BI127" s="20"/>
    </row>
    <row r="128" spans="3:61" s="30" customFormat="1" ht="18" x14ac:dyDescent="0.35">
      <c r="C128" s="31"/>
      <c r="D128" s="31"/>
      <c r="E128" s="31"/>
      <c r="F128" s="19"/>
      <c r="G128" s="18"/>
      <c r="H128" s="18"/>
      <c r="I128" s="18"/>
      <c r="J128" s="18"/>
      <c r="K128" s="18"/>
      <c r="L128" s="18"/>
      <c r="M128" s="18"/>
      <c r="N128" s="18"/>
      <c r="P128"/>
      <c r="Q128"/>
      <c r="R128"/>
      <c r="S128"/>
      <c r="T128"/>
      <c r="U128"/>
      <c r="V128"/>
      <c r="X128" s="33"/>
      <c r="Y128" s="20"/>
      <c r="Z128" s="20"/>
      <c r="AA128" s="20"/>
      <c r="AB128" s="20"/>
      <c r="AC128" s="20"/>
      <c r="AD128" s="17"/>
      <c r="AE128" s="17"/>
      <c r="AF128" s="20"/>
      <c r="AG128" s="17"/>
      <c r="AH128" s="20"/>
      <c r="AI128" s="17"/>
      <c r="AJ128" s="20"/>
      <c r="AK128" s="17"/>
      <c r="AL128" s="17"/>
      <c r="AM128" s="20"/>
      <c r="AN128" s="20"/>
      <c r="AO128" s="20"/>
      <c r="AP128" s="20"/>
      <c r="AQ128" s="17"/>
      <c r="AR128" s="17"/>
      <c r="AS128" s="20"/>
      <c r="AT128" s="17"/>
      <c r="AU128" s="17"/>
      <c r="AV128" s="17"/>
      <c r="AW128" s="17"/>
      <c r="AX128" s="17"/>
      <c r="AY128" s="17"/>
      <c r="AZ128" s="17"/>
      <c r="BA128" s="17"/>
      <c r="BB128" s="20"/>
      <c r="BC128" s="17"/>
      <c r="BD128" s="20"/>
      <c r="BE128" s="17"/>
      <c r="BF128" s="20"/>
      <c r="BG128" s="20"/>
      <c r="BH128" s="20"/>
      <c r="BI128" s="20"/>
    </row>
    <row r="129" spans="3:61" s="30" customFormat="1" ht="18" x14ac:dyDescent="0.35">
      <c r="C129" s="31"/>
      <c r="D129" s="31"/>
      <c r="E129" s="31"/>
      <c r="F129" s="19"/>
      <c r="G129" s="18"/>
      <c r="H129" s="18"/>
      <c r="I129" s="18"/>
      <c r="J129" s="18"/>
      <c r="K129" s="18"/>
      <c r="L129" s="18"/>
      <c r="M129" s="18"/>
      <c r="N129" s="18"/>
      <c r="P129"/>
      <c r="Q129"/>
      <c r="R129"/>
      <c r="S129"/>
      <c r="T129"/>
      <c r="U129"/>
      <c r="V129"/>
      <c r="X129" s="33"/>
      <c r="Y129" s="20"/>
      <c r="Z129" s="20"/>
      <c r="AA129" s="20"/>
      <c r="AB129" s="20"/>
      <c r="AC129" s="20"/>
      <c r="AD129" s="17"/>
      <c r="AE129" s="17"/>
      <c r="AF129" s="20"/>
      <c r="AG129" s="17"/>
      <c r="AH129" s="20"/>
      <c r="AI129" s="17"/>
      <c r="AJ129" s="20"/>
      <c r="AK129" s="17"/>
      <c r="AL129" s="17"/>
      <c r="AM129" s="20"/>
      <c r="AN129" s="20"/>
      <c r="AO129" s="20"/>
      <c r="AP129" s="20"/>
      <c r="AQ129" s="17"/>
      <c r="AR129" s="17"/>
      <c r="AS129" s="20"/>
      <c r="AT129" s="17"/>
      <c r="AU129" s="17"/>
      <c r="AV129" s="17"/>
      <c r="AW129" s="17"/>
      <c r="AX129" s="17"/>
      <c r="AY129" s="17"/>
      <c r="AZ129" s="17"/>
      <c r="BA129" s="17"/>
      <c r="BB129" s="20"/>
      <c r="BC129" s="17"/>
      <c r="BD129" s="20"/>
      <c r="BE129" s="17"/>
      <c r="BF129" s="20"/>
      <c r="BG129" s="20"/>
      <c r="BH129" s="20"/>
      <c r="BI129" s="20"/>
    </row>
    <row r="130" spans="3:61" s="30" customFormat="1" ht="18" x14ac:dyDescent="0.35">
      <c r="C130" s="31"/>
      <c r="D130" s="31"/>
      <c r="E130" s="31"/>
      <c r="F130" s="19"/>
      <c r="G130" s="18"/>
      <c r="H130" s="18"/>
      <c r="I130" s="18"/>
      <c r="J130" s="18"/>
      <c r="K130" s="18"/>
      <c r="L130" s="18"/>
      <c r="M130" s="18"/>
      <c r="N130" s="18"/>
      <c r="P130"/>
      <c r="Q130"/>
      <c r="R130"/>
      <c r="S130"/>
      <c r="T130"/>
      <c r="U130"/>
      <c r="V130"/>
      <c r="X130" s="33"/>
      <c r="Y130" s="20"/>
      <c r="Z130" s="20"/>
      <c r="AA130" s="20"/>
      <c r="AB130" s="20"/>
      <c r="AC130" s="20"/>
      <c r="AD130" s="17"/>
      <c r="AE130" s="17"/>
      <c r="AF130" s="20"/>
      <c r="AG130" s="17"/>
      <c r="AH130" s="20"/>
      <c r="AI130" s="17"/>
      <c r="AJ130" s="20"/>
      <c r="AK130" s="17"/>
      <c r="AL130" s="17"/>
      <c r="AM130" s="20"/>
      <c r="AN130" s="20"/>
      <c r="AO130" s="20"/>
      <c r="AP130" s="20"/>
      <c r="AQ130" s="17"/>
      <c r="AR130" s="17"/>
      <c r="AS130" s="20"/>
      <c r="AT130" s="17"/>
      <c r="AU130" s="17"/>
      <c r="AV130" s="17"/>
      <c r="AW130" s="17"/>
      <c r="AX130" s="17"/>
      <c r="AY130" s="17"/>
      <c r="AZ130" s="17"/>
      <c r="BA130" s="17"/>
      <c r="BB130" s="20"/>
      <c r="BC130" s="17"/>
      <c r="BD130" s="20"/>
      <c r="BE130" s="17"/>
      <c r="BF130" s="20"/>
      <c r="BG130" s="20"/>
      <c r="BH130" s="20"/>
      <c r="BI130" s="20"/>
    </row>
    <row r="131" spans="3:61" s="30" customFormat="1" ht="18" x14ac:dyDescent="0.35">
      <c r="C131" s="31"/>
      <c r="D131" s="31"/>
      <c r="E131" s="31"/>
      <c r="F131" s="19"/>
      <c r="G131" s="18"/>
      <c r="H131" s="18"/>
      <c r="I131" s="18"/>
      <c r="J131" s="18"/>
      <c r="K131" s="18"/>
      <c r="L131" s="18"/>
      <c r="M131" s="18"/>
      <c r="N131" s="18"/>
      <c r="P131"/>
      <c r="Q131"/>
      <c r="R131"/>
      <c r="S131"/>
      <c r="T131"/>
      <c r="U131"/>
      <c r="V131"/>
      <c r="X131" s="33"/>
      <c r="Y131" s="20"/>
      <c r="Z131" s="20"/>
      <c r="AA131" s="20"/>
      <c r="AB131" s="20"/>
      <c r="AC131" s="20"/>
      <c r="AD131" s="17"/>
      <c r="AE131" s="17"/>
      <c r="AF131" s="20"/>
      <c r="AG131" s="17"/>
      <c r="AH131" s="20"/>
      <c r="AI131" s="17"/>
      <c r="AJ131" s="20"/>
      <c r="AK131" s="17"/>
      <c r="AL131" s="17"/>
      <c r="AM131" s="20"/>
      <c r="AN131" s="20"/>
      <c r="AO131" s="20"/>
      <c r="AP131" s="20"/>
      <c r="AQ131" s="17"/>
      <c r="AR131" s="17"/>
      <c r="AS131" s="20"/>
      <c r="AT131" s="17"/>
      <c r="AU131" s="17"/>
      <c r="AV131" s="17"/>
      <c r="AW131" s="17"/>
      <c r="AX131" s="17"/>
      <c r="AY131" s="17"/>
      <c r="AZ131" s="17"/>
      <c r="BA131" s="17"/>
      <c r="BB131" s="20"/>
      <c r="BC131" s="17"/>
      <c r="BD131" s="20"/>
      <c r="BE131" s="17"/>
      <c r="BF131" s="20"/>
      <c r="BG131" s="20"/>
      <c r="BH131" s="20"/>
      <c r="BI131" s="20"/>
    </row>
    <row r="132" spans="3:61" s="30" customFormat="1" ht="18" x14ac:dyDescent="0.35">
      <c r="C132" s="31"/>
      <c r="D132" s="31"/>
      <c r="E132" s="31"/>
      <c r="F132" s="19"/>
      <c r="G132" s="18"/>
      <c r="H132" s="18"/>
      <c r="I132" s="18"/>
      <c r="J132" s="18"/>
      <c r="K132" s="18"/>
      <c r="L132" s="18"/>
      <c r="M132" s="18"/>
      <c r="N132" s="18"/>
      <c r="P132"/>
      <c r="Q132"/>
      <c r="R132"/>
      <c r="S132"/>
      <c r="T132"/>
      <c r="U132"/>
      <c r="V132"/>
      <c r="X132" s="33"/>
      <c r="Y132" s="20"/>
      <c r="Z132" s="20"/>
      <c r="AA132" s="20"/>
      <c r="AB132" s="20"/>
      <c r="AC132" s="20"/>
      <c r="AD132" s="17"/>
      <c r="AE132" s="17"/>
      <c r="AF132" s="20"/>
      <c r="AG132" s="17"/>
      <c r="AH132" s="20"/>
      <c r="AI132" s="17"/>
      <c r="AJ132" s="20"/>
      <c r="AK132" s="17"/>
      <c r="AL132" s="17"/>
      <c r="AM132" s="20"/>
      <c r="AN132" s="20"/>
      <c r="AO132" s="20"/>
      <c r="AP132" s="20"/>
      <c r="AQ132" s="17"/>
      <c r="AR132" s="17"/>
      <c r="AS132" s="20"/>
      <c r="AT132" s="17"/>
      <c r="AU132" s="17"/>
      <c r="AV132" s="17"/>
      <c r="AW132" s="17"/>
      <c r="AX132" s="17"/>
      <c r="AY132" s="17"/>
      <c r="AZ132" s="17"/>
      <c r="BA132" s="17"/>
      <c r="BB132" s="20"/>
      <c r="BC132" s="17"/>
      <c r="BD132" s="20"/>
      <c r="BE132" s="17"/>
      <c r="BF132" s="20"/>
      <c r="BG132" s="20"/>
      <c r="BH132" s="20"/>
      <c r="BI132" s="20"/>
    </row>
    <row r="133" spans="3:61" s="30" customFormat="1" ht="18" x14ac:dyDescent="0.35">
      <c r="C133" s="31"/>
      <c r="D133" s="31"/>
      <c r="E133" s="31"/>
      <c r="F133" s="19"/>
      <c r="G133" s="18"/>
      <c r="H133" s="18"/>
      <c r="I133" s="18"/>
      <c r="J133" s="18"/>
      <c r="K133" s="18"/>
      <c r="L133" s="18"/>
      <c r="M133" s="18"/>
      <c r="N133" s="18"/>
      <c r="P133"/>
      <c r="Q133"/>
      <c r="R133"/>
      <c r="S133"/>
      <c r="T133"/>
      <c r="U133"/>
      <c r="V133"/>
      <c r="X133" s="33"/>
      <c r="Y133" s="20"/>
      <c r="Z133" s="20"/>
      <c r="AA133" s="20"/>
      <c r="AB133" s="20"/>
      <c r="AC133" s="20"/>
      <c r="AD133" s="17"/>
      <c r="AE133" s="17"/>
      <c r="AF133" s="20"/>
      <c r="AG133" s="17"/>
      <c r="AH133" s="20"/>
      <c r="AI133" s="17"/>
      <c r="AJ133" s="20"/>
      <c r="AK133" s="17"/>
      <c r="AL133" s="17"/>
      <c r="AM133" s="20"/>
      <c r="AN133" s="20"/>
      <c r="AO133" s="20"/>
      <c r="AP133" s="20"/>
      <c r="AQ133" s="17"/>
      <c r="AR133" s="17"/>
      <c r="AS133" s="20"/>
      <c r="AT133" s="17"/>
      <c r="AU133" s="17"/>
      <c r="AV133" s="17"/>
      <c r="AW133" s="17"/>
      <c r="AX133" s="17"/>
      <c r="AY133" s="17"/>
      <c r="AZ133" s="17"/>
      <c r="BA133" s="17"/>
      <c r="BB133" s="20"/>
      <c r="BC133" s="17"/>
      <c r="BD133" s="20"/>
      <c r="BE133" s="17"/>
      <c r="BF133" s="20"/>
      <c r="BG133" s="20"/>
      <c r="BH133" s="20"/>
      <c r="BI133" s="20"/>
    </row>
    <row r="134" spans="3:61" s="30" customFormat="1" ht="18" x14ac:dyDescent="0.35">
      <c r="C134" s="31"/>
      <c r="D134" s="31"/>
      <c r="E134" s="31"/>
      <c r="F134" s="19"/>
      <c r="G134" s="18"/>
      <c r="H134" s="18"/>
      <c r="I134" s="18"/>
      <c r="J134" s="18"/>
      <c r="K134" s="18"/>
      <c r="L134" s="18"/>
      <c r="M134" s="18"/>
      <c r="N134" s="18"/>
      <c r="P134"/>
      <c r="Q134"/>
      <c r="R134"/>
      <c r="S134"/>
      <c r="T134"/>
      <c r="U134"/>
      <c r="V134"/>
      <c r="X134" s="33"/>
      <c r="Y134" s="20"/>
      <c r="Z134" s="20"/>
      <c r="AA134" s="20"/>
      <c r="AB134" s="20"/>
      <c r="AC134" s="20"/>
      <c r="AD134" s="17"/>
      <c r="AE134" s="17"/>
      <c r="AF134" s="20"/>
      <c r="AG134" s="17"/>
      <c r="AH134" s="20"/>
      <c r="AI134" s="17"/>
      <c r="AJ134" s="20"/>
      <c r="AK134" s="17"/>
      <c r="AL134" s="17"/>
      <c r="AM134" s="20"/>
      <c r="AN134" s="20"/>
      <c r="AO134" s="20"/>
      <c r="AP134" s="20"/>
      <c r="AQ134" s="17"/>
      <c r="AR134" s="17"/>
      <c r="AS134" s="20"/>
      <c r="AT134" s="17"/>
      <c r="AU134" s="17"/>
      <c r="AV134" s="17"/>
      <c r="AW134" s="17"/>
      <c r="AX134" s="17"/>
      <c r="AY134" s="17"/>
      <c r="AZ134" s="17"/>
      <c r="BA134" s="17"/>
      <c r="BB134" s="20"/>
      <c r="BC134" s="17"/>
      <c r="BD134" s="20"/>
      <c r="BE134" s="17"/>
      <c r="BF134" s="20"/>
      <c r="BG134" s="20"/>
      <c r="BH134" s="20"/>
      <c r="BI134" s="20"/>
    </row>
    <row r="135" spans="3:61" s="30" customFormat="1" ht="18" x14ac:dyDescent="0.35">
      <c r="C135" s="31"/>
      <c r="D135" s="31"/>
      <c r="E135" s="31"/>
      <c r="F135" s="19"/>
      <c r="G135" s="18"/>
      <c r="H135" s="18"/>
      <c r="I135" s="18"/>
      <c r="J135" s="18"/>
      <c r="K135" s="18"/>
      <c r="L135" s="18"/>
      <c r="M135" s="18"/>
      <c r="N135" s="18"/>
      <c r="P135"/>
      <c r="Q135"/>
      <c r="R135"/>
      <c r="S135"/>
      <c r="T135"/>
      <c r="U135"/>
      <c r="V135"/>
      <c r="X135" s="33"/>
      <c r="Y135" s="20"/>
      <c r="Z135" s="20"/>
      <c r="AA135" s="20"/>
      <c r="AB135" s="20"/>
      <c r="AC135" s="20"/>
      <c r="AD135" s="17"/>
      <c r="AE135" s="17"/>
      <c r="AF135" s="20"/>
      <c r="AG135" s="17"/>
      <c r="AH135" s="20"/>
      <c r="AI135" s="17"/>
      <c r="AJ135" s="20"/>
      <c r="AK135" s="17"/>
      <c r="AL135" s="17"/>
      <c r="AM135" s="20"/>
      <c r="AN135" s="20"/>
      <c r="AO135" s="20"/>
      <c r="AP135" s="20"/>
      <c r="AQ135" s="17"/>
      <c r="AR135" s="17"/>
      <c r="AS135" s="20"/>
      <c r="AT135" s="17"/>
      <c r="AU135" s="17"/>
      <c r="AV135" s="17"/>
      <c r="AW135" s="17"/>
      <c r="AX135" s="17"/>
      <c r="AY135" s="17"/>
      <c r="AZ135" s="17"/>
      <c r="BA135" s="17"/>
      <c r="BB135" s="20"/>
      <c r="BC135" s="17"/>
      <c r="BD135" s="20"/>
      <c r="BE135" s="17"/>
      <c r="BF135" s="20"/>
      <c r="BG135" s="20"/>
      <c r="BH135" s="20"/>
      <c r="BI135" s="20"/>
    </row>
    <row r="136" spans="3:61" s="30" customFormat="1" ht="18" x14ac:dyDescent="0.35">
      <c r="C136" s="31"/>
      <c r="D136" s="31"/>
      <c r="E136" s="31"/>
      <c r="F136" s="19"/>
      <c r="G136" s="18"/>
      <c r="H136" s="18"/>
      <c r="I136" s="18"/>
      <c r="J136" s="18"/>
      <c r="K136" s="18"/>
      <c r="L136" s="18"/>
      <c r="M136" s="18"/>
      <c r="N136" s="18"/>
      <c r="P136"/>
      <c r="Q136"/>
      <c r="R136"/>
      <c r="S136"/>
      <c r="T136"/>
      <c r="U136"/>
      <c r="V136"/>
      <c r="X136" s="33"/>
      <c r="Y136" s="20"/>
      <c r="Z136" s="20"/>
      <c r="AA136" s="20"/>
      <c r="AB136" s="20"/>
      <c r="AC136" s="20"/>
      <c r="AD136" s="17"/>
      <c r="AE136" s="17"/>
      <c r="AF136" s="20"/>
      <c r="AG136" s="17"/>
      <c r="AH136" s="20"/>
      <c r="AI136" s="17"/>
      <c r="AJ136" s="20"/>
      <c r="AK136" s="17"/>
      <c r="AL136" s="17"/>
      <c r="AM136" s="20"/>
      <c r="AN136" s="20"/>
      <c r="AO136" s="20"/>
      <c r="AP136" s="20"/>
      <c r="AQ136" s="17"/>
      <c r="AR136" s="17"/>
      <c r="AS136" s="20"/>
      <c r="AT136" s="17"/>
      <c r="AU136" s="17"/>
      <c r="AV136" s="17"/>
      <c r="AW136" s="17"/>
      <c r="AX136" s="17"/>
      <c r="AY136" s="17"/>
      <c r="AZ136" s="17"/>
      <c r="BA136" s="17"/>
      <c r="BB136" s="20"/>
      <c r="BC136" s="17"/>
      <c r="BD136" s="20"/>
      <c r="BE136" s="17"/>
      <c r="BF136" s="20"/>
      <c r="BG136" s="20"/>
      <c r="BH136" s="20"/>
      <c r="BI136" s="20"/>
    </row>
    <row r="137" spans="3:61" s="30" customFormat="1" ht="18" x14ac:dyDescent="0.35">
      <c r="C137" s="31"/>
      <c r="D137" s="31"/>
      <c r="E137" s="31"/>
      <c r="F137" s="19"/>
      <c r="G137" s="18"/>
      <c r="H137" s="18"/>
      <c r="I137" s="18"/>
      <c r="J137" s="18"/>
      <c r="K137" s="18"/>
      <c r="L137" s="18"/>
      <c r="M137" s="18"/>
      <c r="N137" s="18"/>
      <c r="P137"/>
      <c r="Q137"/>
      <c r="R137"/>
      <c r="S137"/>
      <c r="T137"/>
      <c r="U137"/>
      <c r="V137"/>
      <c r="X137" s="33"/>
      <c r="Y137" s="20"/>
      <c r="Z137" s="20"/>
      <c r="AA137" s="20"/>
      <c r="AB137" s="20"/>
      <c r="AC137" s="20"/>
      <c r="AD137" s="17"/>
      <c r="AE137" s="17"/>
      <c r="AF137" s="20"/>
      <c r="AG137" s="17"/>
      <c r="AH137" s="20"/>
      <c r="AI137" s="17"/>
      <c r="AJ137" s="20"/>
      <c r="AK137" s="17"/>
      <c r="AL137" s="17"/>
      <c r="AM137" s="20"/>
      <c r="AN137" s="20"/>
      <c r="AO137" s="20"/>
      <c r="AP137" s="20"/>
      <c r="AQ137" s="17"/>
      <c r="AR137" s="17"/>
      <c r="AS137" s="20"/>
      <c r="AT137" s="17"/>
      <c r="AU137" s="17"/>
      <c r="AV137" s="17"/>
      <c r="AW137" s="17"/>
      <c r="AX137" s="17"/>
      <c r="AY137" s="17"/>
      <c r="AZ137" s="17"/>
      <c r="BA137" s="17"/>
      <c r="BB137" s="20"/>
      <c r="BC137" s="17"/>
      <c r="BD137" s="20"/>
      <c r="BE137" s="17"/>
      <c r="BF137" s="20"/>
      <c r="BG137" s="20"/>
      <c r="BH137" s="20"/>
      <c r="BI137" s="20"/>
    </row>
    <row r="138" spans="3:61" s="30" customFormat="1" ht="18" x14ac:dyDescent="0.35">
      <c r="C138" s="31"/>
      <c r="D138" s="31"/>
      <c r="E138" s="31"/>
      <c r="F138" s="19"/>
      <c r="G138" s="18"/>
      <c r="H138" s="18"/>
      <c r="I138" s="18"/>
      <c r="J138" s="18"/>
      <c r="K138" s="18"/>
      <c r="L138" s="18"/>
      <c r="M138" s="18"/>
      <c r="N138" s="18"/>
      <c r="P138"/>
      <c r="Q138"/>
      <c r="R138"/>
      <c r="S138"/>
      <c r="T138"/>
      <c r="U138"/>
      <c r="V138"/>
      <c r="X138" s="33"/>
      <c r="Y138" s="20"/>
      <c r="Z138" s="20"/>
      <c r="AA138" s="20"/>
      <c r="AB138" s="20"/>
      <c r="AC138" s="20"/>
      <c r="AD138" s="17"/>
      <c r="AE138" s="17"/>
      <c r="AF138" s="20"/>
      <c r="AG138" s="17"/>
      <c r="AH138" s="20"/>
      <c r="AI138" s="17"/>
      <c r="AJ138" s="20"/>
      <c r="AK138" s="17"/>
      <c r="AL138" s="17"/>
      <c r="AM138" s="20"/>
      <c r="AN138" s="20"/>
      <c r="AO138" s="20"/>
      <c r="AP138" s="20"/>
      <c r="AQ138" s="17"/>
      <c r="AR138" s="17"/>
      <c r="AS138" s="20"/>
      <c r="AT138" s="17"/>
      <c r="AU138" s="17"/>
      <c r="AV138" s="17"/>
      <c r="AW138" s="17"/>
      <c r="AX138" s="17"/>
      <c r="AY138" s="17"/>
      <c r="AZ138" s="17"/>
      <c r="BA138" s="17"/>
      <c r="BB138" s="20"/>
      <c r="BC138" s="17"/>
      <c r="BD138" s="20"/>
      <c r="BE138" s="17"/>
      <c r="BF138" s="20"/>
      <c r="BG138" s="20"/>
      <c r="BH138" s="20"/>
      <c r="BI138" s="20"/>
    </row>
    <row r="139" spans="3:61" s="30" customFormat="1" ht="18" x14ac:dyDescent="0.35">
      <c r="C139" s="31"/>
      <c r="D139" s="31"/>
      <c r="E139" s="31"/>
      <c r="F139" s="19"/>
      <c r="G139" s="18"/>
      <c r="H139" s="18"/>
      <c r="I139" s="18"/>
      <c r="J139" s="18"/>
      <c r="K139" s="18"/>
      <c r="L139" s="18"/>
      <c r="M139" s="18"/>
      <c r="N139" s="18"/>
      <c r="P139"/>
      <c r="Q139"/>
      <c r="R139"/>
      <c r="S139"/>
      <c r="T139"/>
      <c r="U139"/>
      <c r="V139"/>
      <c r="X139" s="33"/>
      <c r="Y139" s="20"/>
      <c r="Z139" s="20"/>
      <c r="AA139" s="20"/>
      <c r="AB139" s="20"/>
      <c r="AC139" s="20"/>
      <c r="AD139" s="17"/>
      <c r="AE139" s="17"/>
      <c r="AF139" s="20"/>
      <c r="AG139" s="17"/>
      <c r="AH139" s="20"/>
      <c r="AI139" s="17"/>
      <c r="AJ139" s="20"/>
      <c r="AK139" s="17"/>
      <c r="AL139" s="17"/>
      <c r="AM139" s="20"/>
      <c r="AN139" s="20"/>
      <c r="AO139" s="20"/>
      <c r="AP139" s="20"/>
      <c r="AQ139" s="17"/>
      <c r="AR139" s="17"/>
      <c r="AS139" s="20"/>
      <c r="AT139" s="17"/>
      <c r="AU139" s="17"/>
      <c r="AV139" s="17"/>
      <c r="AW139" s="17"/>
      <c r="AX139" s="17"/>
      <c r="AY139" s="17"/>
      <c r="AZ139" s="17"/>
      <c r="BA139" s="17"/>
      <c r="BB139" s="20"/>
      <c r="BC139" s="17"/>
      <c r="BD139" s="20"/>
      <c r="BE139" s="17"/>
      <c r="BF139" s="20"/>
      <c r="BG139" s="20"/>
      <c r="BH139" s="20"/>
      <c r="BI139" s="20"/>
    </row>
    <row r="140" spans="3:61" s="30" customFormat="1" ht="18" x14ac:dyDescent="0.35">
      <c r="C140" s="31"/>
      <c r="D140" s="31"/>
      <c r="E140" s="31"/>
      <c r="F140" s="19"/>
      <c r="G140" s="18"/>
      <c r="H140" s="18"/>
      <c r="I140" s="18"/>
      <c r="J140" s="18"/>
      <c r="K140" s="18"/>
      <c r="L140" s="18"/>
      <c r="M140" s="18"/>
      <c r="N140" s="18"/>
      <c r="P140"/>
      <c r="Q140"/>
      <c r="R140"/>
      <c r="S140"/>
      <c r="T140"/>
      <c r="U140"/>
      <c r="V140"/>
      <c r="X140" s="33"/>
      <c r="Y140" s="20"/>
      <c r="Z140" s="20"/>
      <c r="AA140" s="20"/>
      <c r="AB140" s="20"/>
      <c r="AC140" s="20"/>
      <c r="AD140" s="17"/>
      <c r="AE140" s="17"/>
      <c r="AF140" s="20"/>
      <c r="AG140" s="17"/>
      <c r="AH140" s="20"/>
      <c r="AI140" s="17"/>
      <c r="AJ140" s="20"/>
      <c r="AK140" s="17"/>
      <c r="AL140" s="17"/>
      <c r="AM140" s="20"/>
      <c r="AN140" s="20"/>
      <c r="AO140" s="20"/>
      <c r="AP140" s="20"/>
      <c r="AQ140" s="17"/>
      <c r="AR140" s="17"/>
      <c r="AS140" s="20"/>
      <c r="AT140" s="17"/>
      <c r="AU140" s="17"/>
      <c r="AV140" s="17"/>
      <c r="AW140" s="17"/>
      <c r="AX140" s="17"/>
      <c r="AY140" s="17"/>
      <c r="AZ140" s="17"/>
      <c r="BA140" s="17"/>
      <c r="BB140" s="20"/>
      <c r="BC140" s="17"/>
      <c r="BD140" s="20"/>
      <c r="BE140" s="17"/>
      <c r="BF140" s="20"/>
      <c r="BG140" s="20"/>
      <c r="BH140" s="20"/>
      <c r="BI140" s="20"/>
    </row>
    <row r="141" spans="3:61" s="30" customFormat="1" ht="18" x14ac:dyDescent="0.35">
      <c r="C141" s="31"/>
      <c r="D141" s="31"/>
      <c r="E141" s="31"/>
      <c r="F141" s="19"/>
      <c r="G141" s="18"/>
      <c r="H141" s="18"/>
      <c r="I141" s="18"/>
      <c r="J141" s="18"/>
      <c r="K141" s="18"/>
      <c r="L141" s="18"/>
      <c r="M141" s="18"/>
      <c r="N141" s="18"/>
      <c r="P141"/>
      <c r="Q141"/>
      <c r="R141"/>
      <c r="S141"/>
      <c r="T141"/>
      <c r="U141"/>
      <c r="V141"/>
      <c r="X141" s="33"/>
      <c r="Y141" s="20"/>
      <c r="Z141" s="20"/>
      <c r="AA141" s="20"/>
      <c r="AB141" s="20"/>
      <c r="AC141" s="20"/>
      <c r="AD141" s="17"/>
      <c r="AE141" s="17"/>
      <c r="AF141" s="20"/>
      <c r="AG141" s="17"/>
      <c r="AH141" s="20"/>
      <c r="AI141" s="17"/>
      <c r="AJ141" s="20"/>
      <c r="AK141" s="17"/>
      <c r="AL141" s="17"/>
      <c r="AM141" s="20"/>
      <c r="AN141" s="20"/>
      <c r="AO141" s="20"/>
      <c r="AP141" s="20"/>
      <c r="AQ141" s="17"/>
      <c r="AR141" s="17"/>
      <c r="AS141" s="20"/>
      <c r="AT141" s="17"/>
      <c r="AU141" s="17"/>
      <c r="AV141" s="17"/>
      <c r="AW141" s="17"/>
      <c r="AX141" s="17"/>
      <c r="AY141" s="17"/>
      <c r="AZ141" s="17"/>
      <c r="BA141" s="17"/>
      <c r="BB141" s="20"/>
      <c r="BC141" s="17"/>
      <c r="BD141" s="20"/>
      <c r="BE141" s="17"/>
      <c r="BF141" s="20"/>
      <c r="BG141" s="20"/>
      <c r="BH141" s="20"/>
      <c r="BI141" s="20"/>
    </row>
    <row r="142" spans="3:61" s="30" customFormat="1" ht="18" x14ac:dyDescent="0.35">
      <c r="C142" s="31"/>
      <c r="D142" s="31"/>
      <c r="E142" s="31"/>
      <c r="F142" s="19"/>
      <c r="G142" s="18"/>
      <c r="H142" s="18"/>
      <c r="I142" s="18"/>
      <c r="J142" s="18"/>
      <c r="K142" s="18"/>
      <c r="L142" s="18"/>
      <c r="M142" s="18"/>
      <c r="N142" s="18"/>
      <c r="P142"/>
      <c r="Q142"/>
      <c r="R142"/>
      <c r="S142"/>
      <c r="T142"/>
      <c r="U142"/>
      <c r="V142"/>
      <c r="X142" s="33"/>
      <c r="Y142" s="20"/>
      <c r="Z142" s="20"/>
      <c r="AA142" s="20"/>
      <c r="AB142" s="20"/>
      <c r="AC142" s="20"/>
      <c r="AD142" s="17"/>
      <c r="AE142" s="17"/>
      <c r="AF142" s="20"/>
      <c r="AG142" s="17"/>
      <c r="AH142" s="20"/>
      <c r="AI142" s="17"/>
      <c r="AJ142" s="20"/>
      <c r="AK142" s="17"/>
      <c r="AL142" s="17"/>
      <c r="AM142" s="20"/>
      <c r="AN142" s="20"/>
      <c r="AO142" s="20"/>
      <c r="AP142" s="20"/>
      <c r="AQ142" s="17"/>
      <c r="AR142" s="17"/>
      <c r="AS142" s="20"/>
      <c r="AT142" s="17"/>
      <c r="AU142" s="17"/>
      <c r="AV142" s="17"/>
      <c r="AW142" s="17"/>
      <c r="AX142" s="17"/>
      <c r="AY142" s="17"/>
      <c r="AZ142" s="17"/>
      <c r="BA142" s="17"/>
      <c r="BB142" s="20"/>
      <c r="BC142" s="17"/>
      <c r="BD142" s="20"/>
      <c r="BE142" s="17"/>
      <c r="BF142" s="20"/>
      <c r="BG142" s="20"/>
      <c r="BH142" s="20"/>
      <c r="BI142" s="20"/>
    </row>
    <row r="143" spans="3:61" s="30" customFormat="1" ht="18" x14ac:dyDescent="0.35">
      <c r="C143" s="31"/>
      <c r="D143" s="31"/>
      <c r="E143" s="31"/>
      <c r="F143" s="19"/>
      <c r="G143" s="18"/>
      <c r="H143" s="18"/>
      <c r="I143" s="18"/>
      <c r="J143" s="18"/>
      <c r="K143" s="18"/>
      <c r="L143" s="18"/>
      <c r="M143" s="18"/>
      <c r="N143" s="18"/>
      <c r="P143"/>
      <c r="Q143"/>
      <c r="R143"/>
      <c r="S143"/>
      <c r="T143"/>
      <c r="U143"/>
      <c r="V143"/>
      <c r="X143" s="33"/>
      <c r="Y143" s="20"/>
      <c r="Z143" s="20"/>
      <c r="AA143" s="20"/>
      <c r="AB143" s="20"/>
      <c r="AC143" s="20"/>
      <c r="AD143" s="17"/>
      <c r="AE143" s="17"/>
      <c r="AF143" s="20"/>
      <c r="AG143" s="17"/>
      <c r="AH143" s="20"/>
      <c r="AI143" s="17"/>
      <c r="AJ143" s="20"/>
      <c r="AK143" s="17"/>
      <c r="AL143" s="17"/>
      <c r="AM143" s="20"/>
      <c r="AN143" s="20"/>
      <c r="AO143" s="20"/>
      <c r="AP143" s="20"/>
      <c r="AQ143" s="17"/>
      <c r="AR143" s="17"/>
      <c r="AS143" s="20"/>
      <c r="AT143" s="17"/>
      <c r="AU143" s="17"/>
      <c r="AV143" s="17"/>
      <c r="AW143" s="17"/>
      <c r="AX143" s="17"/>
      <c r="AY143" s="17"/>
      <c r="AZ143" s="17"/>
      <c r="BA143" s="17"/>
      <c r="BB143" s="20"/>
      <c r="BC143" s="17"/>
      <c r="BD143" s="20"/>
      <c r="BE143" s="17"/>
      <c r="BF143" s="20"/>
      <c r="BG143" s="20"/>
      <c r="BH143" s="20"/>
      <c r="BI143" s="20"/>
    </row>
    <row r="144" spans="3:61" s="30" customFormat="1" ht="18" x14ac:dyDescent="0.35">
      <c r="C144" s="31"/>
      <c r="D144" s="31"/>
      <c r="E144" s="31"/>
      <c r="F144" s="19"/>
      <c r="G144" s="18"/>
      <c r="H144" s="18"/>
      <c r="I144" s="18"/>
      <c r="J144" s="18"/>
      <c r="K144" s="18"/>
      <c r="L144" s="18"/>
      <c r="M144" s="18"/>
      <c r="N144" s="18"/>
      <c r="P144"/>
      <c r="Q144"/>
      <c r="R144"/>
      <c r="S144"/>
      <c r="T144"/>
      <c r="U144"/>
      <c r="V144"/>
      <c r="X144" s="33"/>
      <c r="Y144" s="20"/>
      <c r="Z144" s="20"/>
      <c r="AA144" s="20"/>
      <c r="AB144" s="20"/>
      <c r="AC144" s="20"/>
      <c r="AD144" s="17"/>
      <c r="AE144" s="17"/>
      <c r="AF144" s="20"/>
      <c r="AG144" s="17"/>
      <c r="AH144" s="20"/>
      <c r="AI144" s="17"/>
      <c r="AJ144" s="20"/>
      <c r="AK144" s="17"/>
      <c r="AL144" s="17"/>
      <c r="AM144" s="20"/>
      <c r="AN144" s="20"/>
      <c r="AO144" s="20"/>
      <c r="AP144" s="20"/>
      <c r="AQ144" s="17"/>
      <c r="AR144" s="17"/>
      <c r="AS144" s="20"/>
      <c r="AT144" s="17"/>
      <c r="AU144" s="17"/>
      <c r="AV144" s="17"/>
      <c r="AW144" s="17"/>
      <c r="AX144" s="17"/>
      <c r="AY144" s="17"/>
      <c r="AZ144" s="17"/>
      <c r="BA144" s="17"/>
      <c r="BB144" s="20"/>
      <c r="BC144" s="17"/>
      <c r="BD144" s="20"/>
      <c r="BE144" s="17"/>
      <c r="BF144" s="20"/>
      <c r="BG144" s="20"/>
      <c r="BH144" s="20"/>
      <c r="BI144" s="20"/>
    </row>
    <row r="145" spans="3:61" s="30" customFormat="1" ht="18" x14ac:dyDescent="0.35">
      <c r="C145" s="31"/>
      <c r="D145" s="31"/>
      <c r="E145" s="31"/>
      <c r="F145" s="19"/>
      <c r="G145" s="18"/>
      <c r="H145" s="18"/>
      <c r="I145" s="18"/>
      <c r="J145" s="18"/>
      <c r="K145" s="18"/>
      <c r="L145" s="18"/>
      <c r="M145" s="18"/>
      <c r="N145" s="18"/>
      <c r="P145"/>
      <c r="Q145"/>
      <c r="R145"/>
      <c r="S145"/>
      <c r="T145"/>
      <c r="U145"/>
      <c r="V145"/>
      <c r="X145" s="33"/>
      <c r="Y145" s="20"/>
      <c r="Z145" s="20"/>
      <c r="AA145" s="20"/>
      <c r="AB145" s="20"/>
      <c r="AC145" s="20"/>
      <c r="AD145" s="17"/>
      <c r="AE145" s="17"/>
      <c r="AF145" s="20"/>
      <c r="AG145" s="17"/>
      <c r="AH145" s="20"/>
      <c r="AI145" s="17"/>
      <c r="AJ145" s="20"/>
      <c r="AK145" s="17"/>
      <c r="AL145" s="17"/>
      <c r="AM145" s="20"/>
      <c r="AN145" s="20"/>
      <c r="AO145" s="20"/>
      <c r="AP145" s="20"/>
      <c r="AQ145" s="17"/>
      <c r="AR145" s="17"/>
      <c r="AS145" s="20"/>
      <c r="AT145" s="17"/>
      <c r="AU145" s="17"/>
      <c r="AV145" s="17"/>
      <c r="AW145" s="17"/>
      <c r="AX145" s="17"/>
      <c r="AY145" s="17"/>
      <c r="AZ145" s="17"/>
      <c r="BA145" s="17"/>
      <c r="BB145" s="20"/>
      <c r="BC145" s="17"/>
      <c r="BD145" s="20"/>
      <c r="BE145" s="17"/>
      <c r="BF145" s="20"/>
      <c r="BG145" s="20"/>
      <c r="BH145" s="20"/>
      <c r="BI145" s="20"/>
    </row>
    <row r="146" spans="3:61" s="30" customFormat="1" ht="18" x14ac:dyDescent="0.35">
      <c r="C146" s="31"/>
      <c r="D146" s="31"/>
      <c r="E146" s="31"/>
      <c r="F146" s="19"/>
      <c r="G146" s="18"/>
      <c r="H146" s="18"/>
      <c r="I146" s="18"/>
      <c r="J146" s="18"/>
      <c r="K146" s="18"/>
      <c r="L146" s="18"/>
      <c r="M146" s="18"/>
      <c r="N146" s="18"/>
      <c r="P146"/>
      <c r="Q146"/>
      <c r="R146"/>
      <c r="S146"/>
      <c r="T146"/>
      <c r="U146"/>
      <c r="V146"/>
      <c r="X146" s="33"/>
      <c r="Y146" s="20"/>
      <c r="Z146" s="20"/>
      <c r="AA146" s="20"/>
      <c r="AB146" s="20"/>
      <c r="AC146" s="20"/>
      <c r="AD146" s="17"/>
      <c r="AE146" s="17"/>
      <c r="AF146" s="20"/>
      <c r="AG146" s="17"/>
      <c r="AH146" s="20"/>
      <c r="AI146" s="17"/>
      <c r="AJ146" s="20"/>
      <c r="AK146" s="17"/>
      <c r="AL146" s="17"/>
      <c r="AM146" s="20"/>
      <c r="AN146" s="20"/>
      <c r="AO146" s="20"/>
      <c r="AP146" s="20"/>
      <c r="AQ146" s="17"/>
      <c r="AR146" s="17"/>
      <c r="AS146" s="20"/>
      <c r="AT146" s="17"/>
      <c r="AU146" s="17"/>
      <c r="AV146" s="17"/>
      <c r="AW146" s="17"/>
      <c r="AX146" s="17"/>
      <c r="AY146" s="17"/>
      <c r="AZ146" s="17"/>
      <c r="BA146" s="17"/>
      <c r="BB146" s="20"/>
      <c r="BC146" s="17"/>
      <c r="BD146" s="20"/>
      <c r="BE146" s="17"/>
      <c r="BF146" s="20"/>
      <c r="BG146" s="20"/>
      <c r="BH146" s="20"/>
      <c r="BI146" s="20"/>
    </row>
    <row r="147" spans="3:61" s="30" customFormat="1" ht="18" x14ac:dyDescent="0.35">
      <c r="C147" s="31"/>
      <c r="D147" s="31"/>
      <c r="E147" s="31"/>
      <c r="F147" s="19"/>
      <c r="G147" s="18"/>
      <c r="H147" s="18"/>
      <c r="I147" s="18"/>
      <c r="J147" s="18"/>
      <c r="K147" s="18"/>
      <c r="L147" s="18"/>
      <c r="M147" s="18"/>
      <c r="N147" s="18"/>
      <c r="P147"/>
      <c r="Q147"/>
      <c r="R147"/>
      <c r="S147"/>
      <c r="T147"/>
      <c r="U147"/>
      <c r="V147"/>
      <c r="X147" s="33"/>
      <c r="Y147" s="20"/>
      <c r="Z147" s="20"/>
      <c r="AA147" s="20"/>
      <c r="AB147" s="20"/>
      <c r="AC147" s="20"/>
      <c r="AD147" s="17"/>
      <c r="AE147" s="17"/>
      <c r="AF147" s="20"/>
      <c r="AG147" s="17"/>
      <c r="AH147" s="20"/>
      <c r="AI147" s="17"/>
      <c r="AJ147" s="20"/>
      <c r="AK147" s="17"/>
      <c r="AL147" s="17"/>
      <c r="AM147" s="20"/>
      <c r="AN147" s="20"/>
      <c r="AO147" s="20"/>
      <c r="AP147" s="20"/>
      <c r="AQ147" s="17"/>
      <c r="AR147" s="17"/>
      <c r="AS147" s="20"/>
      <c r="AT147" s="17"/>
      <c r="AU147" s="17"/>
      <c r="AV147" s="17"/>
      <c r="AW147" s="17"/>
      <c r="AX147" s="17"/>
      <c r="AY147" s="17"/>
      <c r="AZ147" s="17"/>
      <c r="BA147" s="17"/>
      <c r="BB147" s="20"/>
      <c r="BC147" s="17"/>
      <c r="BD147" s="20"/>
      <c r="BE147" s="17"/>
      <c r="BF147" s="20"/>
      <c r="BG147" s="20"/>
      <c r="BH147" s="20"/>
      <c r="BI147" s="20"/>
    </row>
    <row r="148" spans="3:61" s="30" customFormat="1" ht="18" x14ac:dyDescent="0.35">
      <c r="C148" s="31"/>
      <c r="D148" s="31"/>
      <c r="E148" s="31"/>
      <c r="F148" s="19"/>
      <c r="G148" s="18"/>
      <c r="H148" s="18"/>
      <c r="I148" s="18"/>
      <c r="J148" s="18"/>
      <c r="K148" s="18"/>
      <c r="L148" s="18"/>
      <c r="M148" s="18"/>
      <c r="N148" s="18"/>
      <c r="P148"/>
      <c r="Q148"/>
      <c r="R148"/>
      <c r="S148"/>
      <c r="T148"/>
      <c r="U148"/>
      <c r="V148"/>
      <c r="X148" s="33"/>
      <c r="Y148" s="20"/>
      <c r="Z148" s="20"/>
      <c r="AA148" s="20"/>
      <c r="AB148" s="20"/>
      <c r="AC148" s="20"/>
      <c r="AD148" s="17"/>
      <c r="AE148" s="17"/>
      <c r="AF148" s="20"/>
      <c r="AG148" s="17"/>
      <c r="AH148" s="20"/>
      <c r="AI148" s="17"/>
      <c r="AJ148" s="20"/>
      <c r="AK148" s="17"/>
      <c r="AL148" s="17"/>
      <c r="AM148" s="20"/>
      <c r="AN148" s="20"/>
      <c r="AO148" s="20"/>
      <c r="AP148" s="20"/>
      <c r="AQ148" s="17"/>
      <c r="AR148" s="17"/>
      <c r="AS148" s="20"/>
      <c r="AT148" s="17"/>
      <c r="AU148" s="17"/>
      <c r="AV148" s="17"/>
      <c r="AW148" s="17"/>
      <c r="AX148" s="17"/>
      <c r="AY148" s="17"/>
      <c r="AZ148" s="17"/>
      <c r="BA148" s="17"/>
      <c r="BB148" s="20"/>
      <c r="BC148" s="17"/>
      <c r="BD148" s="20"/>
      <c r="BE148" s="17"/>
      <c r="BF148" s="20"/>
      <c r="BG148" s="20"/>
      <c r="BH148" s="20"/>
      <c r="BI148" s="20"/>
    </row>
    <row r="149" spans="3:61" s="30" customFormat="1" ht="18" x14ac:dyDescent="0.35">
      <c r="C149" s="31"/>
      <c r="D149" s="31"/>
      <c r="E149" s="31"/>
      <c r="F149" s="19"/>
      <c r="G149" s="18"/>
      <c r="H149" s="18"/>
      <c r="I149" s="18"/>
      <c r="J149" s="18"/>
      <c r="K149" s="18"/>
      <c r="L149" s="18"/>
      <c r="M149" s="18"/>
      <c r="N149" s="18"/>
      <c r="P149"/>
      <c r="Q149"/>
      <c r="R149"/>
      <c r="S149"/>
      <c r="T149"/>
      <c r="U149"/>
      <c r="V149"/>
      <c r="X149" s="33"/>
      <c r="Y149" s="20"/>
      <c r="Z149" s="20"/>
      <c r="AA149" s="20"/>
      <c r="AB149" s="20"/>
      <c r="AC149" s="20"/>
      <c r="AD149" s="17"/>
      <c r="AE149" s="17"/>
      <c r="AF149" s="20"/>
      <c r="AG149" s="17"/>
      <c r="AH149" s="20"/>
      <c r="AI149" s="17"/>
      <c r="AJ149" s="20"/>
      <c r="AK149" s="17"/>
      <c r="AL149" s="17"/>
      <c r="AM149" s="20"/>
      <c r="AN149" s="20"/>
      <c r="AO149" s="20"/>
      <c r="AP149" s="20"/>
      <c r="AQ149" s="17"/>
      <c r="AR149" s="17"/>
      <c r="AS149" s="20"/>
      <c r="AT149" s="17"/>
      <c r="AU149" s="17"/>
      <c r="AV149" s="17"/>
      <c r="AW149" s="17"/>
      <c r="AX149" s="17"/>
      <c r="AY149" s="17"/>
      <c r="AZ149" s="17"/>
      <c r="BA149" s="17"/>
      <c r="BB149" s="20"/>
      <c r="BC149" s="17"/>
      <c r="BD149" s="20"/>
      <c r="BE149" s="17"/>
      <c r="BF149" s="20"/>
      <c r="BG149" s="20"/>
      <c r="BH149" s="20"/>
      <c r="BI149" s="20"/>
    </row>
    <row r="150" spans="3:61" s="30" customFormat="1" ht="18" x14ac:dyDescent="0.35">
      <c r="C150" s="31"/>
      <c r="D150" s="31"/>
      <c r="E150" s="31"/>
      <c r="F150" s="19"/>
      <c r="G150" s="18"/>
      <c r="H150" s="18"/>
      <c r="I150" s="18"/>
      <c r="J150" s="18"/>
      <c r="K150" s="18"/>
      <c r="L150" s="18"/>
      <c r="M150" s="18"/>
      <c r="N150" s="18"/>
      <c r="P150"/>
      <c r="Q150"/>
      <c r="R150"/>
      <c r="S150"/>
      <c r="T150"/>
      <c r="U150"/>
      <c r="V150"/>
      <c r="X150" s="33"/>
      <c r="Y150" s="20"/>
      <c r="Z150" s="20"/>
      <c r="AA150" s="20"/>
      <c r="AB150" s="20"/>
      <c r="AC150" s="20"/>
      <c r="AD150" s="17"/>
      <c r="AE150" s="17"/>
      <c r="AF150" s="20"/>
      <c r="AG150" s="17"/>
      <c r="AH150" s="20"/>
      <c r="AI150" s="17"/>
      <c r="AJ150" s="20"/>
      <c r="AK150" s="17"/>
      <c r="AL150" s="17"/>
      <c r="AM150" s="20"/>
      <c r="AN150" s="20"/>
      <c r="AO150" s="20"/>
      <c r="AP150" s="20"/>
      <c r="AQ150" s="17"/>
      <c r="AR150" s="17"/>
      <c r="AS150" s="20"/>
      <c r="AT150" s="17"/>
      <c r="AU150" s="17"/>
      <c r="AV150" s="17"/>
      <c r="AW150" s="17"/>
      <c r="AX150" s="17"/>
      <c r="AY150" s="17"/>
      <c r="AZ150" s="17"/>
      <c r="BA150" s="17"/>
      <c r="BB150" s="20"/>
      <c r="BC150" s="17"/>
      <c r="BD150" s="20"/>
      <c r="BE150" s="17"/>
      <c r="BF150" s="20"/>
      <c r="BG150" s="20"/>
      <c r="BH150" s="20"/>
      <c r="BI150" s="20"/>
    </row>
    <row r="151" spans="3:61" s="30" customFormat="1" ht="18" x14ac:dyDescent="0.35">
      <c r="C151" s="31"/>
      <c r="D151" s="31"/>
      <c r="E151" s="31"/>
      <c r="F151" s="19"/>
      <c r="G151" s="18"/>
      <c r="H151" s="18"/>
      <c r="I151" s="18"/>
      <c r="J151" s="18"/>
      <c r="K151" s="18"/>
      <c r="L151" s="18"/>
      <c r="M151" s="18"/>
      <c r="N151" s="18"/>
      <c r="P151"/>
      <c r="Q151"/>
      <c r="R151"/>
      <c r="S151"/>
      <c r="T151"/>
      <c r="U151"/>
      <c r="V151"/>
      <c r="X151" s="33"/>
      <c r="Y151" s="20"/>
      <c r="Z151" s="20"/>
      <c r="AA151" s="20"/>
      <c r="AB151" s="20"/>
      <c r="AC151" s="20"/>
      <c r="AD151" s="17"/>
      <c r="AE151" s="17"/>
      <c r="AF151" s="20"/>
      <c r="AG151" s="17"/>
      <c r="AH151" s="20"/>
      <c r="AI151" s="17"/>
      <c r="AJ151" s="20"/>
      <c r="AK151" s="17"/>
      <c r="AL151" s="17"/>
      <c r="AM151" s="20"/>
      <c r="AN151" s="20"/>
      <c r="AO151" s="20"/>
      <c r="AP151" s="20"/>
      <c r="AQ151" s="17"/>
      <c r="AR151" s="17"/>
      <c r="AS151" s="20"/>
      <c r="AT151" s="17"/>
      <c r="AU151" s="17"/>
      <c r="AV151" s="17"/>
      <c r="AW151" s="17"/>
      <c r="AX151" s="17"/>
      <c r="AY151" s="17"/>
      <c r="AZ151" s="17"/>
      <c r="BA151" s="17"/>
      <c r="BB151" s="20"/>
      <c r="BC151" s="17"/>
      <c r="BD151" s="20"/>
      <c r="BE151" s="17"/>
      <c r="BF151" s="20"/>
      <c r="BG151" s="20"/>
      <c r="BH151" s="20"/>
      <c r="BI151" s="20"/>
    </row>
    <row r="152" spans="3:61" s="30" customFormat="1" ht="18" x14ac:dyDescent="0.35">
      <c r="C152" s="31"/>
      <c r="D152" s="31"/>
      <c r="E152" s="31"/>
      <c r="F152" s="19"/>
      <c r="G152" s="18"/>
      <c r="H152" s="18"/>
      <c r="I152" s="18"/>
      <c r="J152" s="18"/>
      <c r="K152" s="18"/>
      <c r="L152" s="18"/>
      <c r="M152" s="18"/>
      <c r="N152" s="18"/>
      <c r="P152"/>
      <c r="Q152"/>
      <c r="R152"/>
      <c r="S152"/>
      <c r="T152"/>
      <c r="U152"/>
      <c r="V152"/>
      <c r="X152" s="33"/>
      <c r="Y152" s="20"/>
      <c r="Z152" s="20"/>
      <c r="AA152" s="20"/>
      <c r="AB152" s="20"/>
      <c r="AC152" s="20"/>
      <c r="AD152" s="17"/>
      <c r="AE152" s="17"/>
      <c r="AF152" s="20"/>
      <c r="AG152" s="17"/>
      <c r="AH152" s="20"/>
      <c r="AI152" s="17"/>
      <c r="AJ152" s="20"/>
      <c r="AK152" s="17"/>
      <c r="AL152" s="17"/>
      <c r="AM152" s="20"/>
      <c r="AN152" s="20"/>
      <c r="AO152" s="20"/>
      <c r="AP152" s="20"/>
      <c r="AQ152" s="17"/>
      <c r="AR152" s="17"/>
      <c r="AS152" s="20"/>
      <c r="AT152" s="17"/>
      <c r="AU152" s="17"/>
      <c r="AV152" s="17"/>
      <c r="AW152" s="17"/>
      <c r="AX152" s="17"/>
      <c r="AY152" s="17"/>
      <c r="AZ152" s="17"/>
      <c r="BA152" s="17"/>
      <c r="BB152" s="20"/>
      <c r="BC152" s="17"/>
      <c r="BD152" s="20"/>
      <c r="BE152" s="17"/>
      <c r="BF152" s="20"/>
      <c r="BG152" s="20"/>
      <c r="BH152" s="20"/>
      <c r="BI152" s="20"/>
    </row>
    <row r="153" spans="3:61" s="30" customFormat="1" ht="18" x14ac:dyDescent="0.35">
      <c r="C153" s="31"/>
      <c r="D153" s="31"/>
      <c r="E153" s="31"/>
      <c r="F153" s="19"/>
      <c r="G153" s="18"/>
      <c r="H153" s="18"/>
      <c r="I153" s="18"/>
      <c r="J153" s="18"/>
      <c r="K153" s="18"/>
      <c r="L153" s="18"/>
      <c r="M153" s="18"/>
      <c r="N153" s="18"/>
      <c r="P153"/>
      <c r="Q153"/>
      <c r="R153"/>
      <c r="S153"/>
      <c r="T153"/>
      <c r="U153"/>
      <c r="V153"/>
      <c r="X153" s="33"/>
      <c r="Y153" s="20"/>
      <c r="Z153" s="20"/>
      <c r="AA153" s="20"/>
      <c r="AB153" s="20"/>
      <c r="AC153" s="20"/>
      <c r="AD153" s="17"/>
      <c r="AE153" s="17"/>
      <c r="AF153" s="20"/>
      <c r="AG153" s="17"/>
      <c r="AH153" s="20"/>
      <c r="AI153" s="17"/>
      <c r="AJ153" s="20"/>
      <c r="AK153" s="17"/>
      <c r="AL153" s="17"/>
      <c r="AM153" s="20"/>
      <c r="AN153" s="20"/>
      <c r="AO153" s="20"/>
      <c r="AP153" s="20"/>
      <c r="AQ153" s="17"/>
      <c r="AR153" s="17"/>
      <c r="AS153" s="20"/>
      <c r="AT153" s="17"/>
      <c r="AU153" s="17"/>
      <c r="AV153" s="17"/>
      <c r="AW153" s="17"/>
      <c r="AX153" s="17"/>
      <c r="AY153" s="17"/>
      <c r="AZ153" s="17"/>
      <c r="BA153" s="17"/>
      <c r="BB153" s="20"/>
      <c r="BC153" s="17"/>
      <c r="BD153" s="20"/>
      <c r="BE153" s="17"/>
      <c r="BF153" s="20"/>
      <c r="BG153" s="20"/>
      <c r="BH153" s="20"/>
      <c r="BI153" s="20"/>
    </row>
    <row r="154" spans="3:61" s="30" customFormat="1" ht="18" x14ac:dyDescent="0.35">
      <c r="C154" s="31"/>
      <c r="D154" s="31"/>
      <c r="E154" s="31"/>
      <c r="F154" s="19"/>
      <c r="G154" s="18"/>
      <c r="H154" s="18"/>
      <c r="I154" s="18"/>
      <c r="J154" s="18"/>
      <c r="K154" s="18"/>
      <c r="L154" s="18"/>
      <c r="M154" s="18"/>
      <c r="N154" s="18"/>
      <c r="P154"/>
      <c r="Q154"/>
      <c r="R154"/>
      <c r="S154"/>
      <c r="T154"/>
      <c r="U154"/>
      <c r="V154"/>
      <c r="X154" s="33"/>
      <c r="Y154" s="20"/>
      <c r="Z154" s="20"/>
      <c r="AA154" s="20"/>
      <c r="AB154" s="20"/>
      <c r="AC154" s="20"/>
      <c r="AD154" s="17"/>
      <c r="AE154" s="17"/>
      <c r="AF154" s="20"/>
      <c r="AG154" s="17"/>
      <c r="AH154" s="20"/>
      <c r="AI154" s="17"/>
      <c r="AJ154" s="20"/>
      <c r="AK154" s="17"/>
      <c r="AL154" s="17"/>
      <c r="AM154" s="20"/>
      <c r="AN154" s="20"/>
      <c r="AO154" s="20"/>
      <c r="AP154" s="20"/>
      <c r="AQ154" s="17"/>
      <c r="AR154" s="17"/>
      <c r="AS154" s="20"/>
      <c r="AT154" s="17"/>
      <c r="AU154" s="17"/>
      <c r="AV154" s="17"/>
      <c r="AW154" s="17"/>
      <c r="AX154" s="17"/>
      <c r="AY154" s="17"/>
      <c r="AZ154" s="17"/>
      <c r="BA154" s="17"/>
      <c r="BB154" s="20"/>
      <c r="BC154" s="17"/>
      <c r="BD154" s="20"/>
      <c r="BE154" s="17"/>
      <c r="BF154" s="20"/>
      <c r="BG154" s="20"/>
      <c r="BH154" s="20"/>
      <c r="BI154" s="20"/>
    </row>
    <row r="155" spans="3:61" s="30" customFormat="1" ht="18" x14ac:dyDescent="0.35">
      <c r="C155" s="31"/>
      <c r="D155" s="31"/>
      <c r="E155" s="31"/>
      <c r="F155" s="19"/>
      <c r="G155" s="18"/>
      <c r="H155" s="18"/>
      <c r="I155" s="18"/>
      <c r="J155" s="18"/>
      <c r="K155" s="18"/>
      <c r="L155" s="18"/>
      <c r="M155" s="18"/>
      <c r="N155" s="18"/>
      <c r="P155"/>
      <c r="Q155"/>
      <c r="R155"/>
      <c r="S155"/>
      <c r="T155"/>
      <c r="U155"/>
      <c r="V155"/>
      <c r="X155" s="33"/>
      <c r="Y155" s="20"/>
      <c r="Z155" s="20"/>
      <c r="AA155" s="20"/>
      <c r="AB155" s="20"/>
      <c r="AC155" s="20"/>
      <c r="AD155" s="17"/>
      <c r="AE155" s="17"/>
      <c r="AF155" s="20"/>
      <c r="AG155" s="17"/>
      <c r="AH155" s="20"/>
      <c r="AI155" s="17"/>
      <c r="AJ155" s="20"/>
      <c r="AK155" s="17"/>
      <c r="AL155" s="17"/>
      <c r="AM155" s="20"/>
      <c r="AN155" s="20"/>
      <c r="AO155" s="20"/>
      <c r="AP155" s="20"/>
      <c r="AQ155" s="17"/>
      <c r="AR155" s="17"/>
      <c r="AS155" s="20"/>
      <c r="AT155" s="17"/>
      <c r="AU155" s="17"/>
      <c r="AV155" s="17"/>
      <c r="AW155" s="17"/>
      <c r="AX155" s="17"/>
      <c r="AY155" s="17"/>
      <c r="AZ155" s="17"/>
      <c r="BA155" s="17"/>
      <c r="BB155" s="20"/>
      <c r="BC155" s="17"/>
      <c r="BD155" s="20"/>
      <c r="BE155" s="17"/>
      <c r="BF155" s="20"/>
      <c r="BG155" s="20"/>
      <c r="BH155" s="20"/>
      <c r="BI155" s="20"/>
    </row>
    <row r="156" spans="3:61" s="30" customFormat="1" ht="18" x14ac:dyDescent="0.35">
      <c r="C156" s="31"/>
      <c r="D156" s="31"/>
      <c r="E156" s="31"/>
      <c r="F156" s="19"/>
      <c r="G156" s="18"/>
      <c r="H156" s="18"/>
      <c r="I156" s="18"/>
      <c r="J156" s="18"/>
      <c r="K156" s="18"/>
      <c r="L156" s="18"/>
      <c r="M156" s="18"/>
      <c r="N156" s="18"/>
      <c r="P156"/>
      <c r="Q156"/>
      <c r="R156"/>
      <c r="S156"/>
      <c r="T156"/>
      <c r="U156"/>
      <c r="V156"/>
      <c r="X156" s="33"/>
      <c r="Y156" s="20"/>
      <c r="Z156" s="20"/>
      <c r="AA156" s="20"/>
      <c r="AB156" s="20"/>
      <c r="AC156" s="20"/>
      <c r="AD156" s="17"/>
      <c r="AE156" s="17"/>
      <c r="AF156" s="20"/>
      <c r="AG156" s="17"/>
      <c r="AH156" s="20"/>
      <c r="AI156" s="17"/>
      <c r="AJ156" s="20"/>
      <c r="AK156" s="17"/>
      <c r="AL156" s="17"/>
      <c r="AM156" s="20"/>
      <c r="AN156" s="20"/>
      <c r="AO156" s="20"/>
      <c r="AP156" s="20"/>
      <c r="AQ156" s="17"/>
      <c r="AR156" s="17"/>
      <c r="AS156" s="20"/>
      <c r="AT156" s="17"/>
      <c r="AU156" s="17"/>
      <c r="AV156" s="17"/>
      <c r="AW156" s="17"/>
      <c r="AX156" s="17"/>
      <c r="AY156" s="17"/>
      <c r="AZ156" s="17"/>
      <c r="BA156" s="17"/>
      <c r="BB156" s="20"/>
      <c r="BC156" s="17"/>
      <c r="BD156" s="20"/>
      <c r="BE156" s="17"/>
      <c r="BF156" s="20"/>
      <c r="BG156" s="20"/>
      <c r="BH156" s="20"/>
      <c r="BI156" s="20"/>
    </row>
    <row r="157" spans="3:61" s="30" customFormat="1" ht="18" x14ac:dyDescent="0.35">
      <c r="C157" s="31"/>
      <c r="D157" s="31"/>
      <c r="E157" s="31"/>
      <c r="F157" s="19"/>
      <c r="G157" s="18"/>
      <c r="H157" s="18"/>
      <c r="I157" s="18"/>
      <c r="J157" s="18"/>
      <c r="K157" s="18"/>
      <c r="L157" s="18"/>
      <c r="M157" s="18"/>
      <c r="N157" s="18"/>
      <c r="P157"/>
      <c r="Q157"/>
      <c r="R157"/>
      <c r="S157"/>
      <c r="T157"/>
      <c r="U157"/>
      <c r="V157"/>
      <c r="X157" s="33"/>
      <c r="Y157" s="20"/>
      <c r="Z157" s="20"/>
      <c r="AA157" s="20"/>
      <c r="AB157" s="20"/>
      <c r="AC157" s="20"/>
      <c r="AD157" s="17"/>
      <c r="AE157" s="17"/>
      <c r="AF157" s="20"/>
      <c r="AG157" s="17"/>
      <c r="AH157" s="20"/>
      <c r="AI157" s="17"/>
      <c r="AJ157" s="20"/>
      <c r="AK157" s="17"/>
      <c r="AL157" s="17"/>
      <c r="AM157" s="20"/>
      <c r="AN157" s="20"/>
      <c r="AO157" s="20"/>
      <c r="AP157" s="20"/>
      <c r="AQ157" s="17"/>
      <c r="AR157" s="17"/>
      <c r="AS157" s="20"/>
      <c r="AT157" s="17"/>
      <c r="AU157" s="17"/>
      <c r="AV157" s="17"/>
      <c r="AW157" s="17"/>
      <c r="AX157" s="17"/>
      <c r="AY157" s="17"/>
      <c r="AZ157" s="17"/>
      <c r="BA157" s="17"/>
      <c r="BB157" s="20"/>
      <c r="BC157" s="17"/>
      <c r="BD157" s="20"/>
      <c r="BE157" s="17"/>
      <c r="BF157" s="20"/>
      <c r="BG157" s="20"/>
      <c r="BH157" s="20"/>
      <c r="BI157" s="20"/>
    </row>
    <row r="158" spans="3:61" s="30" customFormat="1" ht="18" x14ac:dyDescent="0.35">
      <c r="C158" s="31"/>
      <c r="D158" s="31"/>
      <c r="E158" s="31"/>
      <c r="F158" s="19"/>
      <c r="G158" s="18"/>
      <c r="H158" s="18"/>
      <c r="I158" s="18"/>
      <c r="J158" s="18"/>
      <c r="K158" s="18"/>
      <c r="L158" s="18"/>
      <c r="M158" s="18"/>
      <c r="N158" s="18"/>
      <c r="P158"/>
      <c r="Q158"/>
      <c r="R158"/>
      <c r="S158"/>
      <c r="T158"/>
      <c r="U158"/>
      <c r="V158"/>
      <c r="X158" s="33"/>
      <c r="Y158" s="20"/>
      <c r="Z158" s="20"/>
      <c r="AA158" s="20"/>
      <c r="AB158" s="20"/>
      <c r="AC158" s="20"/>
      <c r="AD158" s="17"/>
      <c r="AE158" s="17"/>
      <c r="AF158" s="20"/>
      <c r="AG158" s="17"/>
      <c r="AH158" s="20"/>
      <c r="AI158" s="17"/>
      <c r="AJ158" s="20"/>
      <c r="AK158" s="17"/>
      <c r="AL158" s="17"/>
      <c r="AM158" s="20"/>
      <c r="AN158" s="20"/>
      <c r="AO158" s="20"/>
      <c r="AP158" s="20"/>
      <c r="AQ158" s="17"/>
      <c r="AR158" s="17"/>
      <c r="AS158" s="20"/>
      <c r="AT158" s="17"/>
      <c r="AU158" s="17"/>
      <c r="AV158" s="17"/>
      <c r="AW158" s="17"/>
      <c r="AX158" s="17"/>
      <c r="AY158" s="17"/>
      <c r="AZ158" s="17"/>
      <c r="BA158" s="17"/>
      <c r="BB158" s="20"/>
      <c r="BC158" s="17"/>
      <c r="BD158" s="20"/>
      <c r="BE158" s="17"/>
      <c r="BF158" s="20"/>
      <c r="BG158" s="20"/>
      <c r="BH158" s="20"/>
      <c r="BI158" s="20"/>
    </row>
    <row r="159" spans="3:61" s="30" customFormat="1" ht="18" x14ac:dyDescent="0.35">
      <c r="C159" s="31"/>
      <c r="D159" s="31"/>
      <c r="E159" s="31"/>
      <c r="F159" s="19"/>
      <c r="G159" s="18"/>
      <c r="H159" s="18"/>
      <c r="I159" s="18"/>
      <c r="J159" s="18"/>
      <c r="K159" s="18"/>
      <c r="L159" s="18"/>
      <c r="M159" s="18"/>
      <c r="N159" s="18"/>
      <c r="P159"/>
      <c r="Q159"/>
      <c r="R159"/>
      <c r="S159"/>
      <c r="T159"/>
      <c r="U159"/>
      <c r="V159"/>
      <c r="X159" s="33"/>
      <c r="Y159" s="20"/>
      <c r="Z159" s="20"/>
      <c r="AA159" s="20"/>
      <c r="AB159" s="20"/>
      <c r="AC159" s="20"/>
      <c r="AD159" s="17"/>
      <c r="AE159" s="17"/>
      <c r="AF159" s="20"/>
      <c r="AG159" s="17"/>
      <c r="AH159" s="20"/>
      <c r="AI159" s="17"/>
      <c r="AJ159" s="20"/>
      <c r="AK159" s="17"/>
      <c r="AL159" s="17"/>
      <c r="AM159" s="20"/>
      <c r="AN159" s="20"/>
      <c r="AO159" s="20"/>
      <c r="AP159" s="20"/>
      <c r="AQ159" s="17"/>
      <c r="AR159" s="17"/>
      <c r="AS159" s="20"/>
      <c r="AT159" s="17"/>
      <c r="AU159" s="17"/>
      <c r="AV159" s="17"/>
      <c r="AW159" s="17"/>
      <c r="AX159" s="17"/>
      <c r="AY159" s="17"/>
      <c r="AZ159" s="17"/>
      <c r="BA159" s="17"/>
      <c r="BB159" s="20"/>
      <c r="BC159" s="17"/>
      <c r="BD159" s="20"/>
      <c r="BE159" s="17"/>
      <c r="BF159" s="20"/>
      <c r="BG159" s="20"/>
      <c r="BH159" s="20"/>
      <c r="BI159" s="20"/>
    </row>
    <row r="160" spans="3:61" s="30" customFormat="1" ht="18" x14ac:dyDescent="0.35">
      <c r="C160" s="31"/>
      <c r="D160" s="31"/>
      <c r="E160" s="31"/>
      <c r="F160" s="19"/>
      <c r="G160" s="18"/>
      <c r="H160" s="18"/>
      <c r="I160" s="18"/>
      <c r="J160" s="18"/>
      <c r="K160" s="18"/>
      <c r="L160" s="18"/>
      <c r="M160" s="18"/>
      <c r="N160" s="18"/>
      <c r="P160"/>
      <c r="Q160"/>
      <c r="R160"/>
      <c r="S160"/>
      <c r="T160"/>
      <c r="U160"/>
      <c r="V160"/>
      <c r="X160" s="33"/>
      <c r="Y160" s="20"/>
      <c r="Z160" s="20"/>
      <c r="AA160" s="20"/>
      <c r="AB160" s="20"/>
      <c r="AC160" s="20"/>
      <c r="AD160" s="17"/>
      <c r="AE160" s="17"/>
      <c r="AF160" s="20"/>
      <c r="AG160" s="17"/>
      <c r="AH160" s="20"/>
      <c r="AI160" s="17"/>
      <c r="AJ160" s="20"/>
      <c r="AK160" s="17"/>
      <c r="AL160" s="17"/>
      <c r="AM160" s="20"/>
      <c r="AN160" s="20"/>
      <c r="AO160" s="20"/>
      <c r="AP160" s="20"/>
      <c r="AQ160" s="17"/>
      <c r="AR160" s="17"/>
      <c r="AS160" s="20"/>
      <c r="AT160" s="17"/>
      <c r="AU160" s="17"/>
      <c r="AV160" s="17"/>
      <c r="AW160" s="17"/>
      <c r="AX160" s="17"/>
      <c r="AY160" s="17"/>
      <c r="AZ160" s="17"/>
      <c r="BA160" s="17"/>
      <c r="BB160" s="20"/>
      <c r="BC160" s="17"/>
      <c r="BD160" s="20"/>
      <c r="BE160" s="17"/>
      <c r="BF160" s="20"/>
      <c r="BG160" s="20"/>
      <c r="BH160" s="20"/>
      <c r="BI160" s="20"/>
    </row>
    <row r="161" spans="3:61" s="30" customFormat="1" ht="18" x14ac:dyDescent="0.35">
      <c r="C161" s="31"/>
      <c r="D161" s="31"/>
      <c r="E161" s="31"/>
      <c r="F161" s="19"/>
      <c r="G161" s="18"/>
      <c r="H161" s="18"/>
      <c r="I161" s="18"/>
      <c r="J161" s="18"/>
      <c r="K161" s="18"/>
      <c r="L161" s="18"/>
      <c r="M161" s="18"/>
      <c r="N161" s="18"/>
      <c r="P161"/>
      <c r="Q161"/>
      <c r="R161"/>
      <c r="S161"/>
      <c r="T161"/>
      <c r="U161"/>
      <c r="V161"/>
      <c r="X161" s="33"/>
      <c r="Y161" s="20"/>
      <c r="Z161" s="20"/>
      <c r="AA161" s="20"/>
      <c r="AB161" s="20"/>
      <c r="AC161" s="20"/>
      <c r="AD161" s="17"/>
      <c r="AE161" s="17"/>
      <c r="AF161" s="20"/>
      <c r="AG161" s="17"/>
      <c r="AH161" s="20"/>
      <c r="AI161" s="17"/>
      <c r="AJ161" s="20"/>
      <c r="AK161" s="17"/>
      <c r="AL161" s="17"/>
      <c r="AM161" s="20"/>
      <c r="AN161" s="20"/>
      <c r="AO161" s="20"/>
      <c r="AP161" s="20"/>
      <c r="AQ161" s="17"/>
      <c r="AR161" s="17"/>
      <c r="AS161" s="20"/>
      <c r="AT161" s="17"/>
      <c r="AU161" s="17"/>
      <c r="AV161" s="17"/>
      <c r="AW161" s="17"/>
      <c r="AX161" s="17"/>
      <c r="AY161" s="17"/>
      <c r="AZ161" s="17"/>
      <c r="BA161" s="17"/>
      <c r="BB161" s="20"/>
      <c r="BC161" s="17"/>
      <c r="BD161" s="20"/>
      <c r="BE161" s="17"/>
      <c r="BF161" s="20"/>
      <c r="BG161" s="20"/>
      <c r="BH161" s="20"/>
      <c r="BI161" s="20"/>
    </row>
    <row r="162" spans="3:61" s="30" customFormat="1" ht="18" x14ac:dyDescent="0.35">
      <c r="C162" s="31"/>
      <c r="D162" s="31"/>
      <c r="E162" s="31"/>
      <c r="F162" s="19"/>
      <c r="G162" s="18"/>
      <c r="H162" s="18"/>
      <c r="I162" s="18"/>
      <c r="J162" s="18"/>
      <c r="K162" s="18"/>
      <c r="L162" s="18"/>
      <c r="M162" s="18"/>
      <c r="N162" s="18"/>
      <c r="P162"/>
      <c r="Q162"/>
      <c r="R162"/>
      <c r="S162"/>
      <c r="T162"/>
      <c r="U162"/>
      <c r="V162"/>
      <c r="X162" s="33"/>
      <c r="Y162" s="20"/>
      <c r="Z162" s="20"/>
      <c r="AA162" s="20"/>
      <c r="AB162" s="20"/>
      <c r="AC162" s="20"/>
      <c r="AD162" s="17"/>
      <c r="AE162" s="17"/>
      <c r="AF162" s="20"/>
      <c r="AG162" s="17"/>
      <c r="AH162" s="20"/>
      <c r="AI162" s="17"/>
      <c r="AJ162" s="20"/>
      <c r="AK162" s="17"/>
      <c r="AL162" s="17"/>
      <c r="AM162" s="20"/>
      <c r="AN162" s="20"/>
      <c r="AO162" s="20"/>
      <c r="AP162" s="20"/>
      <c r="AQ162" s="17"/>
      <c r="AR162" s="17"/>
      <c r="AS162" s="20"/>
      <c r="AT162" s="17"/>
      <c r="AU162" s="17"/>
      <c r="AV162" s="17"/>
      <c r="AW162" s="17"/>
      <c r="AX162" s="17"/>
      <c r="AY162" s="17"/>
      <c r="AZ162" s="17"/>
      <c r="BA162" s="17"/>
      <c r="BB162" s="20"/>
      <c r="BC162" s="17"/>
      <c r="BD162" s="20"/>
      <c r="BE162" s="17"/>
      <c r="BF162" s="20"/>
      <c r="BG162" s="20"/>
      <c r="BH162" s="20"/>
      <c r="BI162" s="20"/>
    </row>
    <row r="163" spans="3:61" s="30" customFormat="1" ht="18" x14ac:dyDescent="0.35">
      <c r="C163" s="31"/>
      <c r="D163" s="31"/>
      <c r="E163" s="31"/>
      <c r="F163" s="19"/>
      <c r="G163" s="18"/>
      <c r="H163" s="18"/>
      <c r="I163" s="18"/>
      <c r="J163" s="18"/>
      <c r="K163" s="18"/>
      <c r="L163" s="18"/>
      <c r="M163" s="18"/>
      <c r="N163" s="18"/>
      <c r="P163"/>
      <c r="Q163"/>
      <c r="R163"/>
      <c r="S163"/>
      <c r="T163"/>
      <c r="U163"/>
      <c r="V163"/>
      <c r="X163" s="33"/>
      <c r="Y163" s="20"/>
      <c r="Z163" s="20"/>
      <c r="AA163" s="20"/>
      <c r="AB163" s="20"/>
      <c r="AC163" s="20"/>
      <c r="AD163" s="17"/>
      <c r="AE163" s="17"/>
      <c r="AF163" s="20"/>
      <c r="AG163" s="17"/>
      <c r="AH163" s="20"/>
      <c r="AI163" s="17"/>
      <c r="AJ163" s="20"/>
      <c r="AK163" s="17"/>
      <c r="AL163" s="17"/>
      <c r="AM163" s="20"/>
      <c r="AN163" s="20"/>
      <c r="AO163" s="20"/>
      <c r="AP163" s="20"/>
      <c r="AQ163" s="17"/>
      <c r="AR163" s="17"/>
      <c r="AS163" s="20"/>
      <c r="AT163" s="17"/>
      <c r="AU163" s="17"/>
      <c r="AV163" s="17"/>
      <c r="AW163" s="17"/>
      <c r="AX163" s="17"/>
      <c r="AY163" s="17"/>
      <c r="AZ163" s="17"/>
      <c r="BA163" s="17"/>
      <c r="BB163" s="20"/>
      <c r="BC163" s="17"/>
      <c r="BD163" s="20"/>
      <c r="BE163" s="17"/>
      <c r="BF163" s="20"/>
      <c r="BG163" s="20"/>
      <c r="BH163" s="20"/>
      <c r="BI163" s="20"/>
    </row>
    <row r="164" spans="3:61" s="30" customFormat="1" ht="18" x14ac:dyDescent="0.35">
      <c r="C164" s="31"/>
      <c r="D164" s="31"/>
      <c r="E164" s="31"/>
      <c r="F164" s="19"/>
      <c r="G164" s="18"/>
      <c r="H164" s="18"/>
      <c r="I164" s="18"/>
      <c r="J164" s="18"/>
      <c r="K164" s="18"/>
      <c r="L164" s="18"/>
      <c r="M164" s="18"/>
      <c r="N164" s="18"/>
      <c r="P164"/>
      <c r="Q164"/>
      <c r="R164"/>
      <c r="S164"/>
      <c r="T164"/>
      <c r="U164"/>
      <c r="V164"/>
      <c r="X164" s="33"/>
      <c r="Y164" s="20"/>
      <c r="Z164" s="20"/>
      <c r="AA164" s="20"/>
      <c r="AB164" s="20"/>
      <c r="AC164" s="20"/>
      <c r="AD164" s="17"/>
      <c r="AE164" s="17"/>
      <c r="AF164" s="20"/>
      <c r="AG164" s="17"/>
      <c r="AH164" s="20"/>
      <c r="AI164" s="17"/>
      <c r="AJ164" s="20"/>
      <c r="AK164" s="17"/>
      <c r="AL164" s="17"/>
      <c r="AM164" s="20"/>
      <c r="AN164" s="20"/>
      <c r="AO164" s="20"/>
      <c r="AP164" s="20"/>
      <c r="AQ164" s="17"/>
      <c r="AR164" s="17"/>
      <c r="AS164" s="20"/>
      <c r="AT164" s="17"/>
      <c r="AU164" s="17"/>
      <c r="AV164" s="17"/>
      <c r="AW164" s="17"/>
      <c r="AX164" s="17"/>
      <c r="AY164" s="17"/>
      <c r="AZ164" s="17"/>
      <c r="BA164" s="17"/>
      <c r="BB164" s="20"/>
      <c r="BC164" s="17"/>
      <c r="BD164" s="20"/>
      <c r="BE164" s="17"/>
      <c r="BF164" s="20"/>
      <c r="BG164" s="20"/>
      <c r="BH164" s="20"/>
      <c r="BI164" s="20"/>
    </row>
    <row r="165" spans="3:61" s="30" customFormat="1" ht="18" x14ac:dyDescent="0.35">
      <c r="C165" s="31"/>
      <c r="D165" s="31"/>
      <c r="E165" s="31"/>
      <c r="F165" s="19"/>
      <c r="G165" s="18"/>
      <c r="H165" s="18"/>
      <c r="I165" s="18"/>
      <c r="J165" s="18"/>
      <c r="K165" s="18"/>
      <c r="L165" s="18"/>
      <c r="M165" s="18"/>
      <c r="N165" s="18"/>
      <c r="P165"/>
      <c r="Q165"/>
      <c r="R165"/>
      <c r="S165"/>
      <c r="T165"/>
      <c r="U165"/>
      <c r="V165"/>
      <c r="X165" s="33"/>
      <c r="Y165" s="20"/>
      <c r="Z165" s="20"/>
      <c r="AA165" s="20"/>
      <c r="AB165" s="20"/>
      <c r="AC165" s="20"/>
      <c r="AD165" s="17"/>
      <c r="AE165" s="17"/>
      <c r="AF165" s="20"/>
      <c r="AG165" s="17"/>
      <c r="AH165" s="20"/>
      <c r="AI165" s="17"/>
      <c r="AJ165" s="20"/>
      <c r="AK165" s="17"/>
      <c r="AL165" s="17"/>
      <c r="AM165" s="20"/>
      <c r="AN165" s="20"/>
      <c r="AO165" s="20"/>
      <c r="AP165" s="20"/>
      <c r="AQ165" s="17"/>
      <c r="AR165" s="17"/>
      <c r="AS165" s="20"/>
      <c r="AT165" s="17"/>
      <c r="AU165" s="17"/>
      <c r="AV165" s="17"/>
      <c r="AW165" s="17"/>
      <c r="AX165" s="17"/>
      <c r="AY165" s="17"/>
      <c r="AZ165" s="17"/>
      <c r="BA165" s="17"/>
      <c r="BB165" s="20"/>
      <c r="BC165" s="17"/>
      <c r="BD165" s="20"/>
      <c r="BE165" s="17"/>
      <c r="BF165" s="20"/>
      <c r="BG165" s="20"/>
      <c r="BH165" s="20"/>
      <c r="BI165" s="20"/>
    </row>
    <row r="166" spans="3:61" s="30" customFormat="1" ht="18" x14ac:dyDescent="0.35">
      <c r="C166" s="31"/>
      <c r="D166" s="31"/>
      <c r="E166" s="31"/>
      <c r="F166" s="19"/>
      <c r="G166" s="18"/>
      <c r="H166" s="18"/>
      <c r="I166" s="18"/>
      <c r="J166" s="18"/>
      <c r="K166" s="18"/>
      <c r="L166" s="18"/>
      <c r="M166" s="18"/>
      <c r="N166" s="18"/>
      <c r="P166"/>
      <c r="Q166"/>
      <c r="R166"/>
      <c r="S166"/>
      <c r="T166"/>
      <c r="U166"/>
      <c r="V166"/>
      <c r="X166" s="33"/>
      <c r="Y166" s="20"/>
      <c r="Z166" s="20"/>
      <c r="AA166" s="20"/>
      <c r="AB166" s="20"/>
      <c r="AC166" s="20"/>
      <c r="AD166" s="17"/>
      <c r="AE166" s="17"/>
      <c r="AF166" s="20"/>
      <c r="AG166" s="17"/>
      <c r="AH166" s="20"/>
      <c r="AI166" s="17"/>
      <c r="AJ166" s="20"/>
      <c r="AK166" s="17"/>
      <c r="AL166" s="17"/>
      <c r="AM166" s="20"/>
      <c r="AN166" s="20"/>
      <c r="AO166" s="20"/>
      <c r="AP166" s="20"/>
      <c r="AQ166" s="17"/>
      <c r="AR166" s="17"/>
      <c r="AS166" s="20"/>
      <c r="AT166" s="17"/>
      <c r="AU166" s="17"/>
      <c r="AV166" s="17"/>
      <c r="AW166" s="17"/>
      <c r="AX166" s="17"/>
      <c r="AY166" s="17"/>
      <c r="AZ166" s="17"/>
      <c r="BA166" s="17"/>
      <c r="BB166" s="20"/>
      <c r="BC166" s="17"/>
      <c r="BD166" s="20"/>
      <c r="BE166" s="17"/>
      <c r="BF166" s="20"/>
      <c r="BG166" s="20"/>
      <c r="BH166" s="20"/>
      <c r="BI166" s="20"/>
    </row>
    <row r="167" spans="3:61" s="30" customFormat="1" ht="18" x14ac:dyDescent="0.35">
      <c r="C167" s="31"/>
      <c r="D167" s="31"/>
      <c r="E167" s="31"/>
      <c r="F167" s="19"/>
      <c r="G167" s="18"/>
      <c r="H167" s="18"/>
      <c r="I167" s="18"/>
      <c r="J167" s="18"/>
      <c r="K167" s="18"/>
      <c r="L167" s="18"/>
      <c r="M167" s="18"/>
      <c r="N167" s="18"/>
      <c r="P167"/>
      <c r="Q167"/>
      <c r="R167"/>
      <c r="S167"/>
      <c r="T167"/>
      <c r="U167"/>
      <c r="V167"/>
      <c r="X167" s="33"/>
      <c r="Y167" s="20"/>
      <c r="Z167" s="20"/>
      <c r="AA167" s="20"/>
      <c r="AB167" s="20"/>
      <c r="AC167" s="20"/>
      <c r="AD167" s="17"/>
      <c r="AE167" s="17"/>
      <c r="AF167" s="20"/>
      <c r="AG167" s="17"/>
      <c r="AH167" s="20"/>
      <c r="AI167" s="17"/>
      <c r="AJ167" s="20"/>
      <c r="AK167" s="17"/>
      <c r="AL167" s="17"/>
      <c r="AM167" s="20"/>
      <c r="AN167" s="20"/>
      <c r="AO167" s="20"/>
      <c r="AP167" s="20"/>
      <c r="AQ167" s="17"/>
      <c r="AR167" s="17"/>
      <c r="AS167" s="20"/>
      <c r="AT167" s="17"/>
      <c r="AU167" s="17"/>
      <c r="AV167" s="17"/>
      <c r="AW167" s="17"/>
      <c r="AX167" s="17"/>
      <c r="AY167" s="17"/>
      <c r="AZ167" s="17"/>
      <c r="BA167" s="17"/>
      <c r="BB167" s="20"/>
      <c r="BC167" s="17"/>
      <c r="BD167" s="20"/>
      <c r="BE167" s="17"/>
      <c r="BF167" s="20"/>
      <c r="BG167" s="20"/>
      <c r="BH167" s="20"/>
      <c r="BI167" s="20"/>
    </row>
    <row r="168" spans="3:61" s="30" customFormat="1" ht="18" x14ac:dyDescent="0.35">
      <c r="C168" s="31"/>
      <c r="D168" s="31"/>
      <c r="E168" s="31"/>
      <c r="F168" s="19"/>
      <c r="G168" s="18"/>
      <c r="H168" s="18"/>
      <c r="I168" s="18"/>
      <c r="J168" s="18"/>
      <c r="K168" s="18"/>
      <c r="L168" s="18"/>
      <c r="M168" s="18"/>
      <c r="N168" s="18"/>
      <c r="P168"/>
      <c r="Q168"/>
      <c r="R168"/>
      <c r="S168"/>
      <c r="T168"/>
      <c r="U168"/>
      <c r="V168"/>
      <c r="X168" s="33"/>
      <c r="Y168" s="20"/>
      <c r="Z168" s="20"/>
      <c r="AA168" s="20"/>
      <c r="AB168" s="20"/>
      <c r="AC168" s="20"/>
      <c r="AD168" s="17"/>
      <c r="AE168" s="17"/>
      <c r="AF168" s="20"/>
      <c r="AG168" s="17"/>
      <c r="AH168" s="20"/>
      <c r="AI168" s="17"/>
      <c r="AJ168" s="20"/>
      <c r="AK168" s="17"/>
      <c r="AL168" s="17"/>
      <c r="AM168" s="20"/>
      <c r="AN168" s="20"/>
      <c r="AO168" s="20"/>
      <c r="AP168" s="20"/>
      <c r="AQ168" s="17"/>
      <c r="AR168" s="17"/>
      <c r="AS168" s="20"/>
      <c r="AT168" s="17"/>
      <c r="AU168" s="17"/>
      <c r="AV168" s="17"/>
      <c r="AW168" s="17"/>
      <c r="AX168" s="17"/>
      <c r="AY168" s="17"/>
      <c r="AZ168" s="17"/>
      <c r="BA168" s="17"/>
      <c r="BB168" s="20"/>
      <c r="BC168" s="17"/>
      <c r="BD168" s="20"/>
      <c r="BE168" s="17"/>
      <c r="BF168" s="20"/>
      <c r="BG168" s="20"/>
      <c r="BH168" s="20"/>
      <c r="BI168" s="20"/>
    </row>
    <row r="169" spans="3:61" s="30" customFormat="1" ht="18" x14ac:dyDescent="0.35">
      <c r="C169" s="31"/>
      <c r="D169" s="31"/>
      <c r="E169" s="31"/>
      <c r="F169" s="19"/>
      <c r="G169" s="18"/>
      <c r="H169" s="18"/>
      <c r="I169" s="18"/>
      <c r="J169" s="18"/>
      <c r="K169" s="18"/>
      <c r="L169" s="18"/>
      <c r="M169" s="18"/>
      <c r="N169" s="18"/>
      <c r="P169"/>
      <c r="Q169"/>
      <c r="R169"/>
      <c r="S169"/>
      <c r="T169"/>
      <c r="U169"/>
      <c r="V169"/>
      <c r="X169" s="33"/>
      <c r="Y169" s="20"/>
      <c r="Z169" s="20"/>
      <c r="AA169" s="20"/>
      <c r="AB169" s="20"/>
      <c r="AC169" s="20"/>
      <c r="AD169" s="17"/>
      <c r="AE169" s="17"/>
      <c r="AF169" s="20"/>
      <c r="AG169" s="17"/>
      <c r="AH169" s="20"/>
      <c r="AI169" s="17"/>
      <c r="AJ169" s="20"/>
      <c r="AK169" s="17"/>
      <c r="AL169" s="17"/>
      <c r="AM169" s="20"/>
      <c r="AN169" s="20"/>
      <c r="AO169" s="20"/>
      <c r="AP169" s="20"/>
      <c r="AQ169" s="17"/>
      <c r="AR169" s="17"/>
      <c r="AS169" s="20"/>
      <c r="AT169" s="17"/>
      <c r="AU169" s="17"/>
      <c r="AV169" s="17"/>
      <c r="AW169" s="17"/>
      <c r="AX169" s="17"/>
      <c r="AY169" s="17"/>
      <c r="AZ169" s="17"/>
      <c r="BA169" s="17"/>
      <c r="BB169" s="20"/>
      <c r="BC169" s="17"/>
      <c r="BD169" s="20"/>
      <c r="BE169" s="17"/>
      <c r="BF169" s="20"/>
      <c r="BG169" s="20"/>
      <c r="BH169" s="20"/>
      <c r="BI169" s="20"/>
    </row>
    <row r="170" spans="3:61" s="30" customFormat="1" ht="18" x14ac:dyDescent="0.35">
      <c r="C170" s="31"/>
      <c r="D170" s="31"/>
      <c r="E170" s="31"/>
      <c r="F170" s="19"/>
      <c r="G170" s="18"/>
      <c r="H170" s="18"/>
      <c r="I170" s="18"/>
      <c r="J170" s="18"/>
      <c r="K170" s="18"/>
      <c r="L170" s="18"/>
      <c r="M170" s="18"/>
      <c r="N170" s="18"/>
      <c r="P170"/>
      <c r="Q170"/>
      <c r="R170"/>
      <c r="S170"/>
      <c r="T170"/>
      <c r="U170"/>
      <c r="V170"/>
      <c r="X170" s="33"/>
      <c r="Y170" s="20"/>
      <c r="Z170" s="20"/>
      <c r="AA170" s="20"/>
      <c r="AB170" s="20"/>
      <c r="AC170" s="20"/>
      <c r="AD170" s="17"/>
      <c r="AE170" s="17"/>
      <c r="AF170" s="20"/>
      <c r="AG170" s="17"/>
      <c r="AH170" s="20"/>
      <c r="AI170" s="17"/>
      <c r="AJ170" s="20"/>
      <c r="AK170" s="17"/>
      <c r="AL170" s="17"/>
      <c r="AM170" s="20"/>
      <c r="AN170" s="20"/>
      <c r="AO170" s="20"/>
      <c r="AP170" s="20"/>
      <c r="AQ170" s="17"/>
      <c r="AR170" s="17"/>
      <c r="AS170" s="20"/>
      <c r="AT170" s="17"/>
      <c r="AU170" s="17"/>
      <c r="AV170" s="17"/>
      <c r="AW170" s="17"/>
      <c r="AX170" s="17"/>
      <c r="AY170" s="17"/>
      <c r="AZ170" s="17"/>
      <c r="BA170" s="17"/>
      <c r="BB170" s="20"/>
      <c r="BC170" s="17"/>
      <c r="BD170" s="20"/>
      <c r="BE170" s="17"/>
      <c r="BF170" s="20"/>
      <c r="BG170" s="20"/>
      <c r="BH170" s="20"/>
      <c r="BI170" s="20"/>
    </row>
    <row r="171" spans="3:61" s="30" customFormat="1" ht="18" x14ac:dyDescent="0.35">
      <c r="C171" s="31"/>
      <c r="D171" s="31"/>
      <c r="E171" s="31"/>
      <c r="F171" s="19"/>
      <c r="G171" s="18"/>
      <c r="H171" s="18"/>
      <c r="I171" s="18"/>
      <c r="J171" s="18"/>
      <c r="K171" s="18"/>
      <c r="L171" s="18"/>
      <c r="M171" s="18"/>
      <c r="N171" s="18"/>
      <c r="P171"/>
      <c r="Q171"/>
      <c r="R171"/>
      <c r="S171"/>
      <c r="T171"/>
      <c r="U171"/>
      <c r="V171"/>
      <c r="X171" s="33"/>
      <c r="Y171" s="20"/>
      <c r="Z171" s="20"/>
      <c r="AA171" s="20"/>
      <c r="AB171" s="20"/>
      <c r="AC171" s="20"/>
      <c r="AD171" s="17"/>
      <c r="AE171" s="17"/>
      <c r="AF171" s="20"/>
      <c r="AG171" s="17"/>
      <c r="AH171" s="20"/>
      <c r="AI171" s="17"/>
      <c r="AJ171" s="20"/>
      <c r="AK171" s="17"/>
      <c r="AL171" s="17"/>
      <c r="AM171" s="20"/>
      <c r="AN171" s="20"/>
      <c r="AO171" s="20"/>
      <c r="AP171" s="20"/>
      <c r="AQ171" s="17"/>
      <c r="AR171" s="17"/>
      <c r="AS171" s="20"/>
      <c r="AT171" s="17"/>
      <c r="AU171" s="17"/>
      <c r="AV171" s="17"/>
      <c r="AW171" s="17"/>
      <c r="AX171" s="17"/>
      <c r="AY171" s="17"/>
      <c r="AZ171" s="17"/>
      <c r="BA171" s="17"/>
      <c r="BB171" s="20"/>
      <c r="BC171" s="17"/>
      <c r="BD171" s="20"/>
      <c r="BE171" s="17"/>
      <c r="BF171" s="20"/>
      <c r="BG171" s="20"/>
      <c r="BH171" s="20"/>
      <c r="BI171" s="20"/>
    </row>
    <row r="172" spans="3:61" s="30" customFormat="1" ht="18" x14ac:dyDescent="0.35">
      <c r="C172" s="31"/>
      <c r="D172" s="31"/>
      <c r="E172" s="31"/>
      <c r="F172" s="19"/>
      <c r="G172" s="18"/>
      <c r="H172" s="18"/>
      <c r="I172" s="18"/>
      <c r="J172" s="18"/>
      <c r="K172" s="18"/>
      <c r="L172" s="18"/>
      <c r="M172" s="18"/>
      <c r="N172" s="18"/>
      <c r="P172"/>
      <c r="Q172"/>
      <c r="R172"/>
      <c r="S172"/>
      <c r="T172"/>
      <c r="U172"/>
      <c r="V172"/>
      <c r="X172" s="33"/>
      <c r="Y172" s="20"/>
      <c r="Z172" s="20"/>
      <c r="AA172" s="20"/>
      <c r="AB172" s="20"/>
      <c r="AC172" s="20"/>
      <c r="AD172" s="17"/>
      <c r="AE172" s="17"/>
      <c r="AF172" s="20"/>
      <c r="AG172" s="17"/>
      <c r="AH172" s="20"/>
      <c r="AI172" s="17"/>
      <c r="AJ172" s="20"/>
      <c r="AK172" s="17"/>
      <c r="AL172" s="17"/>
      <c r="AM172" s="20"/>
      <c r="AN172" s="20"/>
      <c r="AO172" s="20"/>
      <c r="AP172" s="20"/>
      <c r="AQ172" s="17"/>
      <c r="AR172" s="17"/>
      <c r="AS172" s="20"/>
      <c r="AT172" s="17"/>
      <c r="AU172" s="17"/>
      <c r="AV172" s="17"/>
      <c r="AW172" s="17"/>
      <c r="AX172" s="17"/>
      <c r="AY172" s="17"/>
      <c r="AZ172" s="17"/>
      <c r="BA172" s="17"/>
      <c r="BB172" s="20"/>
      <c r="BC172" s="17"/>
      <c r="BD172" s="20"/>
      <c r="BE172" s="17"/>
      <c r="BF172" s="20"/>
      <c r="BG172" s="20"/>
      <c r="BH172" s="20"/>
      <c r="BI172" s="20"/>
    </row>
    <row r="173" spans="3:61" s="30" customFormat="1" ht="18" x14ac:dyDescent="0.35">
      <c r="C173" s="31"/>
      <c r="D173" s="31"/>
      <c r="E173" s="31"/>
      <c r="F173" s="19"/>
      <c r="G173" s="18"/>
      <c r="H173" s="18"/>
      <c r="I173" s="18"/>
      <c r="J173" s="18"/>
      <c r="K173" s="18"/>
      <c r="L173" s="18"/>
      <c r="M173" s="18"/>
      <c r="N173" s="18"/>
      <c r="P173"/>
      <c r="Q173"/>
      <c r="R173"/>
      <c r="S173"/>
      <c r="T173"/>
      <c r="U173"/>
      <c r="V173"/>
      <c r="X173" s="33"/>
      <c r="Y173" s="20"/>
      <c r="Z173" s="20"/>
      <c r="AA173" s="20"/>
      <c r="AB173" s="20"/>
      <c r="AC173" s="20"/>
      <c r="AD173" s="17"/>
      <c r="AE173" s="17"/>
      <c r="AF173" s="20"/>
      <c r="AG173" s="17"/>
      <c r="AH173" s="20"/>
      <c r="AI173" s="17"/>
      <c r="AJ173" s="20"/>
      <c r="AK173" s="17"/>
      <c r="AL173" s="17"/>
      <c r="AM173" s="20"/>
      <c r="AN173" s="20"/>
      <c r="AO173" s="20"/>
      <c r="AP173" s="20"/>
      <c r="AQ173" s="17"/>
      <c r="AR173" s="17"/>
      <c r="AS173" s="20"/>
      <c r="AT173" s="17"/>
      <c r="AU173" s="17"/>
      <c r="AV173" s="17"/>
      <c r="AW173" s="17"/>
      <c r="AX173" s="17"/>
      <c r="AY173" s="17"/>
      <c r="AZ173" s="17"/>
      <c r="BA173" s="17"/>
      <c r="BB173" s="20"/>
      <c r="BC173" s="17"/>
      <c r="BD173" s="20"/>
      <c r="BE173" s="17"/>
      <c r="BF173" s="20"/>
      <c r="BG173" s="20"/>
      <c r="BH173" s="20"/>
      <c r="BI173" s="20"/>
    </row>
    <row r="174" spans="3:61" s="30" customFormat="1" ht="18" x14ac:dyDescent="0.35">
      <c r="C174" s="31"/>
      <c r="D174" s="31"/>
      <c r="E174" s="31"/>
      <c r="F174" s="19"/>
      <c r="G174" s="18"/>
      <c r="H174" s="18"/>
      <c r="I174" s="18"/>
      <c r="J174" s="18"/>
      <c r="K174" s="18"/>
      <c r="L174" s="18"/>
      <c r="M174" s="18"/>
      <c r="N174" s="18"/>
      <c r="P174"/>
      <c r="Q174"/>
      <c r="R174"/>
      <c r="S174"/>
      <c r="T174"/>
      <c r="U174"/>
      <c r="V174"/>
      <c r="X174" s="33"/>
      <c r="Y174" s="20"/>
      <c r="Z174" s="20"/>
      <c r="AA174" s="20"/>
      <c r="AB174" s="20"/>
      <c r="AC174" s="20"/>
      <c r="AD174" s="17"/>
      <c r="AE174" s="17"/>
      <c r="AF174" s="20"/>
      <c r="AG174" s="17"/>
      <c r="AH174" s="20"/>
      <c r="AI174" s="17"/>
      <c r="AJ174" s="20"/>
      <c r="AK174" s="17"/>
      <c r="AL174" s="17"/>
      <c r="AM174" s="20"/>
      <c r="AN174" s="20"/>
      <c r="AO174" s="20"/>
      <c r="AP174" s="20"/>
      <c r="AQ174" s="17"/>
      <c r="AR174" s="17"/>
      <c r="AS174" s="20"/>
      <c r="AT174" s="17"/>
      <c r="AU174" s="17"/>
      <c r="AV174" s="17"/>
      <c r="AW174" s="17"/>
      <c r="AX174" s="17"/>
      <c r="AY174" s="17"/>
      <c r="AZ174" s="17"/>
      <c r="BA174" s="17"/>
      <c r="BB174" s="20"/>
      <c r="BC174" s="17"/>
      <c r="BD174" s="20"/>
      <c r="BE174" s="17"/>
      <c r="BF174" s="20"/>
      <c r="BG174" s="20"/>
      <c r="BH174" s="20"/>
      <c r="BI174" s="20"/>
    </row>
    <row r="175" spans="3:61" s="30" customFormat="1" ht="18" x14ac:dyDescent="0.35">
      <c r="C175" s="31"/>
      <c r="D175" s="31"/>
      <c r="E175" s="31"/>
      <c r="F175" s="19"/>
      <c r="G175" s="18"/>
      <c r="H175" s="18"/>
      <c r="I175" s="18"/>
      <c r="J175" s="18"/>
      <c r="K175" s="18"/>
      <c r="L175" s="18"/>
      <c r="M175" s="18"/>
      <c r="N175" s="18"/>
      <c r="P175"/>
      <c r="Q175"/>
      <c r="R175"/>
      <c r="S175"/>
      <c r="T175"/>
      <c r="U175"/>
      <c r="V175"/>
      <c r="X175" s="33"/>
      <c r="Y175" s="20"/>
      <c r="Z175" s="20"/>
      <c r="AA175" s="20"/>
      <c r="AB175" s="20"/>
      <c r="AC175" s="20"/>
      <c r="AD175" s="17"/>
      <c r="AE175" s="17"/>
      <c r="AF175" s="20"/>
      <c r="AG175" s="17"/>
      <c r="AH175" s="20"/>
      <c r="AI175" s="17"/>
      <c r="AJ175" s="20"/>
      <c r="AK175" s="17"/>
      <c r="AL175" s="17"/>
      <c r="AM175" s="20"/>
      <c r="AN175" s="20"/>
      <c r="AO175" s="20"/>
      <c r="AP175" s="20"/>
      <c r="AQ175" s="17"/>
      <c r="AR175" s="17"/>
      <c r="AS175" s="20"/>
      <c r="AT175" s="17"/>
      <c r="AU175" s="17"/>
      <c r="AV175" s="17"/>
      <c r="AW175" s="17"/>
      <c r="AX175" s="17"/>
      <c r="AY175" s="17"/>
      <c r="AZ175" s="17"/>
      <c r="BA175" s="17"/>
      <c r="BB175" s="20"/>
      <c r="BC175" s="17"/>
      <c r="BD175" s="20"/>
      <c r="BE175" s="17"/>
      <c r="BF175" s="20"/>
      <c r="BG175" s="20"/>
      <c r="BH175" s="20"/>
      <c r="BI175" s="20"/>
    </row>
    <row r="176" spans="3:61" s="30" customFormat="1" ht="18" x14ac:dyDescent="0.35">
      <c r="C176" s="31"/>
      <c r="D176" s="31"/>
      <c r="E176" s="31"/>
      <c r="F176" s="19"/>
      <c r="G176" s="18"/>
      <c r="H176" s="18"/>
      <c r="I176" s="18"/>
      <c r="J176" s="18"/>
      <c r="K176" s="18"/>
      <c r="L176" s="18"/>
      <c r="M176" s="18"/>
      <c r="N176" s="18"/>
      <c r="P176"/>
      <c r="Q176"/>
      <c r="R176"/>
      <c r="S176"/>
      <c r="T176"/>
      <c r="U176"/>
      <c r="V176"/>
      <c r="X176" s="33"/>
      <c r="Y176" s="20"/>
      <c r="Z176" s="20"/>
      <c r="AA176" s="20"/>
      <c r="AB176" s="20"/>
      <c r="AC176" s="20"/>
      <c r="AD176" s="17"/>
      <c r="AE176" s="17"/>
      <c r="AF176" s="20"/>
      <c r="AG176" s="17"/>
      <c r="AH176" s="20"/>
      <c r="AI176" s="17"/>
      <c r="AJ176" s="20"/>
      <c r="AK176" s="17"/>
      <c r="AL176" s="17"/>
      <c r="AM176" s="20"/>
      <c r="AN176" s="20"/>
      <c r="AO176" s="20"/>
      <c r="AP176" s="20"/>
      <c r="AQ176" s="17"/>
      <c r="AR176" s="17"/>
      <c r="AS176" s="20"/>
      <c r="AT176" s="17"/>
      <c r="AU176" s="17"/>
      <c r="AV176" s="17"/>
      <c r="AW176" s="17"/>
      <c r="AX176" s="17"/>
      <c r="AY176" s="17"/>
      <c r="AZ176" s="17"/>
      <c r="BA176" s="17"/>
      <c r="BB176" s="20"/>
      <c r="BC176" s="17"/>
      <c r="BD176" s="20"/>
      <c r="BE176" s="17"/>
      <c r="BF176" s="20"/>
      <c r="BG176" s="20"/>
      <c r="BH176" s="20"/>
      <c r="BI176" s="20"/>
    </row>
    <row r="177" spans="3:61" s="30" customFormat="1" ht="18" x14ac:dyDescent="0.35">
      <c r="C177" s="31"/>
      <c r="D177" s="31"/>
      <c r="E177" s="31"/>
      <c r="F177" s="19"/>
      <c r="G177" s="18"/>
      <c r="H177" s="18"/>
      <c r="I177" s="18"/>
      <c r="J177" s="18"/>
      <c r="K177" s="18"/>
      <c r="L177" s="18"/>
      <c r="M177" s="18"/>
      <c r="N177" s="18"/>
      <c r="P177"/>
      <c r="Q177"/>
      <c r="R177"/>
      <c r="S177"/>
      <c r="T177"/>
      <c r="U177"/>
      <c r="V177"/>
      <c r="X177" s="33"/>
      <c r="Y177" s="20"/>
      <c r="Z177" s="20"/>
      <c r="AA177" s="20"/>
      <c r="AB177" s="20"/>
      <c r="AC177" s="20"/>
      <c r="AD177" s="17"/>
      <c r="AE177" s="17"/>
      <c r="AF177" s="20"/>
      <c r="AG177" s="17"/>
      <c r="AH177" s="20"/>
      <c r="AI177" s="17"/>
      <c r="AJ177" s="20"/>
      <c r="AK177" s="17"/>
      <c r="AL177" s="17"/>
      <c r="AM177" s="20"/>
      <c r="AN177" s="20"/>
      <c r="AO177" s="20"/>
      <c r="AP177" s="20"/>
      <c r="AQ177" s="17"/>
      <c r="AR177" s="17"/>
      <c r="AS177" s="20"/>
      <c r="AT177" s="17"/>
      <c r="AU177" s="17"/>
      <c r="AV177" s="17"/>
      <c r="AW177" s="17"/>
      <c r="AX177" s="17"/>
      <c r="AY177" s="17"/>
      <c r="AZ177" s="17"/>
      <c r="BA177" s="17"/>
      <c r="BB177" s="20"/>
      <c r="BC177" s="17"/>
      <c r="BD177" s="20"/>
      <c r="BE177" s="17"/>
      <c r="BF177" s="20"/>
      <c r="BG177" s="20"/>
      <c r="BH177" s="20"/>
      <c r="BI177" s="20"/>
    </row>
    <row r="178" spans="3:61" s="30" customFormat="1" ht="18" x14ac:dyDescent="0.35">
      <c r="C178" s="31"/>
      <c r="D178" s="31"/>
      <c r="E178" s="31"/>
      <c r="F178" s="19"/>
      <c r="G178" s="18"/>
      <c r="H178" s="18"/>
      <c r="I178" s="18"/>
      <c r="J178" s="18"/>
      <c r="K178" s="18"/>
      <c r="L178" s="18"/>
      <c r="M178" s="18"/>
      <c r="N178" s="18"/>
      <c r="P178"/>
      <c r="Q178"/>
      <c r="R178"/>
      <c r="S178"/>
      <c r="T178"/>
      <c r="U178"/>
      <c r="V178"/>
      <c r="X178" s="33"/>
      <c r="Y178" s="20"/>
      <c r="Z178" s="20"/>
      <c r="AA178" s="20"/>
      <c r="AB178" s="20"/>
      <c r="AC178" s="20"/>
      <c r="AD178" s="17"/>
      <c r="AE178" s="17"/>
      <c r="AF178" s="20"/>
      <c r="AG178" s="17"/>
      <c r="AH178" s="20"/>
      <c r="AI178" s="17"/>
      <c r="AJ178" s="20"/>
      <c r="AK178" s="17"/>
      <c r="AL178" s="17"/>
      <c r="AM178" s="20"/>
      <c r="AN178" s="20"/>
      <c r="AO178" s="20"/>
      <c r="AP178" s="20"/>
      <c r="AQ178" s="17"/>
      <c r="AR178" s="17"/>
      <c r="AS178" s="20"/>
      <c r="AT178" s="17"/>
      <c r="AU178" s="17"/>
      <c r="AV178" s="17"/>
      <c r="AW178" s="17"/>
      <c r="AX178" s="17"/>
      <c r="AY178" s="17"/>
      <c r="AZ178" s="17"/>
      <c r="BA178" s="17"/>
      <c r="BB178" s="20"/>
      <c r="BC178" s="17"/>
      <c r="BD178" s="20"/>
      <c r="BE178" s="17"/>
      <c r="BF178" s="20"/>
      <c r="BG178" s="20"/>
      <c r="BH178" s="20"/>
      <c r="BI178" s="20"/>
    </row>
    <row r="179" spans="3:61" s="30" customFormat="1" ht="18" x14ac:dyDescent="0.35">
      <c r="C179" s="31"/>
      <c r="D179" s="31"/>
      <c r="E179" s="31"/>
      <c r="F179" s="19"/>
      <c r="G179" s="18"/>
      <c r="H179" s="18"/>
      <c r="I179" s="18"/>
      <c r="J179" s="18"/>
      <c r="K179" s="18"/>
      <c r="L179" s="18"/>
      <c r="M179" s="18"/>
      <c r="N179" s="18"/>
      <c r="P179"/>
      <c r="Q179"/>
      <c r="R179"/>
      <c r="S179"/>
      <c r="T179"/>
      <c r="U179"/>
      <c r="V179"/>
      <c r="X179" s="33"/>
      <c r="Y179" s="20"/>
      <c r="Z179" s="20"/>
      <c r="AA179" s="20"/>
      <c r="AB179" s="20"/>
      <c r="AC179" s="20"/>
      <c r="AD179" s="17"/>
      <c r="AE179" s="17"/>
      <c r="AF179" s="20"/>
      <c r="AG179" s="17"/>
      <c r="AH179" s="20"/>
      <c r="AI179" s="17"/>
      <c r="AJ179" s="20"/>
      <c r="AK179" s="17"/>
      <c r="AL179" s="17"/>
      <c r="AM179" s="20"/>
      <c r="AN179" s="20"/>
      <c r="AO179" s="20"/>
      <c r="AP179" s="20"/>
      <c r="AQ179" s="17"/>
      <c r="AR179" s="17"/>
      <c r="AS179" s="20"/>
      <c r="AT179" s="17"/>
      <c r="AU179" s="17"/>
      <c r="AV179" s="17"/>
      <c r="AW179" s="17"/>
      <c r="AX179" s="17"/>
      <c r="AY179" s="17"/>
      <c r="AZ179" s="17"/>
      <c r="BA179" s="17"/>
      <c r="BB179" s="20"/>
      <c r="BC179" s="17"/>
      <c r="BD179" s="20"/>
      <c r="BE179" s="17"/>
      <c r="BF179" s="20"/>
      <c r="BG179" s="20"/>
      <c r="BH179" s="20"/>
      <c r="BI179" s="20"/>
    </row>
    <row r="180" spans="3:61" s="30" customFormat="1" ht="18" x14ac:dyDescent="0.35">
      <c r="C180" s="31"/>
      <c r="D180" s="31"/>
      <c r="E180" s="31"/>
      <c r="F180" s="19"/>
      <c r="G180" s="18"/>
      <c r="H180" s="18"/>
      <c r="I180" s="18"/>
      <c r="J180" s="18"/>
      <c r="K180" s="18"/>
      <c r="L180" s="18"/>
      <c r="M180" s="18"/>
      <c r="N180" s="18"/>
      <c r="P180"/>
      <c r="Q180"/>
      <c r="R180"/>
      <c r="S180"/>
      <c r="T180"/>
      <c r="U180"/>
      <c r="V180"/>
      <c r="X180" s="33"/>
      <c r="Y180" s="20"/>
      <c r="Z180" s="20"/>
      <c r="AA180" s="20"/>
      <c r="AB180" s="20"/>
      <c r="AC180" s="20"/>
      <c r="AD180" s="17"/>
      <c r="AE180" s="17"/>
      <c r="AF180" s="20"/>
      <c r="AG180" s="17"/>
      <c r="AH180" s="20"/>
      <c r="AI180" s="17"/>
      <c r="AJ180" s="20"/>
      <c r="AK180" s="17"/>
      <c r="AL180" s="17"/>
      <c r="AM180" s="20"/>
      <c r="AN180" s="20"/>
      <c r="AO180" s="20"/>
      <c r="AP180" s="20"/>
      <c r="AQ180" s="17"/>
      <c r="AR180" s="17"/>
      <c r="AS180" s="20"/>
      <c r="AT180" s="17"/>
      <c r="AU180" s="17"/>
      <c r="AV180" s="17"/>
      <c r="AW180" s="17"/>
      <c r="AX180" s="17"/>
      <c r="AY180" s="17"/>
      <c r="AZ180" s="17"/>
      <c r="BA180" s="17"/>
      <c r="BB180" s="20"/>
      <c r="BC180" s="17"/>
      <c r="BD180" s="20"/>
      <c r="BE180" s="17"/>
      <c r="BF180" s="20"/>
      <c r="BG180" s="20"/>
      <c r="BH180" s="20"/>
      <c r="BI180" s="20"/>
    </row>
    <row r="181" spans="3:61" s="30" customFormat="1" ht="18" x14ac:dyDescent="0.35">
      <c r="C181" s="31"/>
      <c r="D181" s="31"/>
      <c r="E181" s="31"/>
      <c r="F181" s="19"/>
      <c r="G181" s="18"/>
      <c r="H181" s="18"/>
      <c r="I181" s="18"/>
      <c r="J181" s="18"/>
      <c r="K181" s="18"/>
      <c r="L181" s="18"/>
      <c r="M181" s="18"/>
      <c r="N181" s="18"/>
      <c r="P181"/>
      <c r="Q181"/>
      <c r="R181"/>
      <c r="S181"/>
      <c r="T181"/>
      <c r="U181"/>
      <c r="V181"/>
      <c r="X181" s="33"/>
      <c r="Y181" s="20"/>
      <c r="Z181" s="20"/>
      <c r="AA181" s="20"/>
      <c r="AB181" s="20"/>
      <c r="AC181" s="20"/>
      <c r="AD181" s="17"/>
      <c r="AE181" s="17"/>
      <c r="AF181" s="20"/>
      <c r="AG181" s="17"/>
      <c r="AH181" s="20"/>
      <c r="AI181" s="17"/>
      <c r="AJ181" s="20"/>
      <c r="AK181" s="17"/>
      <c r="AL181" s="17"/>
      <c r="AM181" s="20"/>
      <c r="AN181" s="20"/>
      <c r="AO181" s="20"/>
      <c r="AP181" s="20"/>
      <c r="AQ181" s="17"/>
      <c r="AR181" s="17"/>
      <c r="AS181" s="20"/>
      <c r="AT181" s="17"/>
      <c r="AU181" s="17"/>
      <c r="AV181" s="17"/>
      <c r="AW181" s="17"/>
      <c r="AX181" s="17"/>
      <c r="AY181" s="17"/>
      <c r="AZ181" s="17"/>
      <c r="BA181" s="17"/>
      <c r="BB181" s="20"/>
      <c r="BC181" s="17"/>
      <c r="BD181" s="20"/>
      <c r="BE181" s="17"/>
      <c r="BF181" s="20"/>
      <c r="BG181" s="20"/>
      <c r="BH181" s="20"/>
      <c r="BI181" s="20"/>
    </row>
    <row r="182" spans="3:61" s="30" customFormat="1" ht="18" x14ac:dyDescent="0.35">
      <c r="C182" s="31"/>
      <c r="D182" s="31"/>
      <c r="E182" s="31"/>
      <c r="F182" s="19"/>
      <c r="G182" s="18"/>
      <c r="H182" s="18"/>
      <c r="I182" s="18"/>
      <c r="J182" s="18"/>
      <c r="K182" s="18"/>
      <c r="L182" s="18"/>
      <c r="M182" s="18"/>
      <c r="N182" s="18"/>
      <c r="P182"/>
      <c r="Q182"/>
      <c r="R182"/>
      <c r="S182"/>
      <c r="T182"/>
      <c r="U182"/>
      <c r="V182"/>
      <c r="X182" s="33"/>
      <c r="Y182" s="20"/>
      <c r="Z182" s="20"/>
      <c r="AA182" s="20"/>
      <c r="AB182" s="20"/>
      <c r="AC182" s="20"/>
      <c r="AD182" s="17"/>
      <c r="AE182" s="17"/>
      <c r="AF182" s="20"/>
      <c r="AG182" s="17"/>
      <c r="AH182" s="20"/>
      <c r="AI182" s="17"/>
      <c r="AJ182" s="20"/>
      <c r="AK182" s="17"/>
      <c r="AL182" s="17"/>
      <c r="AM182" s="20"/>
      <c r="AN182" s="20"/>
      <c r="AO182" s="20"/>
      <c r="AP182" s="20"/>
      <c r="AQ182" s="17"/>
      <c r="AR182" s="17"/>
      <c r="AS182" s="20"/>
      <c r="AT182" s="17"/>
      <c r="AU182" s="17"/>
      <c r="AV182" s="17"/>
      <c r="AW182" s="17"/>
      <c r="AX182" s="17"/>
      <c r="AY182" s="17"/>
      <c r="AZ182" s="17"/>
      <c r="BA182" s="17"/>
      <c r="BB182" s="20"/>
      <c r="BC182" s="17"/>
      <c r="BD182" s="20"/>
      <c r="BE182" s="17"/>
      <c r="BF182" s="20"/>
      <c r="BG182" s="20"/>
      <c r="BH182" s="20"/>
      <c r="BI182" s="20"/>
    </row>
    <row r="183" spans="3:61" s="30" customFormat="1" ht="18" x14ac:dyDescent="0.35">
      <c r="C183" s="31"/>
      <c r="D183" s="31"/>
      <c r="E183" s="31"/>
      <c r="F183" s="19"/>
      <c r="G183" s="18"/>
      <c r="H183" s="18"/>
      <c r="I183" s="18"/>
      <c r="J183" s="18"/>
      <c r="K183" s="18"/>
      <c r="L183" s="18"/>
      <c r="M183" s="18"/>
      <c r="N183" s="18"/>
      <c r="P183"/>
      <c r="Q183"/>
      <c r="R183"/>
      <c r="S183"/>
      <c r="T183"/>
      <c r="U183"/>
      <c r="V183"/>
      <c r="X183" s="33"/>
      <c r="Y183" s="20"/>
      <c r="Z183" s="20"/>
      <c r="AA183" s="20"/>
      <c r="AB183" s="20"/>
      <c r="AC183" s="20"/>
      <c r="AD183" s="17"/>
      <c r="AE183" s="17"/>
      <c r="AF183" s="20"/>
      <c r="AG183" s="17"/>
      <c r="AH183" s="20"/>
      <c r="AI183" s="17"/>
      <c r="AJ183" s="20"/>
      <c r="AK183" s="17"/>
      <c r="AL183" s="17"/>
      <c r="AM183" s="20"/>
      <c r="AN183" s="20"/>
      <c r="AO183" s="20"/>
      <c r="AP183" s="20"/>
      <c r="AQ183" s="17"/>
      <c r="AR183" s="17"/>
      <c r="AS183" s="20"/>
      <c r="AT183" s="17"/>
      <c r="AU183" s="17"/>
      <c r="AV183" s="17"/>
      <c r="AW183" s="17"/>
      <c r="AX183" s="17"/>
      <c r="AY183" s="17"/>
      <c r="AZ183" s="17"/>
      <c r="BA183" s="17"/>
      <c r="BB183" s="20"/>
      <c r="BC183" s="17"/>
      <c r="BD183" s="20"/>
      <c r="BE183" s="17"/>
      <c r="BF183" s="20"/>
      <c r="BG183" s="20"/>
      <c r="BH183" s="20"/>
      <c r="BI183" s="20"/>
    </row>
    <row r="184" spans="3:61" s="30" customFormat="1" ht="18" x14ac:dyDescent="0.35">
      <c r="C184" s="31"/>
      <c r="D184" s="31"/>
      <c r="E184" s="31"/>
      <c r="F184" s="19"/>
      <c r="G184" s="18"/>
      <c r="H184" s="18"/>
      <c r="I184" s="18"/>
      <c r="J184" s="18"/>
      <c r="K184" s="18"/>
      <c r="L184" s="18"/>
      <c r="M184" s="18"/>
      <c r="N184" s="18"/>
      <c r="P184"/>
      <c r="Q184"/>
      <c r="R184"/>
      <c r="S184"/>
      <c r="T184"/>
      <c r="U184"/>
      <c r="V184"/>
      <c r="X184" s="33"/>
      <c r="Y184" s="20"/>
      <c r="Z184" s="20"/>
      <c r="AA184" s="20"/>
      <c r="AB184" s="20"/>
      <c r="AC184" s="20"/>
      <c r="AD184" s="17"/>
      <c r="AE184" s="17"/>
      <c r="AF184" s="20"/>
      <c r="AG184" s="17"/>
      <c r="AH184" s="20"/>
      <c r="AI184" s="17"/>
      <c r="AJ184" s="20"/>
      <c r="AK184" s="17"/>
      <c r="AL184" s="17"/>
      <c r="AM184" s="20"/>
      <c r="AN184" s="20"/>
      <c r="AO184" s="20"/>
      <c r="AP184" s="20"/>
      <c r="AQ184" s="17"/>
      <c r="AR184" s="17"/>
      <c r="AS184" s="20"/>
      <c r="AT184" s="17"/>
      <c r="AU184" s="17"/>
      <c r="AV184" s="17"/>
      <c r="AW184" s="17"/>
      <c r="AX184" s="17"/>
      <c r="AY184" s="17"/>
      <c r="AZ184" s="17"/>
      <c r="BA184" s="17"/>
      <c r="BB184" s="20"/>
      <c r="BC184" s="17"/>
      <c r="BD184" s="20"/>
      <c r="BE184" s="17"/>
      <c r="BF184" s="20"/>
      <c r="BG184" s="20"/>
      <c r="BH184" s="20"/>
      <c r="BI184" s="20"/>
    </row>
    <row r="185" spans="3:61" s="30" customFormat="1" ht="18" x14ac:dyDescent="0.35">
      <c r="C185" s="31"/>
      <c r="D185" s="31"/>
      <c r="E185" s="31"/>
      <c r="F185" s="19"/>
      <c r="G185" s="18"/>
      <c r="H185" s="18"/>
      <c r="I185" s="18"/>
      <c r="J185" s="18"/>
      <c r="K185" s="18"/>
      <c r="L185" s="18"/>
      <c r="M185" s="18"/>
      <c r="N185" s="18"/>
      <c r="P185"/>
      <c r="Q185"/>
      <c r="R185"/>
      <c r="S185"/>
      <c r="T185"/>
      <c r="U185"/>
      <c r="V185"/>
      <c r="X185" s="33"/>
      <c r="Y185" s="20"/>
      <c r="Z185" s="20"/>
      <c r="AA185" s="20"/>
      <c r="AB185" s="20"/>
      <c r="AC185" s="20"/>
      <c r="AD185" s="17"/>
      <c r="AE185" s="17"/>
      <c r="AF185" s="20"/>
      <c r="AG185" s="17"/>
      <c r="AH185" s="20"/>
      <c r="AI185" s="17"/>
      <c r="AJ185" s="20"/>
      <c r="AK185" s="17"/>
      <c r="AL185" s="17"/>
      <c r="AM185" s="20"/>
      <c r="AN185" s="20"/>
      <c r="AO185" s="20"/>
      <c r="AP185" s="20"/>
      <c r="AQ185" s="17"/>
      <c r="AR185" s="17"/>
      <c r="AS185" s="20"/>
      <c r="AT185" s="17"/>
      <c r="AU185" s="17"/>
      <c r="AV185" s="17"/>
      <c r="AW185" s="17"/>
      <c r="AX185" s="17"/>
      <c r="AY185" s="17"/>
      <c r="AZ185" s="17"/>
      <c r="BA185" s="17"/>
      <c r="BB185" s="20"/>
      <c r="BC185" s="17"/>
      <c r="BD185" s="20"/>
      <c r="BE185" s="17"/>
      <c r="BF185" s="20"/>
      <c r="BG185" s="20"/>
      <c r="BH185" s="20"/>
      <c r="BI185" s="20"/>
    </row>
    <row r="186" spans="3:61" s="30" customFormat="1" ht="18" x14ac:dyDescent="0.35">
      <c r="C186" s="31"/>
      <c r="D186" s="31"/>
      <c r="E186" s="31"/>
      <c r="F186" s="19"/>
      <c r="G186" s="18"/>
      <c r="H186" s="18"/>
      <c r="I186" s="18"/>
      <c r="J186" s="18"/>
      <c r="K186" s="18"/>
      <c r="L186" s="18"/>
      <c r="M186" s="18"/>
      <c r="N186" s="18"/>
      <c r="P186"/>
      <c r="Q186"/>
      <c r="R186"/>
      <c r="S186"/>
      <c r="T186"/>
      <c r="U186"/>
      <c r="V186"/>
      <c r="X186" s="33"/>
      <c r="Y186" s="20"/>
      <c r="Z186" s="20"/>
      <c r="AA186" s="20"/>
      <c r="AB186" s="20"/>
      <c r="AC186" s="20"/>
      <c r="AD186" s="17"/>
      <c r="AE186" s="17"/>
      <c r="AF186" s="20"/>
      <c r="AG186" s="17"/>
      <c r="AH186" s="20"/>
      <c r="AI186" s="17"/>
      <c r="AJ186" s="20"/>
      <c r="AK186" s="17"/>
      <c r="AL186" s="17"/>
      <c r="AM186" s="20"/>
      <c r="AN186" s="20"/>
      <c r="AO186" s="20"/>
      <c r="AP186" s="20"/>
      <c r="AQ186" s="17"/>
      <c r="AR186" s="17"/>
      <c r="AS186" s="20"/>
      <c r="AT186" s="17"/>
      <c r="AU186" s="17"/>
      <c r="AV186" s="17"/>
      <c r="AW186" s="17"/>
      <c r="AX186" s="17"/>
      <c r="AY186" s="17"/>
      <c r="AZ186" s="17"/>
      <c r="BA186" s="17"/>
      <c r="BB186" s="20"/>
      <c r="BC186" s="17"/>
      <c r="BD186" s="20"/>
      <c r="BE186" s="17"/>
      <c r="BF186" s="20"/>
      <c r="BG186" s="20"/>
      <c r="BH186" s="20"/>
      <c r="BI186" s="20"/>
    </row>
    <row r="187" spans="3:61" s="30" customFormat="1" ht="18" x14ac:dyDescent="0.35">
      <c r="C187" s="31"/>
      <c r="D187" s="31"/>
      <c r="E187" s="31"/>
      <c r="F187" s="19"/>
      <c r="G187" s="18"/>
      <c r="H187" s="18"/>
      <c r="I187" s="18"/>
      <c r="J187" s="18"/>
      <c r="K187" s="18"/>
      <c r="L187" s="18"/>
      <c r="M187" s="18"/>
      <c r="N187" s="18"/>
      <c r="P187"/>
      <c r="Q187"/>
      <c r="R187"/>
      <c r="S187"/>
      <c r="T187"/>
      <c r="U187"/>
      <c r="V187"/>
      <c r="X187" s="33"/>
      <c r="Y187" s="20"/>
      <c r="Z187" s="20"/>
      <c r="AA187" s="20"/>
      <c r="AB187" s="20"/>
      <c r="AC187" s="20"/>
      <c r="AD187" s="17"/>
      <c r="AE187" s="17"/>
      <c r="AF187" s="20"/>
      <c r="AG187" s="17"/>
      <c r="AH187" s="20"/>
      <c r="AI187" s="17"/>
      <c r="AJ187" s="20"/>
      <c r="AK187" s="17"/>
      <c r="AL187" s="17"/>
      <c r="AM187" s="20"/>
      <c r="AN187" s="20"/>
      <c r="AO187" s="20"/>
      <c r="AP187" s="20"/>
      <c r="AQ187" s="17"/>
      <c r="AR187" s="17"/>
      <c r="AS187" s="20"/>
      <c r="AT187" s="17"/>
      <c r="AU187" s="17"/>
      <c r="AV187" s="17"/>
      <c r="AW187" s="17"/>
      <c r="AX187" s="17"/>
      <c r="AY187" s="17"/>
      <c r="AZ187" s="17"/>
      <c r="BA187" s="17"/>
      <c r="BB187" s="20"/>
      <c r="BC187" s="17"/>
      <c r="BD187" s="20"/>
      <c r="BE187" s="17"/>
      <c r="BF187" s="20"/>
      <c r="BG187" s="20"/>
      <c r="BH187" s="20"/>
      <c r="BI187" s="20"/>
    </row>
    <row r="188" spans="3:61" s="30" customFormat="1" ht="18" x14ac:dyDescent="0.35">
      <c r="C188" s="31"/>
      <c r="D188" s="31"/>
      <c r="E188" s="31"/>
      <c r="F188" s="19"/>
      <c r="G188" s="18"/>
      <c r="H188" s="18"/>
      <c r="I188" s="18"/>
      <c r="J188" s="18"/>
      <c r="K188" s="18"/>
      <c r="L188" s="18"/>
      <c r="M188" s="18"/>
      <c r="N188" s="18"/>
      <c r="P188"/>
      <c r="Q188"/>
      <c r="R188"/>
      <c r="S188"/>
      <c r="T188"/>
      <c r="U188"/>
      <c r="V188"/>
      <c r="X188" s="33"/>
      <c r="Y188" s="20"/>
      <c r="Z188" s="20"/>
      <c r="AA188" s="20"/>
      <c r="AB188" s="20"/>
      <c r="AC188" s="20"/>
      <c r="AD188" s="17"/>
      <c r="AE188" s="17"/>
      <c r="AF188" s="20"/>
      <c r="AG188" s="17"/>
      <c r="AH188" s="20"/>
      <c r="AI188" s="17"/>
      <c r="AJ188" s="20"/>
      <c r="AK188" s="17"/>
      <c r="AL188" s="17"/>
      <c r="AM188" s="20"/>
      <c r="AN188" s="20"/>
      <c r="AO188" s="20"/>
      <c r="AP188" s="20"/>
      <c r="AQ188" s="17"/>
      <c r="AR188" s="17"/>
      <c r="AS188" s="20"/>
      <c r="AT188" s="17"/>
      <c r="AU188" s="17"/>
      <c r="AV188" s="17"/>
      <c r="AW188" s="17"/>
      <c r="AX188" s="17"/>
      <c r="AY188" s="17"/>
      <c r="AZ188" s="17"/>
      <c r="BA188" s="17"/>
      <c r="BB188" s="20"/>
      <c r="BC188" s="17"/>
      <c r="BD188" s="20"/>
      <c r="BE188" s="17"/>
      <c r="BF188" s="20"/>
      <c r="BG188" s="20"/>
      <c r="BH188" s="20"/>
      <c r="BI188" s="20"/>
    </row>
    <row r="189" spans="3:61" s="30" customFormat="1" ht="18" x14ac:dyDescent="0.35">
      <c r="C189" s="31"/>
      <c r="D189" s="31"/>
      <c r="E189" s="31"/>
      <c r="F189" s="19"/>
      <c r="G189" s="18"/>
      <c r="H189" s="18"/>
      <c r="I189" s="18"/>
      <c r="J189" s="18"/>
      <c r="K189" s="18"/>
      <c r="L189" s="18"/>
      <c r="M189" s="18"/>
      <c r="N189" s="18"/>
      <c r="P189"/>
      <c r="Q189"/>
      <c r="R189"/>
      <c r="S189"/>
      <c r="T189"/>
      <c r="U189"/>
      <c r="V189"/>
      <c r="X189" s="33"/>
      <c r="Y189" s="20"/>
      <c r="Z189" s="20"/>
      <c r="AA189" s="20"/>
      <c r="AB189" s="20"/>
      <c r="AC189" s="20"/>
      <c r="AD189" s="17"/>
      <c r="AE189" s="17"/>
      <c r="AF189" s="20"/>
      <c r="AG189" s="17"/>
      <c r="AH189" s="20"/>
      <c r="AI189" s="17"/>
      <c r="AJ189" s="20"/>
      <c r="AK189" s="17"/>
      <c r="AL189" s="17"/>
      <c r="AM189" s="20"/>
      <c r="AN189" s="20"/>
      <c r="AO189" s="20"/>
      <c r="AP189" s="20"/>
      <c r="AQ189" s="17"/>
      <c r="AR189" s="17"/>
      <c r="AS189" s="20"/>
      <c r="AT189" s="17"/>
      <c r="AU189" s="17"/>
      <c r="AV189" s="17"/>
      <c r="AW189" s="17"/>
      <c r="AX189" s="17"/>
      <c r="AY189" s="17"/>
      <c r="AZ189" s="17"/>
      <c r="BA189" s="17"/>
      <c r="BB189" s="20"/>
      <c r="BC189" s="17"/>
      <c r="BD189" s="20"/>
      <c r="BE189" s="17"/>
      <c r="BF189" s="20"/>
      <c r="BG189" s="20"/>
      <c r="BH189" s="20"/>
      <c r="BI189" s="20"/>
    </row>
    <row r="190" spans="3:61" s="30" customFormat="1" ht="18" x14ac:dyDescent="0.35">
      <c r="C190" s="31"/>
      <c r="D190" s="31"/>
      <c r="E190" s="31"/>
      <c r="F190" s="19"/>
      <c r="G190" s="18"/>
      <c r="H190" s="18"/>
      <c r="I190" s="18"/>
      <c r="J190" s="18"/>
      <c r="K190" s="18"/>
      <c r="L190" s="18"/>
      <c r="M190" s="18"/>
      <c r="N190" s="18"/>
      <c r="P190"/>
      <c r="Q190"/>
      <c r="R190"/>
      <c r="S190"/>
      <c r="T190"/>
      <c r="U190"/>
      <c r="V190"/>
      <c r="X190" s="33"/>
      <c r="Y190" s="20"/>
      <c r="Z190" s="20"/>
      <c r="AA190" s="20"/>
      <c r="AB190" s="20"/>
      <c r="AC190" s="20"/>
      <c r="AD190" s="17"/>
      <c r="AE190" s="17"/>
      <c r="AF190" s="20"/>
      <c r="AG190" s="17"/>
      <c r="AH190" s="20"/>
      <c r="AI190" s="17"/>
      <c r="AJ190" s="20"/>
      <c r="AK190" s="17"/>
      <c r="AL190" s="17"/>
      <c r="AM190" s="20"/>
      <c r="AN190" s="20"/>
      <c r="AO190" s="20"/>
      <c r="AP190" s="20"/>
      <c r="AQ190" s="17"/>
      <c r="AR190" s="17"/>
      <c r="AS190" s="20"/>
      <c r="AT190" s="17"/>
      <c r="AU190" s="17"/>
      <c r="AV190" s="17"/>
      <c r="AW190" s="17"/>
      <c r="AX190" s="17"/>
      <c r="AY190" s="17"/>
      <c r="AZ190" s="17"/>
      <c r="BA190" s="17"/>
      <c r="BB190" s="20"/>
      <c r="BC190" s="17"/>
      <c r="BD190" s="20"/>
      <c r="BE190" s="17"/>
      <c r="BF190" s="20"/>
      <c r="BG190" s="20"/>
      <c r="BH190" s="20"/>
      <c r="BI190" s="20"/>
    </row>
    <row r="191" spans="3:61" s="30" customFormat="1" ht="18" x14ac:dyDescent="0.35">
      <c r="C191" s="31"/>
      <c r="D191" s="31"/>
      <c r="E191" s="31"/>
      <c r="F191" s="19"/>
      <c r="G191" s="18"/>
      <c r="H191" s="18"/>
      <c r="I191" s="18"/>
      <c r="J191" s="18"/>
      <c r="K191" s="18"/>
      <c r="L191" s="18"/>
      <c r="M191" s="18"/>
      <c r="N191" s="18"/>
      <c r="P191"/>
      <c r="Q191"/>
      <c r="R191"/>
      <c r="S191"/>
      <c r="T191"/>
      <c r="U191"/>
      <c r="V191"/>
      <c r="X191" s="33"/>
      <c r="Y191" s="20"/>
      <c r="Z191" s="20"/>
      <c r="AA191" s="20"/>
      <c r="AB191" s="20"/>
      <c r="AC191" s="20"/>
      <c r="AD191" s="17"/>
      <c r="AE191" s="17"/>
      <c r="AF191" s="20"/>
      <c r="AG191" s="17"/>
      <c r="AH191" s="20"/>
      <c r="AI191" s="17"/>
      <c r="AJ191" s="20"/>
      <c r="AK191" s="17"/>
      <c r="AL191" s="17"/>
      <c r="AM191" s="20"/>
      <c r="AN191" s="20"/>
      <c r="AO191" s="20"/>
      <c r="AP191" s="20"/>
      <c r="AQ191" s="17"/>
      <c r="AR191" s="17"/>
      <c r="AS191" s="20"/>
      <c r="AT191" s="17"/>
      <c r="AU191" s="17"/>
      <c r="AV191" s="17"/>
      <c r="AW191" s="17"/>
      <c r="AX191" s="17"/>
      <c r="AY191" s="17"/>
      <c r="AZ191" s="17"/>
      <c r="BA191" s="17"/>
      <c r="BB191" s="20"/>
      <c r="BC191" s="17"/>
      <c r="BD191" s="20"/>
      <c r="BE191" s="17"/>
      <c r="BF191" s="20"/>
      <c r="BG191" s="20"/>
      <c r="BH191" s="20"/>
      <c r="BI191" s="20"/>
    </row>
    <row r="192" spans="3:61" s="30" customFormat="1" ht="18" x14ac:dyDescent="0.35">
      <c r="C192" s="31"/>
      <c r="D192" s="31"/>
      <c r="E192" s="31"/>
      <c r="F192" s="19"/>
      <c r="G192" s="18"/>
      <c r="H192" s="18"/>
      <c r="I192" s="18"/>
      <c r="J192" s="18"/>
      <c r="K192" s="18"/>
      <c r="L192" s="18"/>
      <c r="M192" s="18"/>
      <c r="N192" s="18"/>
      <c r="P192"/>
      <c r="Q192"/>
      <c r="R192"/>
      <c r="S192"/>
      <c r="T192"/>
      <c r="U192"/>
      <c r="V192"/>
      <c r="X192" s="33"/>
      <c r="Y192" s="20"/>
      <c r="Z192" s="20"/>
      <c r="AA192" s="20"/>
      <c r="AB192" s="20"/>
      <c r="AC192" s="20"/>
      <c r="AD192" s="17"/>
      <c r="AE192" s="17"/>
      <c r="AF192" s="20"/>
      <c r="AG192" s="17"/>
      <c r="AH192" s="20"/>
      <c r="AI192" s="17"/>
      <c r="AJ192" s="20"/>
      <c r="AK192" s="17"/>
      <c r="AL192" s="17"/>
      <c r="AM192" s="20"/>
      <c r="AN192" s="20"/>
      <c r="AO192" s="20"/>
      <c r="AP192" s="20"/>
      <c r="AQ192" s="17"/>
      <c r="AR192" s="17"/>
      <c r="AS192" s="20"/>
      <c r="AT192" s="17"/>
      <c r="AU192" s="17"/>
      <c r="AV192" s="17"/>
      <c r="AW192" s="17"/>
      <c r="AX192" s="17"/>
      <c r="AY192" s="17"/>
      <c r="AZ192" s="17"/>
      <c r="BA192" s="17"/>
      <c r="BB192" s="20"/>
      <c r="BC192" s="17"/>
      <c r="BD192" s="20"/>
      <c r="BE192" s="17"/>
      <c r="BF192" s="20"/>
      <c r="BG192" s="20"/>
      <c r="BH192" s="20"/>
      <c r="BI192" s="20"/>
    </row>
    <row r="193" spans="3:61" s="30" customFormat="1" ht="18" x14ac:dyDescent="0.35">
      <c r="C193" s="31"/>
      <c r="D193" s="31"/>
      <c r="E193" s="31"/>
      <c r="F193" s="19"/>
      <c r="G193" s="18"/>
      <c r="H193" s="18"/>
      <c r="I193" s="18"/>
      <c r="J193" s="18"/>
      <c r="K193" s="18"/>
      <c r="L193" s="18"/>
      <c r="M193" s="18"/>
      <c r="N193" s="18"/>
      <c r="P193"/>
      <c r="Q193"/>
      <c r="R193"/>
      <c r="S193"/>
      <c r="T193"/>
      <c r="U193"/>
      <c r="V193"/>
      <c r="X193" s="33"/>
      <c r="Y193" s="20"/>
      <c r="Z193" s="20"/>
      <c r="AA193" s="20"/>
      <c r="AB193" s="20"/>
      <c r="AC193" s="20"/>
      <c r="AD193" s="17"/>
      <c r="AE193" s="17"/>
      <c r="AF193" s="20"/>
      <c r="AG193" s="17"/>
      <c r="AH193" s="20"/>
      <c r="AI193" s="17"/>
      <c r="AJ193" s="20"/>
      <c r="AK193" s="17"/>
      <c r="AL193" s="17"/>
      <c r="AM193" s="20"/>
      <c r="AN193" s="20"/>
      <c r="AO193" s="20"/>
      <c r="AP193" s="20"/>
      <c r="AQ193" s="17"/>
      <c r="AR193" s="17"/>
      <c r="AS193" s="20"/>
      <c r="AT193" s="17"/>
      <c r="AU193" s="17"/>
      <c r="AV193" s="17"/>
      <c r="AW193" s="17"/>
      <c r="AX193" s="17"/>
      <c r="AY193" s="17"/>
      <c r="AZ193" s="17"/>
      <c r="BA193" s="17"/>
      <c r="BB193" s="20"/>
      <c r="BC193" s="17"/>
      <c r="BD193" s="20"/>
      <c r="BE193" s="17"/>
      <c r="BF193" s="20"/>
      <c r="BG193" s="20"/>
      <c r="BH193" s="20"/>
      <c r="BI193" s="20"/>
    </row>
    <row r="194" spans="3:61" s="30" customFormat="1" ht="18" x14ac:dyDescent="0.35">
      <c r="C194" s="31"/>
      <c r="D194" s="31"/>
      <c r="E194" s="31"/>
      <c r="F194" s="19"/>
      <c r="G194" s="18"/>
      <c r="H194" s="18"/>
      <c r="I194" s="18"/>
      <c r="J194" s="18"/>
      <c r="K194" s="18"/>
      <c r="L194" s="18"/>
      <c r="M194" s="18"/>
      <c r="N194" s="18"/>
      <c r="P194"/>
      <c r="Q194"/>
      <c r="R194"/>
      <c r="S194"/>
      <c r="T194"/>
      <c r="U194"/>
      <c r="V194"/>
      <c r="X194" s="33"/>
      <c r="Y194" s="20"/>
      <c r="Z194" s="20"/>
      <c r="AA194" s="20"/>
      <c r="AB194" s="20"/>
      <c r="AC194" s="20"/>
      <c r="AD194" s="17"/>
      <c r="AE194" s="17"/>
      <c r="AF194" s="20"/>
      <c r="AG194" s="17"/>
      <c r="AH194" s="20"/>
      <c r="AI194" s="17"/>
      <c r="AJ194" s="20"/>
      <c r="AK194" s="17"/>
      <c r="AL194" s="17"/>
      <c r="AM194" s="20"/>
      <c r="AN194" s="20"/>
      <c r="AO194" s="20"/>
      <c r="AP194" s="20"/>
      <c r="AQ194" s="17"/>
      <c r="AR194" s="17"/>
      <c r="AS194" s="20"/>
      <c r="AT194" s="17"/>
      <c r="AU194" s="17"/>
      <c r="AV194" s="17"/>
      <c r="AW194" s="17"/>
      <c r="AX194" s="17"/>
      <c r="AY194" s="17"/>
      <c r="AZ194" s="17"/>
      <c r="BA194" s="17"/>
      <c r="BB194" s="20"/>
      <c r="BC194" s="17"/>
      <c r="BD194" s="20"/>
      <c r="BE194" s="17"/>
      <c r="BF194" s="20"/>
      <c r="BG194" s="20"/>
      <c r="BH194" s="20"/>
      <c r="BI194" s="20"/>
    </row>
    <row r="195" spans="3:61" s="30" customFormat="1" ht="18" x14ac:dyDescent="0.35">
      <c r="C195" s="31"/>
      <c r="D195" s="31"/>
      <c r="E195" s="31"/>
      <c r="F195" s="19"/>
      <c r="G195" s="18"/>
      <c r="H195" s="18"/>
      <c r="I195" s="18"/>
      <c r="J195" s="18"/>
      <c r="K195" s="18"/>
      <c r="L195" s="18"/>
      <c r="M195" s="18"/>
      <c r="N195" s="18"/>
      <c r="P195"/>
      <c r="Q195"/>
      <c r="R195"/>
      <c r="S195"/>
      <c r="T195"/>
      <c r="U195"/>
      <c r="V195"/>
      <c r="X195" s="33"/>
      <c r="Y195" s="20"/>
      <c r="Z195" s="20"/>
      <c r="AA195" s="20"/>
      <c r="AB195" s="20"/>
      <c r="AC195" s="20"/>
      <c r="AD195" s="17"/>
      <c r="AE195" s="17"/>
      <c r="AF195" s="20"/>
      <c r="AG195" s="17"/>
      <c r="AH195" s="20"/>
      <c r="AI195" s="17"/>
      <c r="AJ195" s="20"/>
      <c r="AK195" s="17"/>
      <c r="AL195" s="17"/>
      <c r="AM195" s="20"/>
      <c r="AN195" s="20"/>
      <c r="AO195" s="20"/>
      <c r="AP195" s="20"/>
      <c r="AQ195" s="17"/>
      <c r="AR195" s="17"/>
      <c r="AS195" s="20"/>
      <c r="AT195" s="17"/>
      <c r="AU195" s="17"/>
      <c r="AV195" s="17"/>
      <c r="AW195" s="17"/>
      <c r="AX195" s="17"/>
      <c r="AY195" s="17"/>
      <c r="AZ195" s="17"/>
      <c r="BA195" s="17"/>
      <c r="BB195" s="20"/>
      <c r="BC195" s="17"/>
      <c r="BD195" s="20"/>
      <c r="BE195" s="17"/>
      <c r="BF195" s="20"/>
      <c r="BG195" s="20"/>
      <c r="BH195" s="20"/>
      <c r="BI195" s="20"/>
    </row>
    <row r="196" spans="3:61" s="30" customFormat="1" ht="18" x14ac:dyDescent="0.35">
      <c r="C196" s="31"/>
      <c r="D196" s="31"/>
      <c r="E196" s="31"/>
      <c r="F196" s="19"/>
      <c r="G196" s="18"/>
      <c r="H196" s="18"/>
      <c r="I196" s="18"/>
      <c r="J196" s="18"/>
      <c r="K196" s="18"/>
      <c r="L196" s="18"/>
      <c r="M196" s="18"/>
      <c r="N196" s="18"/>
      <c r="P196"/>
      <c r="Q196"/>
      <c r="R196"/>
      <c r="S196"/>
      <c r="T196"/>
      <c r="U196"/>
      <c r="V196"/>
      <c r="X196" s="33"/>
      <c r="Y196" s="20"/>
      <c r="Z196" s="20"/>
      <c r="AA196" s="20"/>
      <c r="AB196" s="20"/>
      <c r="AC196" s="20"/>
      <c r="AD196" s="17"/>
      <c r="AE196" s="17"/>
      <c r="AF196" s="20"/>
      <c r="AG196" s="17"/>
      <c r="AH196" s="20"/>
      <c r="AI196" s="17"/>
      <c r="AJ196" s="20"/>
      <c r="AK196" s="17"/>
      <c r="AL196" s="17"/>
      <c r="AM196" s="20"/>
      <c r="AN196" s="20"/>
      <c r="AO196" s="20"/>
      <c r="AP196" s="20"/>
      <c r="AQ196" s="17"/>
      <c r="AR196" s="17"/>
      <c r="AS196" s="20"/>
      <c r="AT196" s="17"/>
      <c r="AU196" s="17"/>
      <c r="AV196" s="17"/>
      <c r="AW196" s="17"/>
      <c r="AX196" s="17"/>
      <c r="AY196" s="17"/>
      <c r="AZ196" s="17"/>
      <c r="BA196" s="17"/>
      <c r="BB196" s="20"/>
      <c r="BC196" s="17"/>
      <c r="BD196" s="20"/>
      <c r="BE196" s="17"/>
      <c r="BF196" s="20"/>
      <c r="BG196" s="20"/>
      <c r="BH196" s="20"/>
      <c r="BI196" s="20"/>
    </row>
    <row r="197" spans="3:61" s="30" customFormat="1" ht="18" x14ac:dyDescent="0.35">
      <c r="C197" s="31"/>
      <c r="D197" s="31"/>
      <c r="E197" s="31"/>
      <c r="F197" s="19"/>
      <c r="G197" s="18"/>
      <c r="H197" s="18"/>
      <c r="I197" s="18"/>
      <c r="J197" s="18"/>
      <c r="K197" s="18"/>
      <c r="L197" s="18"/>
      <c r="M197" s="18"/>
      <c r="N197" s="18"/>
      <c r="P197"/>
      <c r="Q197"/>
      <c r="R197"/>
      <c r="S197"/>
      <c r="T197"/>
      <c r="U197"/>
      <c r="V197"/>
      <c r="X197" s="33"/>
      <c r="Y197" s="20"/>
      <c r="Z197" s="20"/>
      <c r="AA197" s="20"/>
      <c r="AB197" s="20"/>
      <c r="AC197" s="20"/>
      <c r="AD197" s="17"/>
      <c r="AE197" s="17"/>
      <c r="AF197" s="20"/>
      <c r="AG197" s="17"/>
      <c r="AH197" s="20"/>
      <c r="AI197" s="17"/>
      <c r="AJ197" s="20"/>
      <c r="AK197" s="17"/>
      <c r="AL197" s="17"/>
      <c r="AM197" s="20"/>
      <c r="AN197" s="20"/>
      <c r="AO197" s="20"/>
      <c r="AP197" s="20"/>
      <c r="AQ197" s="17"/>
      <c r="AR197" s="17"/>
      <c r="AS197" s="20"/>
      <c r="AT197" s="17"/>
      <c r="AU197" s="17"/>
      <c r="AV197" s="17"/>
      <c r="AW197" s="17"/>
      <c r="AX197" s="17"/>
      <c r="AY197" s="17"/>
      <c r="AZ197" s="17"/>
      <c r="BA197" s="17"/>
      <c r="BB197" s="20"/>
      <c r="BC197" s="17"/>
      <c r="BD197" s="20"/>
      <c r="BE197" s="17"/>
      <c r="BF197" s="20"/>
      <c r="BG197" s="20"/>
      <c r="BH197" s="20"/>
      <c r="BI197" s="20"/>
    </row>
    <row r="198" spans="3:61" s="30" customFormat="1" ht="18" x14ac:dyDescent="0.35">
      <c r="C198" s="31"/>
      <c r="D198" s="31"/>
      <c r="E198" s="31"/>
      <c r="F198" s="19"/>
      <c r="G198" s="18"/>
      <c r="H198" s="18"/>
      <c r="I198" s="18"/>
      <c r="J198" s="18"/>
      <c r="K198" s="18"/>
      <c r="L198" s="18"/>
      <c r="M198" s="18"/>
      <c r="N198" s="18"/>
      <c r="P198"/>
      <c r="Q198"/>
      <c r="R198"/>
      <c r="S198"/>
      <c r="T198"/>
      <c r="U198"/>
      <c r="V198"/>
      <c r="X198" s="33"/>
      <c r="Y198" s="20"/>
      <c r="Z198" s="20"/>
      <c r="AA198" s="20"/>
      <c r="AB198" s="20"/>
      <c r="AC198" s="20"/>
      <c r="AD198" s="17"/>
      <c r="AE198" s="17"/>
      <c r="AF198" s="20"/>
      <c r="AG198" s="17"/>
      <c r="AH198" s="20"/>
      <c r="AI198" s="17"/>
      <c r="AJ198" s="20"/>
      <c r="AK198" s="17"/>
      <c r="AL198" s="17"/>
      <c r="AM198" s="20"/>
      <c r="AN198" s="20"/>
      <c r="AO198" s="20"/>
      <c r="AP198" s="20"/>
      <c r="AQ198" s="17"/>
      <c r="AR198" s="17"/>
      <c r="AS198" s="20"/>
      <c r="AT198" s="17"/>
      <c r="AU198" s="17"/>
      <c r="AV198" s="17"/>
      <c r="AW198" s="17"/>
      <c r="AX198" s="17"/>
      <c r="AY198" s="17"/>
      <c r="AZ198" s="17"/>
      <c r="BA198" s="17"/>
      <c r="BB198" s="20"/>
      <c r="BC198" s="17"/>
      <c r="BD198" s="20"/>
      <c r="BE198" s="17"/>
      <c r="BF198" s="20"/>
      <c r="BG198" s="20"/>
      <c r="BH198" s="20"/>
      <c r="BI198" s="20"/>
    </row>
    <row r="199" spans="3:61" s="30" customFormat="1" ht="18" x14ac:dyDescent="0.35">
      <c r="C199" s="31"/>
      <c r="D199" s="31"/>
      <c r="E199" s="31"/>
      <c r="F199" s="19"/>
      <c r="G199" s="18"/>
      <c r="H199" s="18"/>
      <c r="I199" s="18"/>
      <c r="J199" s="18"/>
      <c r="K199" s="18"/>
      <c r="L199" s="18"/>
      <c r="M199" s="18"/>
      <c r="N199" s="18"/>
      <c r="P199"/>
      <c r="Q199"/>
      <c r="R199"/>
      <c r="S199"/>
      <c r="T199"/>
      <c r="U199"/>
      <c r="V199"/>
      <c r="X199" s="33"/>
      <c r="Y199" s="20"/>
      <c r="Z199" s="20"/>
      <c r="AA199" s="20"/>
      <c r="AB199" s="20"/>
      <c r="AC199" s="20"/>
      <c r="AD199" s="17"/>
      <c r="AE199" s="17"/>
      <c r="AF199" s="20"/>
      <c r="AG199" s="17"/>
      <c r="AH199" s="20"/>
      <c r="AI199" s="17"/>
      <c r="AJ199" s="20"/>
      <c r="AK199" s="17"/>
      <c r="AL199" s="17"/>
      <c r="AM199" s="20"/>
      <c r="AN199" s="20"/>
      <c r="AO199" s="20"/>
      <c r="AP199" s="20"/>
      <c r="AQ199" s="17"/>
      <c r="AR199" s="17"/>
      <c r="AS199" s="20"/>
      <c r="AT199" s="17"/>
      <c r="AU199" s="17"/>
      <c r="AV199" s="17"/>
      <c r="AW199" s="17"/>
      <c r="AX199" s="17"/>
      <c r="AY199" s="17"/>
      <c r="AZ199" s="17"/>
      <c r="BA199" s="17"/>
      <c r="BB199" s="20"/>
      <c r="BC199" s="17"/>
      <c r="BD199" s="20"/>
      <c r="BE199" s="17"/>
      <c r="BF199" s="20"/>
      <c r="BG199" s="20"/>
      <c r="BH199" s="20"/>
      <c r="BI199" s="20"/>
    </row>
    <row r="200" spans="3:61" s="30" customFormat="1" ht="18" x14ac:dyDescent="0.35">
      <c r="C200" s="31"/>
      <c r="D200" s="31"/>
      <c r="E200" s="31"/>
      <c r="F200" s="19"/>
      <c r="G200" s="18"/>
      <c r="H200" s="18"/>
      <c r="I200" s="18"/>
      <c r="J200" s="18"/>
      <c r="K200" s="18"/>
      <c r="L200" s="18"/>
      <c r="M200" s="18"/>
      <c r="N200" s="18"/>
      <c r="P200"/>
      <c r="Q200"/>
      <c r="R200"/>
      <c r="S200"/>
      <c r="T200"/>
      <c r="U200"/>
      <c r="V200"/>
      <c r="X200" s="33"/>
      <c r="Y200" s="20"/>
      <c r="Z200" s="20"/>
      <c r="AA200" s="20"/>
      <c r="AB200" s="20"/>
      <c r="AC200" s="20"/>
      <c r="AD200" s="17"/>
      <c r="AE200" s="17"/>
      <c r="AF200" s="20"/>
      <c r="AG200" s="17"/>
      <c r="AH200" s="20"/>
      <c r="AI200" s="17"/>
      <c r="AJ200" s="20"/>
      <c r="AK200" s="17"/>
      <c r="AL200" s="17"/>
      <c r="AM200" s="20"/>
      <c r="AN200" s="20"/>
      <c r="AO200" s="20"/>
      <c r="AP200" s="20"/>
      <c r="AQ200" s="17"/>
      <c r="AR200" s="17"/>
      <c r="AS200" s="20"/>
      <c r="AT200" s="17"/>
      <c r="AU200" s="17"/>
      <c r="AV200" s="17"/>
      <c r="AW200" s="17"/>
      <c r="AX200" s="17"/>
      <c r="AY200" s="17"/>
      <c r="AZ200" s="17"/>
      <c r="BA200" s="17"/>
      <c r="BB200" s="20"/>
      <c r="BC200" s="17"/>
      <c r="BD200" s="20"/>
      <c r="BE200" s="17"/>
      <c r="BF200" s="20"/>
      <c r="BG200" s="20"/>
      <c r="BH200" s="20"/>
      <c r="BI200" s="20"/>
    </row>
    <row r="201" spans="3:61" s="30" customFormat="1" ht="18" x14ac:dyDescent="0.35">
      <c r="C201" s="31"/>
      <c r="D201" s="31"/>
      <c r="E201" s="31"/>
      <c r="F201" s="19"/>
      <c r="G201" s="18"/>
      <c r="H201" s="18"/>
      <c r="I201" s="18"/>
      <c r="J201" s="18"/>
      <c r="K201" s="18"/>
      <c r="L201" s="18"/>
      <c r="M201" s="18"/>
      <c r="N201" s="18"/>
      <c r="P201"/>
      <c r="Q201"/>
      <c r="R201"/>
      <c r="S201"/>
      <c r="T201"/>
      <c r="U201"/>
      <c r="V201"/>
      <c r="X201" s="33"/>
      <c r="Y201" s="20"/>
      <c r="Z201" s="20"/>
      <c r="AA201" s="20"/>
      <c r="AB201" s="20"/>
      <c r="AC201" s="20"/>
      <c r="AD201" s="17"/>
      <c r="AE201" s="17"/>
      <c r="AF201" s="20"/>
      <c r="AG201" s="17"/>
      <c r="AH201" s="20"/>
      <c r="AI201" s="17"/>
      <c r="AJ201" s="20"/>
      <c r="AK201" s="17"/>
      <c r="AL201" s="17"/>
      <c r="AM201" s="20"/>
      <c r="AN201" s="20"/>
      <c r="AO201" s="20"/>
      <c r="AP201" s="20"/>
      <c r="AQ201" s="17"/>
      <c r="AR201" s="17"/>
      <c r="AS201" s="20"/>
      <c r="AT201" s="17"/>
      <c r="AU201" s="17"/>
      <c r="AV201" s="17"/>
      <c r="AW201" s="17"/>
      <c r="AX201" s="17"/>
      <c r="AY201" s="17"/>
      <c r="AZ201" s="17"/>
      <c r="BA201" s="17"/>
      <c r="BB201" s="20"/>
      <c r="BC201" s="17"/>
      <c r="BD201" s="20"/>
      <c r="BE201" s="17"/>
      <c r="BF201" s="20"/>
      <c r="BG201" s="20"/>
      <c r="BH201" s="20"/>
      <c r="BI201" s="20"/>
    </row>
    <row r="202" spans="3:61" s="30" customFormat="1" ht="18" x14ac:dyDescent="0.35">
      <c r="C202" s="31"/>
      <c r="D202" s="31"/>
      <c r="E202" s="31"/>
      <c r="F202" s="19"/>
      <c r="G202" s="18"/>
      <c r="H202" s="18"/>
      <c r="I202" s="18"/>
      <c r="J202" s="18"/>
      <c r="K202" s="18"/>
      <c r="L202" s="18"/>
      <c r="M202" s="18"/>
      <c r="N202" s="18"/>
      <c r="P202"/>
      <c r="Q202"/>
      <c r="R202"/>
      <c r="S202"/>
      <c r="T202"/>
      <c r="U202"/>
      <c r="V202"/>
      <c r="X202" s="33"/>
      <c r="Y202" s="20"/>
      <c r="Z202" s="20"/>
      <c r="AA202" s="20"/>
      <c r="AB202" s="20"/>
      <c r="AC202" s="20"/>
      <c r="AD202" s="17"/>
      <c r="AE202" s="17"/>
      <c r="AF202" s="20"/>
      <c r="AG202" s="17"/>
      <c r="AH202" s="20"/>
      <c r="AI202" s="17"/>
      <c r="AJ202" s="20"/>
      <c r="AK202" s="17"/>
      <c r="AL202" s="17"/>
      <c r="AM202" s="20"/>
      <c r="AN202" s="20"/>
      <c r="AO202" s="20"/>
      <c r="AP202" s="20"/>
      <c r="AQ202" s="17"/>
      <c r="AR202" s="17"/>
      <c r="AS202" s="20"/>
      <c r="AT202" s="17"/>
      <c r="AU202" s="17"/>
      <c r="AV202" s="17"/>
      <c r="AW202" s="17"/>
      <c r="AX202" s="17"/>
      <c r="AY202" s="17"/>
      <c r="AZ202" s="17"/>
      <c r="BA202" s="17"/>
      <c r="BB202" s="20"/>
      <c r="BC202" s="17"/>
      <c r="BD202" s="20"/>
      <c r="BE202" s="17"/>
      <c r="BF202" s="20"/>
      <c r="BG202" s="20"/>
      <c r="BH202" s="20"/>
      <c r="BI202" s="20"/>
    </row>
    <row r="203" spans="3:61" s="30" customFormat="1" ht="18" x14ac:dyDescent="0.35">
      <c r="C203" s="31"/>
      <c r="D203" s="31"/>
      <c r="E203" s="31"/>
      <c r="F203" s="19"/>
      <c r="G203" s="18"/>
      <c r="H203" s="18"/>
      <c r="I203" s="18"/>
      <c r="J203" s="18"/>
      <c r="K203" s="18"/>
      <c r="L203" s="18"/>
      <c r="M203" s="18"/>
      <c r="N203" s="18"/>
      <c r="P203"/>
      <c r="Q203"/>
      <c r="R203"/>
      <c r="S203"/>
      <c r="T203"/>
      <c r="U203"/>
      <c r="V203"/>
      <c r="X203" s="33"/>
      <c r="Y203" s="20"/>
      <c r="Z203" s="20"/>
      <c r="AA203" s="20"/>
      <c r="AB203" s="20"/>
      <c r="AC203" s="20"/>
      <c r="AD203" s="17"/>
      <c r="AE203" s="17"/>
      <c r="AF203" s="20"/>
      <c r="AG203" s="17"/>
      <c r="AH203" s="20"/>
      <c r="AI203" s="17"/>
      <c r="AJ203" s="20"/>
      <c r="AK203" s="17"/>
      <c r="AL203" s="17"/>
      <c r="AM203" s="20"/>
      <c r="AN203" s="20"/>
      <c r="AO203" s="20"/>
      <c r="AP203" s="20"/>
      <c r="AQ203" s="17"/>
      <c r="AR203" s="17"/>
      <c r="AS203" s="20"/>
      <c r="AT203" s="17"/>
      <c r="AU203" s="17"/>
      <c r="AV203" s="17"/>
      <c r="AW203" s="17"/>
      <c r="AX203" s="17"/>
      <c r="AY203" s="17"/>
      <c r="AZ203" s="17"/>
      <c r="BA203" s="17"/>
      <c r="BB203" s="20"/>
      <c r="BC203" s="17"/>
      <c r="BD203" s="20"/>
      <c r="BE203" s="17"/>
      <c r="BF203" s="20"/>
      <c r="BG203" s="20"/>
      <c r="BH203" s="20"/>
      <c r="BI203" s="20"/>
    </row>
    <row r="204" spans="3:61" s="30" customFormat="1" ht="18" x14ac:dyDescent="0.35">
      <c r="C204" s="31"/>
      <c r="D204" s="31"/>
      <c r="E204" s="31"/>
      <c r="F204" s="19"/>
      <c r="G204" s="18"/>
      <c r="H204" s="18"/>
      <c r="I204" s="18"/>
      <c r="J204" s="18"/>
      <c r="K204" s="18"/>
      <c r="L204" s="18"/>
      <c r="M204" s="18"/>
      <c r="N204" s="18"/>
      <c r="P204"/>
      <c r="Q204"/>
      <c r="R204"/>
      <c r="S204"/>
      <c r="T204"/>
      <c r="U204"/>
      <c r="V204"/>
      <c r="X204" s="33"/>
      <c r="Y204" s="20"/>
      <c r="Z204" s="20"/>
      <c r="AA204" s="20"/>
      <c r="AB204" s="20"/>
      <c r="AC204" s="20"/>
      <c r="AD204" s="17"/>
      <c r="AE204" s="17"/>
      <c r="AF204" s="20"/>
      <c r="AG204" s="17"/>
      <c r="AH204" s="20"/>
      <c r="AI204" s="17"/>
      <c r="AJ204" s="20"/>
      <c r="AK204" s="17"/>
      <c r="AL204" s="17"/>
      <c r="AM204" s="20"/>
      <c r="AN204" s="20"/>
      <c r="AO204" s="20"/>
      <c r="AP204" s="20"/>
      <c r="AQ204" s="17"/>
      <c r="AR204" s="17"/>
      <c r="AS204" s="20"/>
      <c r="AT204" s="17"/>
      <c r="AU204" s="17"/>
      <c r="AV204" s="17"/>
      <c r="AW204" s="17"/>
      <c r="AX204" s="17"/>
      <c r="AY204" s="17"/>
      <c r="AZ204" s="17"/>
      <c r="BA204" s="17"/>
      <c r="BB204" s="20"/>
      <c r="BC204" s="17"/>
      <c r="BD204" s="20"/>
      <c r="BE204" s="17"/>
      <c r="BF204" s="20"/>
      <c r="BG204" s="20"/>
      <c r="BH204" s="20"/>
      <c r="BI204" s="20"/>
    </row>
    <row r="205" spans="3:61" s="30" customFormat="1" ht="18" x14ac:dyDescent="0.35">
      <c r="C205" s="31"/>
      <c r="D205" s="31"/>
      <c r="E205" s="31"/>
      <c r="F205" s="19"/>
      <c r="G205" s="18"/>
      <c r="H205" s="18"/>
      <c r="I205" s="18"/>
      <c r="J205" s="18"/>
      <c r="K205" s="18"/>
      <c r="L205" s="18"/>
      <c r="M205" s="18"/>
      <c r="N205" s="18"/>
      <c r="P205"/>
      <c r="Q205"/>
      <c r="R205"/>
      <c r="S205"/>
      <c r="T205"/>
      <c r="U205"/>
      <c r="V205"/>
      <c r="X205" s="33"/>
      <c r="Y205" s="20"/>
      <c r="Z205" s="20"/>
      <c r="AA205" s="20"/>
      <c r="AB205" s="20"/>
      <c r="AC205" s="20"/>
      <c r="AD205" s="17"/>
      <c r="AE205" s="17"/>
      <c r="AF205" s="20"/>
      <c r="AG205" s="17"/>
      <c r="AH205" s="20"/>
      <c r="AI205" s="17"/>
      <c r="AJ205" s="20"/>
      <c r="AK205" s="17"/>
      <c r="AL205" s="17"/>
      <c r="AM205" s="20"/>
      <c r="AN205" s="20"/>
      <c r="AO205" s="20"/>
      <c r="AP205" s="20"/>
      <c r="AQ205" s="17"/>
      <c r="AR205" s="17"/>
      <c r="AS205" s="20"/>
      <c r="AT205" s="17"/>
      <c r="AU205" s="17"/>
      <c r="AV205" s="17"/>
      <c r="AW205" s="17"/>
      <c r="AX205" s="17"/>
      <c r="AY205" s="17"/>
      <c r="AZ205" s="17"/>
      <c r="BA205" s="17"/>
      <c r="BB205" s="20"/>
      <c r="BC205" s="17"/>
      <c r="BD205" s="20"/>
      <c r="BE205" s="17"/>
      <c r="BF205" s="20"/>
      <c r="BG205" s="20"/>
      <c r="BH205" s="20"/>
      <c r="BI205" s="20"/>
    </row>
    <row r="206" spans="3:61" s="30" customFormat="1" ht="18" x14ac:dyDescent="0.35">
      <c r="C206" s="31"/>
      <c r="D206" s="31"/>
      <c r="E206" s="31"/>
      <c r="F206" s="19"/>
      <c r="G206" s="18"/>
      <c r="H206" s="18"/>
      <c r="I206" s="18"/>
      <c r="J206" s="18"/>
      <c r="K206" s="18"/>
      <c r="L206" s="18"/>
      <c r="M206" s="18"/>
      <c r="N206" s="18"/>
      <c r="P206"/>
      <c r="Q206"/>
      <c r="R206"/>
      <c r="S206"/>
      <c r="T206"/>
      <c r="U206"/>
      <c r="V206"/>
      <c r="X206" s="33"/>
      <c r="Y206" s="20"/>
      <c r="Z206" s="20"/>
      <c r="AA206" s="20"/>
      <c r="AB206" s="20"/>
      <c r="AC206" s="20"/>
      <c r="AD206" s="17"/>
      <c r="AE206" s="17"/>
      <c r="AF206" s="20"/>
      <c r="AG206" s="17"/>
      <c r="AH206" s="20"/>
      <c r="AI206" s="17"/>
      <c r="AJ206" s="20"/>
      <c r="AK206" s="17"/>
      <c r="AL206" s="17"/>
      <c r="AM206" s="20"/>
      <c r="AN206" s="20"/>
      <c r="AO206" s="20"/>
      <c r="AP206" s="20"/>
      <c r="AQ206" s="17"/>
      <c r="AR206" s="17"/>
      <c r="AS206" s="20"/>
      <c r="AT206" s="17"/>
      <c r="AU206" s="17"/>
      <c r="AV206" s="17"/>
      <c r="AW206" s="17"/>
      <c r="AX206" s="17"/>
      <c r="AY206" s="17"/>
      <c r="AZ206" s="17"/>
      <c r="BA206" s="17"/>
      <c r="BB206" s="20"/>
      <c r="BC206" s="17"/>
      <c r="BD206" s="20"/>
      <c r="BE206" s="17"/>
      <c r="BF206" s="20"/>
      <c r="BG206" s="20"/>
      <c r="BH206" s="20"/>
      <c r="BI206" s="20"/>
    </row>
    <row r="207" spans="3:61" s="30" customFormat="1" ht="18" x14ac:dyDescent="0.35">
      <c r="C207" s="31"/>
      <c r="D207" s="31"/>
      <c r="E207" s="31"/>
      <c r="F207" s="19"/>
      <c r="G207" s="18"/>
      <c r="H207" s="18"/>
      <c r="I207" s="18"/>
      <c r="J207" s="18"/>
      <c r="K207" s="18"/>
      <c r="L207" s="18"/>
      <c r="M207" s="18"/>
      <c r="N207" s="18"/>
      <c r="P207"/>
      <c r="Q207"/>
      <c r="R207"/>
      <c r="S207"/>
      <c r="T207"/>
      <c r="U207"/>
      <c r="V207"/>
      <c r="X207" s="33"/>
      <c r="Y207" s="20"/>
      <c r="Z207" s="20"/>
      <c r="AA207" s="20"/>
      <c r="AB207" s="20"/>
      <c r="AC207" s="20"/>
      <c r="AD207" s="17"/>
      <c r="AE207" s="17"/>
      <c r="AF207" s="20"/>
      <c r="AG207" s="17"/>
      <c r="AH207" s="20"/>
      <c r="AI207" s="17"/>
      <c r="AJ207" s="20"/>
      <c r="AK207" s="17"/>
      <c r="AL207" s="17"/>
      <c r="AM207" s="20"/>
      <c r="AN207" s="20"/>
      <c r="AO207" s="20"/>
      <c r="AP207" s="20"/>
      <c r="AQ207" s="17"/>
      <c r="AR207" s="17"/>
      <c r="AS207" s="20"/>
      <c r="AT207" s="17"/>
      <c r="AU207" s="17"/>
      <c r="AV207" s="17"/>
      <c r="AW207" s="17"/>
      <c r="AX207" s="17"/>
      <c r="AY207" s="17"/>
      <c r="AZ207" s="17"/>
      <c r="BA207" s="17"/>
      <c r="BB207" s="20"/>
      <c r="BC207" s="17"/>
      <c r="BD207" s="20"/>
      <c r="BE207" s="17"/>
      <c r="BF207" s="20"/>
      <c r="BG207" s="20"/>
      <c r="BH207" s="20"/>
      <c r="BI207" s="20"/>
    </row>
    <row r="208" spans="3:61" s="30" customFormat="1" ht="18" x14ac:dyDescent="0.35">
      <c r="C208" s="31"/>
      <c r="D208" s="31"/>
      <c r="E208" s="31"/>
      <c r="F208" s="19"/>
      <c r="G208" s="18"/>
      <c r="H208" s="18"/>
      <c r="I208" s="18"/>
      <c r="J208" s="18"/>
      <c r="K208" s="18"/>
      <c r="L208" s="18"/>
      <c r="M208" s="18"/>
      <c r="N208" s="18"/>
      <c r="P208"/>
      <c r="Q208"/>
      <c r="R208"/>
      <c r="S208"/>
      <c r="T208"/>
      <c r="U208"/>
      <c r="V208"/>
      <c r="X208" s="33"/>
      <c r="Y208" s="20"/>
      <c r="Z208" s="20"/>
      <c r="AA208" s="20"/>
      <c r="AB208" s="20"/>
      <c r="AC208" s="20"/>
      <c r="AD208" s="17"/>
      <c r="AE208" s="17"/>
      <c r="AF208" s="20"/>
      <c r="AG208" s="17"/>
      <c r="AH208" s="20"/>
      <c r="AI208" s="17"/>
      <c r="AJ208" s="20"/>
      <c r="AK208" s="17"/>
      <c r="AL208" s="17"/>
      <c r="AM208" s="20"/>
      <c r="AN208" s="20"/>
      <c r="AO208" s="20"/>
      <c r="AP208" s="20"/>
      <c r="AQ208" s="17"/>
      <c r="AR208" s="17"/>
      <c r="AS208" s="20"/>
      <c r="AT208" s="17"/>
      <c r="AU208" s="17"/>
      <c r="AV208" s="17"/>
      <c r="AW208" s="17"/>
      <c r="AX208" s="17"/>
      <c r="AY208" s="17"/>
      <c r="AZ208" s="17"/>
      <c r="BA208" s="17"/>
      <c r="BB208" s="20"/>
      <c r="BC208" s="17"/>
      <c r="BD208" s="20"/>
      <c r="BE208" s="17"/>
      <c r="BF208" s="20"/>
      <c r="BG208" s="20"/>
      <c r="BH208" s="20"/>
      <c r="BI208" s="20"/>
    </row>
    <row r="209" spans="3:61" s="30" customFormat="1" ht="18" x14ac:dyDescent="0.35">
      <c r="C209" s="31"/>
      <c r="D209" s="31"/>
      <c r="E209" s="31"/>
      <c r="F209" s="19"/>
      <c r="G209" s="18"/>
      <c r="H209" s="18"/>
      <c r="I209" s="18"/>
      <c r="J209" s="18"/>
      <c r="K209" s="18"/>
      <c r="L209" s="18"/>
      <c r="M209" s="18"/>
      <c r="N209" s="18"/>
      <c r="P209"/>
      <c r="Q209"/>
      <c r="R209"/>
      <c r="S209"/>
      <c r="T209"/>
      <c r="U209"/>
      <c r="V209"/>
      <c r="X209" s="33"/>
      <c r="Y209" s="20"/>
      <c r="Z209" s="20"/>
      <c r="AA209" s="20"/>
      <c r="AB209" s="20"/>
      <c r="AC209" s="20"/>
      <c r="AD209" s="17"/>
      <c r="AE209" s="17"/>
      <c r="AF209" s="20"/>
      <c r="AG209" s="17"/>
      <c r="AH209" s="20"/>
      <c r="AI209" s="17"/>
      <c r="AJ209" s="20"/>
      <c r="AK209" s="17"/>
      <c r="AL209" s="17"/>
      <c r="AM209" s="20"/>
      <c r="AN209" s="20"/>
      <c r="AO209" s="20"/>
      <c r="AP209" s="20"/>
      <c r="AQ209" s="17"/>
      <c r="AR209" s="17"/>
      <c r="AS209" s="20"/>
      <c r="AT209" s="17"/>
      <c r="AU209" s="17"/>
      <c r="AV209" s="17"/>
      <c r="AW209" s="17"/>
      <c r="AX209" s="17"/>
      <c r="AY209" s="17"/>
      <c r="AZ209" s="17"/>
      <c r="BA209" s="17"/>
      <c r="BB209" s="20"/>
      <c r="BC209" s="17"/>
      <c r="BD209" s="20"/>
      <c r="BE209" s="17"/>
      <c r="BF209" s="20"/>
      <c r="BG209" s="20"/>
      <c r="BH209" s="20"/>
      <c r="BI209" s="20"/>
    </row>
    <row r="210" spans="3:61" s="30" customFormat="1" ht="18" x14ac:dyDescent="0.35">
      <c r="C210" s="31"/>
      <c r="D210" s="31"/>
      <c r="E210" s="31"/>
      <c r="F210" s="19"/>
      <c r="G210" s="18"/>
      <c r="H210" s="18"/>
      <c r="I210" s="18"/>
      <c r="J210" s="18"/>
      <c r="K210" s="18"/>
      <c r="L210" s="18"/>
      <c r="M210" s="18"/>
      <c r="N210" s="18"/>
      <c r="P210"/>
      <c r="Q210"/>
      <c r="R210"/>
      <c r="S210"/>
      <c r="T210"/>
      <c r="U210"/>
      <c r="V210"/>
      <c r="X210" s="33"/>
      <c r="Y210" s="20"/>
      <c r="Z210" s="20"/>
      <c r="AA210" s="20"/>
      <c r="AB210" s="20"/>
      <c r="AC210" s="20"/>
      <c r="AD210" s="17"/>
      <c r="AE210" s="17"/>
      <c r="AF210" s="20"/>
      <c r="AG210" s="17"/>
      <c r="AH210" s="20"/>
      <c r="AI210" s="17"/>
      <c r="AJ210" s="20"/>
      <c r="AK210" s="17"/>
      <c r="AL210" s="17"/>
      <c r="AM210" s="20"/>
      <c r="AN210" s="20"/>
      <c r="AO210" s="20"/>
      <c r="AP210" s="20"/>
      <c r="AQ210" s="17"/>
      <c r="AR210" s="17"/>
      <c r="AS210" s="20"/>
      <c r="AT210" s="17"/>
      <c r="AU210" s="17"/>
      <c r="AV210" s="17"/>
      <c r="AW210" s="17"/>
      <c r="AX210" s="17"/>
      <c r="AY210" s="17"/>
      <c r="AZ210" s="17"/>
      <c r="BA210" s="17"/>
      <c r="BB210" s="20"/>
      <c r="BC210" s="17"/>
      <c r="BD210" s="20"/>
      <c r="BE210" s="17"/>
      <c r="BF210" s="20"/>
      <c r="BG210" s="20"/>
      <c r="BH210" s="20"/>
      <c r="BI210" s="20"/>
    </row>
    <row r="211" spans="3:61" s="30" customFormat="1" ht="18" x14ac:dyDescent="0.35">
      <c r="C211" s="31"/>
      <c r="D211" s="31"/>
      <c r="E211" s="31"/>
      <c r="F211" s="19"/>
      <c r="G211" s="18"/>
      <c r="H211" s="18"/>
      <c r="I211" s="18"/>
      <c r="J211" s="18"/>
      <c r="K211" s="18"/>
      <c r="L211" s="18"/>
      <c r="M211" s="18"/>
      <c r="N211" s="18"/>
      <c r="P211"/>
      <c r="Q211"/>
      <c r="R211"/>
      <c r="S211"/>
      <c r="T211"/>
      <c r="U211"/>
      <c r="V211"/>
      <c r="X211" s="33"/>
      <c r="Y211" s="20"/>
      <c r="Z211" s="20"/>
      <c r="AA211" s="20"/>
      <c r="AB211" s="20"/>
      <c r="AC211" s="20"/>
      <c r="AD211" s="17"/>
      <c r="AE211" s="17"/>
      <c r="AF211" s="20"/>
      <c r="AG211" s="17"/>
      <c r="AH211" s="20"/>
      <c r="AI211" s="17"/>
      <c r="AJ211" s="20"/>
      <c r="AK211" s="17"/>
      <c r="AL211" s="17"/>
      <c r="AM211" s="20"/>
      <c r="AN211" s="20"/>
      <c r="AO211" s="20"/>
      <c r="AP211" s="20"/>
      <c r="AQ211" s="17"/>
      <c r="AR211" s="17"/>
      <c r="AS211" s="20"/>
      <c r="AT211" s="17"/>
      <c r="AU211" s="17"/>
      <c r="AV211" s="17"/>
      <c r="AW211" s="17"/>
      <c r="AX211" s="17"/>
      <c r="AY211" s="17"/>
      <c r="AZ211" s="17"/>
      <c r="BA211" s="17"/>
      <c r="BB211" s="20"/>
      <c r="BC211" s="17"/>
      <c r="BD211" s="20"/>
      <c r="BE211" s="17"/>
      <c r="BF211" s="20"/>
      <c r="BG211" s="20"/>
      <c r="BH211" s="20"/>
      <c r="BI211" s="20"/>
    </row>
    <row r="212" spans="3:61" s="30" customFormat="1" ht="18" x14ac:dyDescent="0.35">
      <c r="C212" s="31"/>
      <c r="D212" s="31"/>
      <c r="E212" s="31"/>
      <c r="F212" s="19"/>
      <c r="G212" s="18"/>
      <c r="H212" s="18"/>
      <c r="I212" s="18"/>
      <c r="J212" s="18"/>
      <c r="K212" s="18"/>
      <c r="L212" s="18"/>
      <c r="M212" s="18"/>
      <c r="N212" s="18"/>
      <c r="P212"/>
      <c r="Q212"/>
      <c r="R212"/>
      <c r="S212"/>
      <c r="T212"/>
      <c r="U212"/>
      <c r="V212"/>
      <c r="X212" s="33"/>
      <c r="Y212" s="20"/>
      <c r="Z212" s="20"/>
      <c r="AA212" s="20"/>
      <c r="AB212" s="20"/>
      <c r="AC212" s="20"/>
      <c r="AD212" s="17"/>
      <c r="AE212" s="17"/>
      <c r="AF212" s="20"/>
      <c r="AG212" s="17"/>
      <c r="AH212" s="20"/>
      <c r="AI212" s="17"/>
      <c r="AJ212" s="20"/>
      <c r="AK212" s="17"/>
      <c r="AL212" s="17"/>
      <c r="AM212" s="20"/>
      <c r="AN212" s="20"/>
      <c r="AO212" s="20"/>
      <c r="AP212" s="20"/>
      <c r="AQ212" s="17"/>
      <c r="AR212" s="17"/>
      <c r="AS212" s="20"/>
      <c r="AT212" s="17"/>
      <c r="AU212" s="17"/>
      <c r="AV212" s="17"/>
      <c r="AW212" s="17"/>
      <c r="AX212" s="17"/>
      <c r="AY212" s="17"/>
      <c r="AZ212" s="17"/>
      <c r="BA212" s="17"/>
      <c r="BB212" s="20"/>
      <c r="BC212" s="17"/>
      <c r="BD212" s="20"/>
      <c r="BE212" s="17"/>
      <c r="BF212" s="20"/>
      <c r="BG212" s="20"/>
      <c r="BH212" s="20"/>
      <c r="BI212" s="20"/>
    </row>
    <row r="213" spans="3:61" s="30" customFormat="1" ht="18" x14ac:dyDescent="0.35">
      <c r="C213" s="31"/>
      <c r="D213" s="31"/>
      <c r="E213" s="31"/>
      <c r="F213" s="19"/>
      <c r="G213" s="18"/>
      <c r="H213" s="18"/>
      <c r="I213" s="18"/>
      <c r="J213" s="18"/>
      <c r="K213" s="18"/>
      <c r="L213" s="18"/>
      <c r="M213" s="18"/>
      <c r="N213" s="18"/>
      <c r="P213"/>
      <c r="Q213"/>
      <c r="R213"/>
      <c r="S213"/>
      <c r="T213"/>
      <c r="U213"/>
      <c r="V213"/>
      <c r="X213" s="33"/>
      <c r="Y213" s="20"/>
      <c r="Z213" s="20"/>
      <c r="AA213" s="20"/>
      <c r="AB213" s="20"/>
      <c r="AC213" s="20"/>
      <c r="AD213" s="17"/>
      <c r="AE213" s="17"/>
      <c r="AF213" s="20"/>
      <c r="AG213" s="17"/>
      <c r="AH213" s="20"/>
      <c r="AI213" s="17"/>
      <c r="AJ213" s="20"/>
      <c r="AK213" s="17"/>
      <c r="AL213" s="17"/>
      <c r="AM213" s="20"/>
      <c r="AN213" s="20"/>
      <c r="AO213" s="20"/>
      <c r="AP213" s="20"/>
      <c r="AQ213" s="17"/>
      <c r="AR213" s="17"/>
      <c r="AS213" s="20"/>
      <c r="AT213" s="17"/>
      <c r="AU213" s="17"/>
      <c r="AV213" s="17"/>
      <c r="AW213" s="17"/>
      <c r="AX213" s="17"/>
      <c r="AY213" s="17"/>
      <c r="AZ213" s="17"/>
      <c r="BA213" s="17"/>
      <c r="BB213" s="20"/>
      <c r="BC213" s="17"/>
      <c r="BD213" s="20"/>
      <c r="BE213" s="17"/>
      <c r="BF213" s="20"/>
      <c r="BG213" s="20"/>
      <c r="BH213" s="20"/>
      <c r="BI213" s="20"/>
    </row>
    <row r="214" spans="3:61" s="30" customFormat="1" ht="18" x14ac:dyDescent="0.35">
      <c r="C214" s="31"/>
      <c r="D214" s="31"/>
      <c r="E214" s="31"/>
      <c r="F214" s="19"/>
      <c r="G214" s="18"/>
      <c r="H214" s="18"/>
      <c r="I214" s="18"/>
      <c r="J214" s="18"/>
      <c r="K214" s="18"/>
      <c r="L214" s="18"/>
      <c r="M214" s="18"/>
      <c r="N214" s="18"/>
      <c r="P214"/>
      <c r="Q214"/>
      <c r="R214"/>
      <c r="S214"/>
      <c r="T214"/>
      <c r="U214"/>
      <c r="V214"/>
      <c r="X214" s="33"/>
      <c r="Y214" s="20"/>
      <c r="Z214" s="20"/>
      <c r="AA214" s="20"/>
      <c r="AB214" s="20"/>
      <c r="AC214" s="20"/>
      <c r="AD214" s="17"/>
      <c r="AE214" s="17"/>
      <c r="AF214" s="20"/>
      <c r="AG214" s="17"/>
      <c r="AH214" s="20"/>
      <c r="AI214" s="17"/>
      <c r="AJ214" s="20"/>
      <c r="AK214" s="17"/>
      <c r="AL214" s="17"/>
      <c r="AM214" s="20"/>
      <c r="AN214" s="20"/>
      <c r="AO214" s="20"/>
      <c r="AP214" s="20"/>
      <c r="AQ214" s="17"/>
      <c r="AR214" s="17"/>
      <c r="AS214" s="20"/>
      <c r="AT214" s="17"/>
      <c r="AU214" s="17"/>
      <c r="AV214" s="17"/>
      <c r="AW214" s="17"/>
      <c r="AX214" s="17"/>
      <c r="AY214" s="17"/>
      <c r="AZ214" s="17"/>
      <c r="BA214" s="17"/>
      <c r="BB214" s="20"/>
      <c r="BC214" s="17"/>
      <c r="BD214" s="20"/>
      <c r="BE214" s="17"/>
      <c r="BF214" s="20"/>
      <c r="BG214" s="20"/>
      <c r="BH214" s="20"/>
      <c r="BI214" s="20"/>
    </row>
    <row r="215" spans="3:61" s="30" customFormat="1" ht="18" x14ac:dyDescent="0.35">
      <c r="C215" s="31"/>
      <c r="D215" s="31"/>
      <c r="E215" s="31"/>
      <c r="F215" s="19"/>
      <c r="G215" s="18"/>
      <c r="H215" s="18"/>
      <c r="I215" s="18"/>
      <c r="J215" s="18"/>
      <c r="K215" s="18"/>
      <c r="L215" s="18"/>
      <c r="M215" s="18"/>
      <c r="N215" s="18"/>
      <c r="P215"/>
      <c r="Q215"/>
      <c r="R215"/>
      <c r="S215"/>
      <c r="T215"/>
      <c r="U215"/>
      <c r="V215"/>
      <c r="X215" s="33"/>
      <c r="Y215" s="20"/>
      <c r="Z215" s="20"/>
      <c r="AA215" s="20"/>
      <c r="AB215" s="20"/>
      <c r="AC215" s="20"/>
      <c r="AD215" s="17"/>
      <c r="AE215" s="17"/>
      <c r="AF215" s="20"/>
      <c r="AG215" s="17"/>
      <c r="AH215" s="20"/>
      <c r="AI215" s="17"/>
      <c r="AJ215" s="20"/>
      <c r="AK215" s="17"/>
      <c r="AL215" s="17"/>
      <c r="AM215" s="20"/>
      <c r="AN215" s="20"/>
      <c r="AO215" s="20"/>
      <c r="AP215" s="20"/>
      <c r="AQ215" s="17"/>
      <c r="AR215" s="17"/>
      <c r="AS215" s="20"/>
      <c r="AT215" s="17"/>
      <c r="AU215" s="17"/>
      <c r="AV215" s="17"/>
      <c r="AW215" s="17"/>
      <c r="AX215" s="17"/>
      <c r="AY215" s="17"/>
      <c r="AZ215" s="17"/>
      <c r="BA215" s="17"/>
      <c r="BB215" s="20"/>
      <c r="BC215" s="17"/>
      <c r="BD215" s="20"/>
      <c r="BE215" s="17"/>
      <c r="BF215" s="20"/>
      <c r="BG215" s="20"/>
      <c r="BH215" s="20"/>
      <c r="BI215" s="20"/>
    </row>
    <row r="216" spans="3:61" s="30" customFormat="1" ht="18" x14ac:dyDescent="0.35">
      <c r="C216" s="31"/>
      <c r="D216" s="31"/>
      <c r="E216" s="31"/>
      <c r="F216" s="19"/>
      <c r="G216" s="18"/>
      <c r="H216" s="18"/>
      <c r="I216" s="18"/>
      <c r="J216" s="18"/>
      <c r="K216" s="18"/>
      <c r="L216" s="18"/>
      <c r="M216" s="18"/>
      <c r="N216" s="18"/>
      <c r="P216"/>
      <c r="Q216"/>
      <c r="R216"/>
      <c r="S216"/>
      <c r="T216"/>
      <c r="U216"/>
      <c r="V216"/>
      <c r="X216" s="33"/>
      <c r="Y216" s="20"/>
      <c r="Z216" s="20"/>
      <c r="AA216" s="20"/>
      <c r="AB216" s="20"/>
      <c r="AC216" s="20"/>
      <c r="AD216" s="17"/>
      <c r="AE216" s="17"/>
      <c r="AF216" s="20"/>
      <c r="AG216" s="17"/>
      <c r="AH216" s="20"/>
      <c r="AI216" s="17"/>
      <c r="AJ216" s="20"/>
      <c r="AK216" s="17"/>
      <c r="AL216" s="17"/>
      <c r="AM216" s="20"/>
      <c r="AN216" s="20"/>
      <c r="AO216" s="20"/>
      <c r="AP216" s="20"/>
      <c r="AQ216" s="17"/>
      <c r="AR216" s="17"/>
      <c r="AS216" s="20"/>
      <c r="AT216" s="17"/>
      <c r="AU216" s="17"/>
      <c r="AV216" s="17"/>
      <c r="AW216" s="17"/>
      <c r="AX216" s="17"/>
      <c r="AY216" s="17"/>
      <c r="AZ216" s="17"/>
      <c r="BA216" s="17"/>
      <c r="BB216" s="20"/>
      <c r="BC216" s="17"/>
      <c r="BD216" s="20"/>
      <c r="BE216" s="17"/>
      <c r="BF216" s="20"/>
      <c r="BG216" s="20"/>
      <c r="BH216" s="20"/>
      <c r="BI216" s="20"/>
    </row>
    <row r="217" spans="3:61" s="30" customFormat="1" ht="18" x14ac:dyDescent="0.35">
      <c r="C217" s="31"/>
      <c r="D217" s="31"/>
      <c r="E217" s="31"/>
      <c r="F217" s="19"/>
      <c r="G217" s="18"/>
      <c r="H217" s="18"/>
      <c r="I217" s="18"/>
      <c r="J217" s="18"/>
      <c r="K217" s="18"/>
      <c r="L217" s="18"/>
      <c r="M217" s="18"/>
      <c r="N217" s="18"/>
      <c r="P217"/>
      <c r="Q217"/>
      <c r="R217"/>
      <c r="S217"/>
      <c r="T217"/>
      <c r="U217"/>
      <c r="V217"/>
      <c r="X217" s="33"/>
      <c r="Y217" s="20"/>
      <c r="Z217" s="20"/>
      <c r="AA217" s="20"/>
      <c r="AB217" s="20"/>
      <c r="AC217" s="20"/>
      <c r="AD217" s="17"/>
      <c r="AE217" s="17"/>
      <c r="AF217" s="20"/>
      <c r="AG217" s="17"/>
      <c r="AH217" s="20"/>
      <c r="AI217" s="17"/>
      <c r="AJ217" s="20"/>
      <c r="AK217" s="17"/>
      <c r="AL217" s="17"/>
      <c r="AM217" s="20"/>
      <c r="AN217" s="20"/>
      <c r="AO217" s="20"/>
      <c r="AP217" s="20"/>
      <c r="AQ217" s="17"/>
      <c r="AR217" s="17"/>
      <c r="AS217" s="20"/>
      <c r="AT217" s="17"/>
      <c r="AU217" s="17"/>
      <c r="AV217" s="17"/>
      <c r="AW217" s="17"/>
      <c r="AX217" s="17"/>
      <c r="AY217" s="17"/>
      <c r="AZ217" s="17"/>
      <c r="BA217" s="17"/>
      <c r="BB217" s="20"/>
      <c r="BC217" s="17"/>
      <c r="BD217" s="20"/>
      <c r="BE217" s="17"/>
      <c r="BF217" s="20"/>
      <c r="BG217" s="20"/>
      <c r="BH217" s="20"/>
      <c r="BI217" s="20"/>
    </row>
    <row r="218" spans="3:61" s="30" customFormat="1" ht="18" x14ac:dyDescent="0.35">
      <c r="C218" s="31"/>
      <c r="D218" s="31"/>
      <c r="E218" s="31"/>
      <c r="F218" s="19"/>
      <c r="G218" s="18"/>
      <c r="H218" s="18"/>
      <c r="I218" s="18"/>
      <c r="J218" s="18"/>
      <c r="K218" s="18"/>
      <c r="L218" s="18"/>
      <c r="M218" s="18"/>
      <c r="N218" s="18"/>
      <c r="P218"/>
      <c r="Q218"/>
      <c r="R218"/>
      <c r="S218"/>
      <c r="T218"/>
      <c r="U218"/>
      <c r="V218"/>
      <c r="X218" s="33"/>
      <c r="Y218" s="20"/>
      <c r="Z218" s="20"/>
      <c r="AA218" s="20"/>
      <c r="AB218" s="20"/>
      <c r="AC218" s="20"/>
      <c r="AD218" s="17"/>
      <c r="AE218" s="17"/>
      <c r="AF218" s="20"/>
      <c r="AG218" s="17"/>
      <c r="AH218" s="20"/>
      <c r="AI218" s="17"/>
      <c r="AJ218" s="20"/>
      <c r="AK218" s="17"/>
      <c r="AL218" s="17"/>
      <c r="AM218" s="20"/>
      <c r="AN218" s="20"/>
      <c r="AO218" s="20"/>
      <c r="AP218" s="20"/>
      <c r="AQ218" s="17"/>
      <c r="AR218" s="17"/>
      <c r="AS218" s="20"/>
      <c r="AT218" s="17"/>
      <c r="AU218" s="17"/>
      <c r="AV218" s="17"/>
      <c r="AW218" s="17"/>
      <c r="AX218" s="17"/>
      <c r="AY218" s="17"/>
      <c r="AZ218" s="17"/>
      <c r="BA218" s="17"/>
      <c r="BB218" s="20"/>
      <c r="BC218" s="17"/>
      <c r="BD218" s="20"/>
      <c r="BE218" s="17"/>
      <c r="BF218" s="20"/>
      <c r="BG218" s="20"/>
      <c r="BH218" s="20"/>
      <c r="BI218" s="20"/>
    </row>
    <row r="219" spans="3:61" s="30" customFormat="1" ht="18" x14ac:dyDescent="0.35">
      <c r="C219" s="31"/>
      <c r="D219" s="31"/>
      <c r="E219" s="31"/>
      <c r="F219" s="19"/>
      <c r="G219" s="18"/>
      <c r="H219" s="18"/>
      <c r="I219" s="18"/>
      <c r="J219" s="18"/>
      <c r="K219" s="18"/>
      <c r="L219" s="18"/>
      <c r="M219" s="18"/>
      <c r="N219" s="18"/>
      <c r="P219"/>
      <c r="Q219"/>
      <c r="R219"/>
      <c r="S219"/>
      <c r="T219"/>
      <c r="U219"/>
      <c r="V219"/>
      <c r="X219" s="33"/>
      <c r="Y219" s="20"/>
      <c r="Z219" s="20"/>
      <c r="AA219" s="20"/>
      <c r="AB219" s="20"/>
      <c r="AC219" s="20"/>
      <c r="AD219" s="17"/>
      <c r="AE219" s="17"/>
      <c r="AF219" s="20"/>
      <c r="AG219" s="17"/>
      <c r="AH219" s="20"/>
      <c r="AI219" s="17"/>
      <c r="AJ219" s="20"/>
      <c r="AK219" s="17"/>
      <c r="AL219" s="17"/>
      <c r="AM219" s="20"/>
      <c r="AN219" s="20"/>
      <c r="AO219" s="20"/>
      <c r="AP219" s="20"/>
      <c r="AQ219" s="17"/>
      <c r="AR219" s="17"/>
      <c r="AS219" s="20"/>
      <c r="AT219" s="17"/>
      <c r="AU219" s="17"/>
      <c r="AV219" s="17"/>
      <c r="AW219" s="17"/>
      <c r="AX219" s="17"/>
      <c r="AY219" s="17"/>
      <c r="AZ219" s="17"/>
      <c r="BA219" s="17"/>
      <c r="BB219" s="20"/>
      <c r="BC219" s="17"/>
      <c r="BD219" s="20"/>
      <c r="BE219" s="17"/>
      <c r="BF219" s="20"/>
      <c r="BG219" s="20"/>
      <c r="BH219" s="20"/>
      <c r="BI219" s="20"/>
    </row>
    <row r="220" spans="3:61" s="30" customFormat="1" ht="18" x14ac:dyDescent="0.35">
      <c r="C220" s="31"/>
      <c r="D220" s="31"/>
      <c r="E220" s="31"/>
      <c r="F220" s="19"/>
      <c r="G220" s="18"/>
      <c r="H220" s="18"/>
      <c r="I220" s="18"/>
      <c r="J220" s="18"/>
      <c r="K220" s="18"/>
      <c r="L220" s="18"/>
      <c r="M220" s="18"/>
      <c r="N220" s="18"/>
      <c r="P220"/>
      <c r="Q220"/>
      <c r="R220"/>
      <c r="S220"/>
      <c r="T220"/>
      <c r="U220"/>
      <c r="V220"/>
      <c r="X220" s="33"/>
      <c r="Y220" s="20"/>
      <c r="Z220" s="20"/>
      <c r="AA220" s="20"/>
      <c r="AB220" s="20"/>
      <c r="AC220" s="20"/>
      <c r="AD220" s="17"/>
      <c r="AE220" s="17"/>
      <c r="AF220" s="20"/>
      <c r="AG220" s="17"/>
      <c r="AH220" s="20"/>
      <c r="AI220" s="17"/>
      <c r="AJ220" s="20"/>
      <c r="AK220" s="17"/>
      <c r="AL220" s="17"/>
      <c r="AM220" s="20"/>
      <c r="AN220" s="20"/>
      <c r="AO220" s="20"/>
      <c r="AP220" s="20"/>
      <c r="AQ220" s="17"/>
      <c r="AR220" s="17"/>
      <c r="AS220" s="20"/>
      <c r="AT220" s="17"/>
      <c r="AU220" s="17"/>
      <c r="AV220" s="17"/>
      <c r="AW220" s="17"/>
      <c r="AX220" s="17"/>
      <c r="AY220" s="17"/>
      <c r="AZ220" s="17"/>
      <c r="BA220" s="17"/>
      <c r="BB220" s="20"/>
      <c r="BC220" s="17"/>
      <c r="BD220" s="20"/>
      <c r="BE220" s="17"/>
      <c r="BF220" s="20"/>
      <c r="BG220" s="20"/>
      <c r="BH220" s="20"/>
      <c r="BI220" s="20"/>
    </row>
    <row r="221" spans="3:61" s="30" customFormat="1" ht="18" x14ac:dyDescent="0.35">
      <c r="C221" s="31"/>
      <c r="D221" s="31"/>
      <c r="E221" s="31"/>
      <c r="F221" s="19"/>
      <c r="G221" s="18"/>
      <c r="H221" s="18"/>
      <c r="I221" s="18"/>
      <c r="J221" s="18"/>
      <c r="K221" s="18"/>
      <c r="L221" s="18"/>
      <c r="M221" s="18"/>
      <c r="N221" s="18"/>
      <c r="P221"/>
      <c r="Q221"/>
      <c r="R221"/>
      <c r="S221"/>
      <c r="T221"/>
      <c r="U221"/>
      <c r="V221"/>
      <c r="X221" s="33"/>
      <c r="Y221" s="20"/>
      <c r="Z221" s="20"/>
      <c r="AA221" s="20"/>
      <c r="AB221" s="20"/>
      <c r="AC221" s="20"/>
      <c r="AD221" s="17"/>
      <c r="AE221" s="17"/>
      <c r="AF221" s="20"/>
      <c r="AG221" s="17"/>
      <c r="AH221" s="20"/>
      <c r="AI221" s="17"/>
      <c r="AJ221" s="20"/>
      <c r="AK221" s="17"/>
      <c r="AL221" s="17"/>
      <c r="AM221" s="20"/>
      <c r="AN221" s="20"/>
      <c r="AO221" s="20"/>
      <c r="AP221" s="20"/>
      <c r="AQ221" s="17"/>
      <c r="AR221" s="17"/>
      <c r="AS221" s="20"/>
      <c r="AT221" s="17"/>
      <c r="AU221" s="17"/>
      <c r="AV221" s="17"/>
      <c r="AW221" s="17"/>
      <c r="AX221" s="17"/>
      <c r="AY221" s="17"/>
      <c r="AZ221" s="17"/>
      <c r="BA221" s="17"/>
      <c r="BB221" s="20"/>
      <c r="BC221" s="17"/>
      <c r="BD221" s="20"/>
      <c r="BE221" s="17"/>
      <c r="BF221" s="20"/>
      <c r="BG221" s="20"/>
      <c r="BH221" s="20"/>
      <c r="BI221" s="20"/>
    </row>
    <row r="222" spans="3:61" s="30" customFormat="1" ht="18" x14ac:dyDescent="0.35">
      <c r="C222" s="31"/>
      <c r="D222" s="31"/>
      <c r="E222" s="31"/>
      <c r="F222" s="19"/>
      <c r="G222" s="18"/>
      <c r="H222" s="18"/>
      <c r="I222" s="18"/>
      <c r="J222" s="18"/>
      <c r="K222" s="18"/>
      <c r="L222" s="18"/>
      <c r="M222" s="18"/>
      <c r="N222" s="18"/>
      <c r="P222"/>
      <c r="Q222"/>
      <c r="R222"/>
      <c r="S222"/>
      <c r="T222"/>
      <c r="U222"/>
      <c r="V222"/>
      <c r="X222" s="33"/>
      <c r="Y222" s="20"/>
      <c r="Z222" s="20"/>
      <c r="AA222" s="20"/>
      <c r="AB222" s="20"/>
      <c r="AC222" s="20"/>
      <c r="AD222" s="17"/>
      <c r="AE222" s="17"/>
      <c r="AF222" s="20"/>
      <c r="AG222" s="17"/>
      <c r="AH222" s="20"/>
      <c r="AI222" s="17"/>
      <c r="AJ222" s="20"/>
      <c r="AK222" s="17"/>
      <c r="AL222" s="17"/>
      <c r="AM222" s="20"/>
      <c r="AN222" s="20"/>
      <c r="AO222" s="20"/>
      <c r="AP222" s="20"/>
      <c r="AQ222" s="17"/>
      <c r="AR222" s="17"/>
      <c r="AS222" s="20"/>
      <c r="AT222" s="17"/>
      <c r="AU222" s="17"/>
      <c r="AV222" s="17"/>
      <c r="AW222" s="17"/>
      <c r="AX222" s="17"/>
      <c r="AY222" s="17"/>
      <c r="AZ222" s="17"/>
      <c r="BA222" s="17"/>
      <c r="BB222" s="20"/>
      <c r="BC222" s="17"/>
      <c r="BD222" s="20"/>
      <c r="BE222" s="17"/>
      <c r="BF222" s="20"/>
      <c r="BG222" s="20"/>
      <c r="BH222" s="20"/>
      <c r="BI222" s="20"/>
    </row>
    <row r="223" spans="3:61" s="30" customFormat="1" ht="18" x14ac:dyDescent="0.35">
      <c r="C223" s="31"/>
      <c r="D223" s="31"/>
      <c r="E223" s="31"/>
      <c r="F223" s="19"/>
      <c r="G223" s="18"/>
      <c r="H223" s="18"/>
      <c r="I223" s="18"/>
      <c r="J223" s="18"/>
      <c r="K223" s="18"/>
      <c r="L223" s="18"/>
      <c r="M223" s="18"/>
      <c r="N223" s="18"/>
      <c r="P223"/>
      <c r="Q223"/>
      <c r="R223"/>
      <c r="S223"/>
      <c r="T223"/>
      <c r="U223"/>
      <c r="V223"/>
      <c r="X223" s="33"/>
      <c r="Y223" s="20"/>
      <c r="Z223" s="20"/>
      <c r="AA223" s="20"/>
      <c r="AB223" s="20"/>
      <c r="AC223" s="20"/>
      <c r="AD223" s="17"/>
      <c r="AE223" s="17"/>
      <c r="AF223" s="20"/>
      <c r="AG223" s="17"/>
      <c r="AH223" s="20"/>
      <c r="AI223" s="17"/>
      <c r="AJ223" s="20"/>
      <c r="AK223" s="17"/>
      <c r="AL223" s="17"/>
      <c r="AM223" s="20"/>
      <c r="AN223" s="20"/>
      <c r="AO223" s="20"/>
      <c r="AP223" s="20"/>
      <c r="AQ223" s="17"/>
      <c r="AR223" s="17"/>
      <c r="AS223" s="20"/>
      <c r="AT223" s="17"/>
      <c r="AU223" s="17"/>
      <c r="AV223" s="17"/>
      <c r="AW223" s="17"/>
      <c r="AX223" s="17"/>
      <c r="AY223" s="17"/>
      <c r="AZ223" s="17"/>
      <c r="BA223" s="17"/>
      <c r="BB223" s="20"/>
      <c r="BC223" s="17"/>
      <c r="BD223" s="20"/>
      <c r="BE223" s="17"/>
      <c r="BF223" s="20"/>
      <c r="BG223" s="20"/>
      <c r="BH223" s="20"/>
      <c r="BI223" s="20"/>
    </row>
    <row r="224" spans="3:61" s="30" customFormat="1" ht="18" x14ac:dyDescent="0.35">
      <c r="C224" s="31"/>
      <c r="D224" s="31"/>
      <c r="E224" s="31"/>
      <c r="F224" s="19"/>
      <c r="G224" s="18"/>
      <c r="H224" s="18"/>
      <c r="I224" s="18"/>
      <c r="J224" s="18"/>
      <c r="K224" s="18"/>
      <c r="L224" s="18"/>
      <c r="M224" s="18"/>
      <c r="N224" s="18"/>
      <c r="P224"/>
      <c r="Q224"/>
      <c r="R224"/>
      <c r="S224"/>
      <c r="T224"/>
      <c r="U224"/>
      <c r="V224"/>
      <c r="X224" s="33"/>
      <c r="Y224" s="20"/>
      <c r="Z224" s="20"/>
      <c r="AA224" s="20"/>
      <c r="AB224" s="20"/>
      <c r="AC224" s="20"/>
      <c r="AD224" s="17"/>
      <c r="AE224" s="17"/>
      <c r="AF224" s="20"/>
      <c r="AG224" s="17"/>
      <c r="AH224" s="20"/>
      <c r="AI224" s="17"/>
      <c r="AJ224" s="20"/>
      <c r="AK224" s="17"/>
      <c r="AL224" s="17"/>
      <c r="AM224" s="20"/>
      <c r="AN224" s="20"/>
      <c r="AO224" s="20"/>
      <c r="AP224" s="20"/>
      <c r="AQ224" s="17"/>
      <c r="AR224" s="17"/>
      <c r="AS224" s="20"/>
      <c r="AT224" s="17"/>
      <c r="AU224" s="17"/>
      <c r="AV224" s="17"/>
      <c r="AW224" s="17"/>
      <c r="AX224" s="17"/>
      <c r="AY224" s="17"/>
      <c r="AZ224" s="17"/>
      <c r="BA224" s="17"/>
      <c r="BB224" s="20"/>
      <c r="BC224" s="17"/>
      <c r="BD224" s="20"/>
      <c r="BE224" s="17"/>
      <c r="BF224" s="20"/>
      <c r="BG224" s="20"/>
      <c r="BH224" s="20"/>
      <c r="BI224" s="20"/>
    </row>
    <row r="225" spans="3:61" s="30" customFormat="1" ht="18" x14ac:dyDescent="0.35">
      <c r="C225" s="31"/>
      <c r="D225" s="31"/>
      <c r="E225" s="31"/>
      <c r="F225" s="19"/>
      <c r="G225" s="18"/>
      <c r="H225" s="18"/>
      <c r="I225" s="18"/>
      <c r="J225" s="18"/>
      <c r="K225" s="18"/>
      <c r="L225" s="18"/>
      <c r="M225" s="18"/>
      <c r="N225" s="18"/>
      <c r="P225"/>
      <c r="Q225"/>
      <c r="R225"/>
      <c r="S225"/>
      <c r="T225"/>
      <c r="U225"/>
      <c r="V225"/>
      <c r="X225" s="33"/>
      <c r="Y225" s="20"/>
      <c r="Z225" s="20"/>
      <c r="AA225" s="20"/>
      <c r="AB225" s="20"/>
      <c r="AC225" s="20"/>
      <c r="AD225" s="17"/>
      <c r="AE225" s="17"/>
      <c r="AF225" s="20"/>
      <c r="AG225" s="17"/>
      <c r="AH225" s="20"/>
      <c r="AI225" s="17"/>
      <c r="AJ225" s="20"/>
      <c r="AK225" s="17"/>
      <c r="AL225" s="17"/>
      <c r="AM225" s="20"/>
      <c r="AN225" s="20"/>
      <c r="AO225" s="20"/>
      <c r="AP225" s="20"/>
      <c r="AQ225" s="17"/>
      <c r="AR225" s="17"/>
      <c r="AS225" s="20"/>
      <c r="AT225" s="17"/>
      <c r="AU225" s="17"/>
      <c r="AV225" s="17"/>
      <c r="AW225" s="17"/>
      <c r="AX225" s="17"/>
      <c r="AY225" s="17"/>
      <c r="AZ225" s="17"/>
      <c r="BA225" s="17"/>
      <c r="BB225" s="20"/>
      <c r="BC225" s="17"/>
      <c r="BD225" s="20"/>
      <c r="BE225" s="17"/>
      <c r="BF225" s="20"/>
      <c r="BG225" s="20"/>
      <c r="BH225" s="20"/>
      <c r="BI225" s="20"/>
    </row>
    <row r="226" spans="3:61" s="30" customFormat="1" ht="18" x14ac:dyDescent="0.35">
      <c r="C226" s="31"/>
      <c r="D226" s="31"/>
      <c r="E226" s="31"/>
      <c r="F226" s="19"/>
      <c r="G226" s="18"/>
      <c r="H226" s="18"/>
      <c r="I226" s="18"/>
      <c r="J226" s="18"/>
      <c r="K226" s="18"/>
      <c r="L226" s="18"/>
      <c r="M226" s="18"/>
      <c r="N226" s="18"/>
      <c r="P226"/>
      <c r="Q226"/>
      <c r="R226"/>
      <c r="S226"/>
      <c r="T226"/>
      <c r="U226"/>
      <c r="V226"/>
      <c r="X226" s="33"/>
      <c r="Y226" s="20"/>
      <c r="Z226" s="20"/>
      <c r="AA226" s="20"/>
      <c r="AB226" s="20"/>
      <c r="AC226" s="20"/>
      <c r="AD226" s="17"/>
      <c r="AE226" s="17"/>
      <c r="AF226" s="20"/>
      <c r="AG226" s="17"/>
      <c r="AH226" s="20"/>
      <c r="AI226" s="17"/>
      <c r="AJ226" s="20"/>
      <c r="AK226" s="17"/>
      <c r="AL226" s="17"/>
      <c r="AM226" s="20"/>
      <c r="AN226" s="20"/>
      <c r="AO226" s="20"/>
      <c r="AP226" s="20"/>
      <c r="AQ226" s="17"/>
      <c r="AR226" s="17"/>
      <c r="AS226" s="20"/>
      <c r="AT226" s="17"/>
      <c r="AU226" s="17"/>
      <c r="AV226" s="17"/>
      <c r="AW226" s="17"/>
      <c r="AX226" s="17"/>
      <c r="AY226" s="17"/>
      <c r="AZ226" s="17"/>
      <c r="BA226" s="17"/>
      <c r="BB226" s="20"/>
      <c r="BC226" s="17"/>
      <c r="BD226" s="20"/>
      <c r="BE226" s="17"/>
      <c r="BF226" s="20"/>
      <c r="BG226" s="20"/>
      <c r="BH226" s="20"/>
      <c r="BI226" s="20"/>
    </row>
    <row r="227" spans="3:61" s="30" customFormat="1" ht="18" x14ac:dyDescent="0.35">
      <c r="C227" s="31"/>
      <c r="D227" s="31"/>
      <c r="E227" s="31"/>
      <c r="F227" s="19"/>
      <c r="G227" s="18"/>
      <c r="H227" s="18"/>
      <c r="I227" s="18"/>
      <c r="J227" s="18"/>
      <c r="K227" s="18"/>
      <c r="L227" s="18"/>
      <c r="M227" s="18"/>
      <c r="N227" s="18"/>
      <c r="P227"/>
      <c r="Q227"/>
      <c r="R227"/>
      <c r="S227"/>
      <c r="T227"/>
      <c r="U227"/>
      <c r="V227"/>
      <c r="X227" s="33"/>
      <c r="Y227" s="20"/>
      <c r="Z227" s="20"/>
      <c r="AA227" s="20"/>
      <c r="AB227" s="20"/>
      <c r="AC227" s="20"/>
      <c r="AD227" s="17"/>
      <c r="AE227" s="17"/>
      <c r="AF227" s="20"/>
      <c r="AG227" s="17"/>
      <c r="AH227" s="20"/>
      <c r="AI227" s="17"/>
      <c r="AJ227" s="20"/>
      <c r="AK227" s="17"/>
      <c r="AL227" s="17"/>
      <c r="AM227" s="20"/>
      <c r="AN227" s="20"/>
      <c r="AO227" s="20"/>
      <c r="AP227" s="20"/>
      <c r="AQ227" s="17"/>
      <c r="AR227" s="17"/>
      <c r="AS227" s="20"/>
      <c r="AT227" s="17"/>
      <c r="AU227" s="17"/>
      <c r="AV227" s="17"/>
      <c r="AW227" s="17"/>
      <c r="AX227" s="17"/>
      <c r="AY227" s="17"/>
      <c r="AZ227" s="17"/>
      <c r="BA227" s="17"/>
      <c r="BB227" s="20"/>
      <c r="BC227" s="17"/>
      <c r="BD227" s="20"/>
      <c r="BE227" s="17"/>
      <c r="BF227" s="20"/>
      <c r="BG227" s="20"/>
      <c r="BH227" s="20"/>
      <c r="BI227" s="20"/>
    </row>
    <row r="228" spans="3:61" s="30" customFormat="1" ht="18" x14ac:dyDescent="0.35">
      <c r="C228" s="31"/>
      <c r="D228" s="31"/>
      <c r="E228" s="31"/>
      <c r="F228" s="19"/>
      <c r="G228" s="18"/>
      <c r="H228" s="18"/>
      <c r="I228" s="18"/>
      <c r="J228" s="18"/>
      <c r="K228" s="18"/>
      <c r="L228" s="18"/>
      <c r="M228" s="18"/>
      <c r="N228" s="18"/>
      <c r="P228"/>
      <c r="Q228"/>
      <c r="R228"/>
      <c r="S228"/>
      <c r="T228"/>
      <c r="U228"/>
      <c r="V228"/>
      <c r="X228" s="33"/>
      <c r="Y228" s="20"/>
      <c r="Z228" s="20"/>
      <c r="AA228" s="20"/>
      <c r="AB228" s="20"/>
      <c r="AC228" s="20"/>
      <c r="AD228" s="17"/>
      <c r="AE228" s="17"/>
      <c r="AF228" s="20"/>
      <c r="AG228" s="17"/>
      <c r="AH228" s="20"/>
      <c r="AI228" s="17"/>
      <c r="AJ228" s="20"/>
      <c r="AK228" s="17"/>
      <c r="AL228" s="17"/>
      <c r="AM228" s="20"/>
      <c r="AN228" s="20"/>
      <c r="AO228" s="20"/>
      <c r="AP228" s="20"/>
      <c r="AQ228" s="17"/>
      <c r="AR228" s="17"/>
      <c r="AS228" s="20"/>
      <c r="AT228" s="17"/>
      <c r="AU228" s="17"/>
      <c r="AV228" s="17"/>
      <c r="AW228" s="17"/>
      <c r="AX228" s="17"/>
      <c r="AY228" s="17"/>
      <c r="AZ228" s="17"/>
      <c r="BA228" s="17"/>
      <c r="BB228" s="20"/>
      <c r="BC228" s="17"/>
      <c r="BD228" s="20"/>
      <c r="BE228" s="17"/>
      <c r="BF228" s="20"/>
      <c r="BG228" s="20"/>
      <c r="BH228" s="20"/>
      <c r="BI228" s="20"/>
    </row>
    <row r="229" spans="3:61" s="30" customFormat="1" ht="18" x14ac:dyDescent="0.35">
      <c r="C229" s="31"/>
      <c r="D229" s="31"/>
      <c r="E229" s="31"/>
      <c r="F229" s="19"/>
      <c r="G229" s="18"/>
      <c r="H229" s="18"/>
      <c r="I229" s="18"/>
      <c r="J229" s="18"/>
      <c r="K229" s="18"/>
      <c r="L229" s="18"/>
      <c r="M229" s="18"/>
      <c r="N229" s="18"/>
      <c r="P229"/>
      <c r="Q229"/>
      <c r="R229"/>
      <c r="S229"/>
      <c r="T229"/>
      <c r="U229"/>
      <c r="V229"/>
      <c r="X229" s="33"/>
      <c r="Y229" s="20"/>
      <c r="Z229" s="20"/>
      <c r="AA229" s="20"/>
      <c r="AB229" s="20"/>
      <c r="AC229" s="20"/>
      <c r="AD229" s="17"/>
      <c r="AE229" s="17"/>
      <c r="AF229" s="20"/>
      <c r="AG229" s="17"/>
      <c r="AH229" s="20"/>
      <c r="AI229" s="17"/>
      <c r="AJ229" s="20"/>
      <c r="AK229" s="17"/>
      <c r="AL229" s="17"/>
      <c r="AM229" s="20"/>
      <c r="AN229" s="20"/>
      <c r="AO229" s="20"/>
      <c r="AP229" s="20"/>
      <c r="AQ229" s="17"/>
      <c r="AR229" s="17"/>
      <c r="AS229" s="20"/>
      <c r="AT229" s="17"/>
      <c r="AU229" s="17"/>
      <c r="AV229" s="17"/>
      <c r="AW229" s="17"/>
      <c r="AX229" s="17"/>
      <c r="AY229" s="17"/>
      <c r="AZ229" s="17"/>
      <c r="BA229" s="17"/>
      <c r="BB229" s="20"/>
      <c r="BC229" s="17"/>
      <c r="BD229" s="20"/>
      <c r="BE229" s="17"/>
      <c r="BF229" s="20"/>
      <c r="BG229" s="20"/>
      <c r="BH229" s="20"/>
      <c r="BI229" s="20"/>
    </row>
    <row r="230" spans="3:61" s="30" customFormat="1" ht="18" x14ac:dyDescent="0.35">
      <c r="C230" s="31"/>
      <c r="D230" s="31"/>
      <c r="E230" s="31"/>
      <c r="F230" s="19"/>
      <c r="G230" s="18"/>
      <c r="H230" s="18"/>
      <c r="I230" s="18"/>
      <c r="J230" s="18"/>
      <c r="K230" s="18"/>
      <c r="L230" s="18"/>
      <c r="M230" s="18"/>
      <c r="N230" s="18"/>
      <c r="P230"/>
      <c r="Q230"/>
      <c r="R230"/>
      <c r="S230"/>
      <c r="T230"/>
      <c r="U230"/>
      <c r="V230"/>
      <c r="X230" s="33"/>
      <c r="Y230" s="20"/>
      <c r="Z230" s="20"/>
      <c r="AA230" s="20"/>
      <c r="AB230" s="20"/>
      <c r="AC230" s="20"/>
      <c r="AD230" s="17"/>
      <c r="AE230" s="17"/>
      <c r="AF230" s="20"/>
      <c r="AG230" s="17"/>
      <c r="AH230" s="20"/>
      <c r="AI230" s="17"/>
      <c r="AJ230" s="20"/>
      <c r="AK230" s="17"/>
      <c r="AL230" s="17"/>
      <c r="AM230" s="20"/>
      <c r="AN230" s="20"/>
      <c r="AO230" s="20"/>
      <c r="AP230" s="20"/>
      <c r="AQ230" s="17"/>
      <c r="AR230" s="17"/>
      <c r="AS230" s="20"/>
      <c r="AT230" s="17"/>
      <c r="AU230" s="17"/>
      <c r="AV230" s="17"/>
      <c r="AW230" s="17"/>
      <c r="AX230" s="17"/>
      <c r="AY230" s="17"/>
      <c r="AZ230" s="17"/>
      <c r="BA230" s="17"/>
      <c r="BB230" s="20"/>
      <c r="BC230" s="17"/>
      <c r="BD230" s="20"/>
      <c r="BE230" s="17"/>
      <c r="BF230" s="20"/>
      <c r="BG230" s="20"/>
      <c r="BH230" s="20"/>
      <c r="BI230" s="20"/>
    </row>
    <row r="231" spans="3:61" s="30" customFormat="1" ht="18" x14ac:dyDescent="0.35">
      <c r="C231" s="31"/>
      <c r="D231" s="31"/>
      <c r="E231" s="31"/>
      <c r="F231" s="19"/>
      <c r="G231" s="18"/>
      <c r="H231" s="18"/>
      <c r="I231" s="18"/>
      <c r="J231" s="18"/>
      <c r="K231" s="18"/>
      <c r="L231" s="18"/>
      <c r="M231" s="18"/>
      <c r="N231" s="18"/>
      <c r="P231"/>
      <c r="Q231"/>
      <c r="R231"/>
      <c r="S231"/>
      <c r="T231"/>
      <c r="U231"/>
      <c r="V231"/>
      <c r="X231" s="33"/>
      <c r="Y231" s="20"/>
      <c r="Z231" s="20"/>
      <c r="AA231" s="20"/>
      <c r="AB231" s="20"/>
      <c r="AC231" s="20"/>
      <c r="AD231" s="17"/>
      <c r="AE231" s="17"/>
      <c r="AF231" s="20"/>
      <c r="AG231" s="17"/>
      <c r="AH231" s="20"/>
      <c r="AI231" s="17"/>
      <c r="AJ231" s="20"/>
      <c r="AK231" s="17"/>
      <c r="AL231" s="17"/>
      <c r="AM231" s="20"/>
      <c r="AN231" s="20"/>
      <c r="AO231" s="20"/>
      <c r="AP231" s="20"/>
      <c r="AQ231" s="17"/>
      <c r="AR231" s="17"/>
      <c r="AS231" s="20"/>
      <c r="AT231" s="17"/>
      <c r="AU231" s="17"/>
      <c r="AV231" s="17"/>
      <c r="AW231" s="17"/>
      <c r="AX231" s="17"/>
      <c r="AY231" s="17"/>
      <c r="AZ231" s="17"/>
      <c r="BA231" s="17"/>
      <c r="BB231" s="20"/>
      <c r="BC231" s="17"/>
      <c r="BD231" s="20"/>
      <c r="BE231" s="17"/>
      <c r="BF231" s="20"/>
      <c r="BG231" s="20"/>
      <c r="BH231" s="20"/>
      <c r="BI231" s="20"/>
    </row>
    <row r="232" spans="3:61" s="30" customFormat="1" ht="18" x14ac:dyDescent="0.35">
      <c r="C232" s="31"/>
      <c r="D232" s="31"/>
      <c r="E232" s="31"/>
      <c r="F232" s="19"/>
      <c r="G232" s="18"/>
      <c r="H232" s="18"/>
      <c r="I232" s="18"/>
      <c r="J232" s="18"/>
      <c r="K232" s="18"/>
      <c r="L232" s="18"/>
      <c r="M232" s="18"/>
      <c r="N232" s="18"/>
      <c r="P232"/>
      <c r="Q232"/>
      <c r="R232"/>
      <c r="S232"/>
      <c r="T232"/>
      <c r="U232"/>
      <c r="V232"/>
      <c r="X232" s="33"/>
      <c r="Y232" s="20"/>
      <c r="Z232" s="20"/>
      <c r="AA232" s="20"/>
      <c r="AB232" s="20"/>
      <c r="AC232" s="20"/>
      <c r="AD232" s="17"/>
      <c r="AE232" s="17"/>
      <c r="AF232" s="20"/>
      <c r="AG232" s="17"/>
      <c r="AH232" s="20"/>
      <c r="AI232" s="17"/>
      <c r="AJ232" s="20"/>
      <c r="AK232" s="17"/>
      <c r="AL232" s="17"/>
      <c r="AM232" s="20"/>
      <c r="AN232" s="20"/>
      <c r="AO232" s="20"/>
      <c r="AP232" s="20"/>
      <c r="AQ232" s="17"/>
      <c r="AR232" s="17"/>
      <c r="AS232" s="20"/>
      <c r="AT232" s="17"/>
      <c r="AU232" s="17"/>
      <c r="AV232" s="17"/>
      <c r="AW232" s="17"/>
      <c r="AX232" s="17"/>
      <c r="AY232" s="17"/>
      <c r="AZ232" s="17"/>
      <c r="BA232" s="17"/>
      <c r="BB232" s="20"/>
      <c r="BC232" s="17"/>
      <c r="BD232" s="20"/>
      <c r="BE232" s="17"/>
      <c r="BF232" s="20"/>
      <c r="BG232" s="20"/>
      <c r="BH232" s="20"/>
      <c r="BI232" s="20"/>
    </row>
    <row r="233" spans="3:61" s="30" customFormat="1" ht="18" x14ac:dyDescent="0.35">
      <c r="C233" s="31"/>
      <c r="D233" s="31"/>
      <c r="E233" s="31"/>
      <c r="F233" s="19"/>
      <c r="G233" s="18"/>
      <c r="H233" s="18"/>
      <c r="I233" s="18"/>
      <c r="J233" s="18"/>
      <c r="K233" s="18"/>
      <c r="L233" s="18"/>
      <c r="M233" s="18"/>
      <c r="N233" s="18"/>
      <c r="P233"/>
      <c r="Q233"/>
      <c r="R233"/>
      <c r="S233"/>
      <c r="T233"/>
      <c r="U233"/>
      <c r="V233"/>
      <c r="X233" s="33"/>
      <c r="Y233" s="20"/>
      <c r="Z233" s="20"/>
      <c r="AA233" s="20"/>
      <c r="AB233" s="20"/>
      <c r="AC233" s="20"/>
      <c r="AD233" s="17"/>
      <c r="AE233" s="17"/>
      <c r="AF233" s="20"/>
      <c r="AG233" s="17"/>
      <c r="AH233" s="20"/>
      <c r="AI233" s="17"/>
      <c r="AJ233" s="20"/>
      <c r="AK233" s="17"/>
      <c r="AL233" s="17"/>
      <c r="AM233" s="20"/>
      <c r="AN233" s="20"/>
      <c r="AO233" s="20"/>
      <c r="AP233" s="20"/>
      <c r="AQ233" s="17"/>
      <c r="AR233" s="17"/>
      <c r="AS233" s="20"/>
      <c r="AT233" s="17"/>
      <c r="AU233" s="17"/>
      <c r="AV233" s="17"/>
      <c r="AW233" s="17"/>
      <c r="AX233" s="17"/>
      <c r="AY233" s="17"/>
      <c r="AZ233" s="17"/>
      <c r="BA233" s="17"/>
      <c r="BB233" s="20"/>
      <c r="BC233" s="17"/>
      <c r="BD233" s="20"/>
      <c r="BE233" s="17"/>
      <c r="BF233" s="20"/>
      <c r="BG233" s="20"/>
      <c r="BH233" s="20"/>
      <c r="BI233" s="20"/>
    </row>
    <row r="234" spans="3:61" s="30" customFormat="1" ht="18" x14ac:dyDescent="0.35">
      <c r="C234" s="31"/>
      <c r="D234" s="31"/>
      <c r="E234" s="31"/>
      <c r="F234" s="19"/>
      <c r="G234" s="18"/>
      <c r="H234" s="18"/>
      <c r="I234" s="18"/>
      <c r="J234" s="18"/>
      <c r="K234" s="18"/>
      <c r="L234" s="18"/>
      <c r="M234" s="18"/>
      <c r="N234" s="18"/>
      <c r="P234"/>
      <c r="Q234"/>
      <c r="R234"/>
      <c r="S234"/>
      <c r="T234"/>
      <c r="U234"/>
      <c r="V234"/>
      <c r="X234" s="33"/>
      <c r="Y234" s="20"/>
      <c r="Z234" s="20"/>
      <c r="AA234" s="20"/>
      <c r="AB234" s="20"/>
      <c r="AC234" s="20"/>
      <c r="AD234" s="17"/>
      <c r="AE234" s="17"/>
      <c r="AF234" s="20"/>
      <c r="AG234" s="17"/>
      <c r="AH234" s="20"/>
      <c r="AI234" s="17"/>
      <c r="AJ234" s="20"/>
      <c r="AK234" s="17"/>
      <c r="AL234" s="17"/>
      <c r="AM234" s="20"/>
      <c r="AN234" s="20"/>
      <c r="AO234" s="20"/>
      <c r="AP234" s="20"/>
      <c r="AQ234" s="17"/>
      <c r="AR234" s="17"/>
      <c r="AS234" s="20"/>
      <c r="AT234" s="17"/>
      <c r="AU234" s="17"/>
      <c r="AV234" s="17"/>
      <c r="AW234" s="17"/>
      <c r="AX234" s="17"/>
      <c r="AY234" s="17"/>
      <c r="AZ234" s="17"/>
      <c r="BA234" s="17"/>
      <c r="BB234" s="20"/>
      <c r="BC234" s="17"/>
      <c r="BD234" s="20"/>
      <c r="BE234" s="17"/>
      <c r="BF234" s="20"/>
      <c r="BG234" s="20"/>
      <c r="BH234" s="20"/>
      <c r="BI234" s="20"/>
    </row>
    <row r="235" spans="3:61" s="30" customFormat="1" ht="18" x14ac:dyDescent="0.35">
      <c r="C235" s="31"/>
      <c r="D235" s="31"/>
      <c r="E235" s="31"/>
      <c r="F235" s="19"/>
      <c r="G235" s="18"/>
      <c r="H235" s="18"/>
      <c r="I235" s="18"/>
      <c r="J235" s="18"/>
      <c r="K235" s="18"/>
      <c r="L235" s="18"/>
      <c r="M235" s="18"/>
      <c r="N235" s="18"/>
      <c r="P235"/>
      <c r="Q235"/>
      <c r="R235"/>
      <c r="S235"/>
      <c r="T235"/>
      <c r="U235"/>
      <c r="V235"/>
      <c r="X235" s="33"/>
      <c r="Y235" s="20"/>
      <c r="Z235" s="20"/>
      <c r="AA235" s="20"/>
      <c r="AB235" s="20"/>
      <c r="AC235" s="20"/>
      <c r="AD235" s="17"/>
      <c r="AE235" s="17"/>
      <c r="AF235" s="20"/>
      <c r="AG235" s="17"/>
      <c r="AH235" s="20"/>
      <c r="AI235" s="17"/>
      <c r="AJ235" s="20"/>
      <c r="AK235" s="17"/>
      <c r="AL235" s="17"/>
      <c r="AM235" s="20"/>
      <c r="AN235" s="20"/>
      <c r="AO235" s="20"/>
      <c r="AP235" s="20"/>
      <c r="AQ235" s="17"/>
      <c r="AR235" s="17"/>
      <c r="AS235" s="20"/>
      <c r="AT235" s="17"/>
      <c r="AU235" s="17"/>
      <c r="AV235" s="17"/>
      <c r="AW235" s="17"/>
      <c r="AX235" s="17"/>
      <c r="AY235" s="17"/>
      <c r="AZ235" s="17"/>
      <c r="BA235" s="17"/>
      <c r="BB235" s="20"/>
      <c r="BC235" s="17"/>
      <c r="BD235" s="20"/>
      <c r="BE235" s="17"/>
      <c r="BF235" s="20"/>
      <c r="BG235" s="20"/>
      <c r="BH235" s="20"/>
      <c r="BI235" s="20"/>
    </row>
    <row r="236" spans="3:61" s="30" customFormat="1" ht="18" x14ac:dyDescent="0.35">
      <c r="C236" s="31"/>
      <c r="D236" s="31"/>
      <c r="E236" s="31"/>
      <c r="F236" s="19"/>
      <c r="G236" s="18"/>
      <c r="H236" s="18"/>
      <c r="I236" s="18"/>
      <c r="J236" s="18"/>
      <c r="K236" s="18"/>
      <c r="L236" s="18"/>
      <c r="M236" s="18"/>
      <c r="N236" s="18"/>
      <c r="P236"/>
      <c r="Q236"/>
      <c r="R236"/>
      <c r="S236"/>
      <c r="T236"/>
      <c r="U236"/>
      <c r="V236"/>
      <c r="X236" s="33"/>
      <c r="Y236" s="20"/>
      <c r="Z236" s="20"/>
      <c r="AA236" s="20"/>
      <c r="AB236" s="20"/>
      <c r="AC236" s="20"/>
      <c r="AD236" s="17"/>
      <c r="AE236" s="17"/>
      <c r="AF236" s="20"/>
      <c r="AG236" s="17"/>
      <c r="AH236" s="20"/>
      <c r="AI236" s="17"/>
      <c r="AJ236" s="20"/>
      <c r="AK236" s="17"/>
      <c r="AL236" s="17"/>
      <c r="AM236" s="20"/>
      <c r="AN236" s="20"/>
      <c r="AO236" s="20"/>
      <c r="AP236" s="20"/>
      <c r="AQ236" s="17"/>
      <c r="AR236" s="17"/>
      <c r="AS236" s="20"/>
      <c r="AT236" s="17"/>
      <c r="AU236" s="17"/>
      <c r="AV236" s="17"/>
      <c r="AW236" s="17"/>
      <c r="AX236" s="17"/>
      <c r="AY236" s="17"/>
      <c r="AZ236" s="17"/>
      <c r="BA236" s="17"/>
      <c r="BB236" s="20"/>
      <c r="BC236" s="17"/>
      <c r="BD236" s="20"/>
      <c r="BE236" s="17"/>
      <c r="BF236" s="20"/>
      <c r="BG236" s="20"/>
      <c r="BH236" s="20"/>
      <c r="BI236" s="20"/>
    </row>
    <row r="237" spans="3:61" s="30" customFormat="1" ht="18" x14ac:dyDescent="0.35">
      <c r="C237" s="31"/>
      <c r="D237" s="31"/>
      <c r="E237" s="31"/>
      <c r="F237" s="19"/>
      <c r="G237" s="18"/>
      <c r="H237" s="18"/>
      <c r="I237" s="18"/>
      <c r="J237" s="18"/>
      <c r="K237" s="18"/>
      <c r="L237" s="18"/>
      <c r="M237" s="18"/>
      <c r="N237" s="18"/>
      <c r="P237"/>
      <c r="Q237"/>
      <c r="R237"/>
      <c r="S237"/>
      <c r="T237"/>
      <c r="U237"/>
      <c r="V237"/>
      <c r="X237" s="33"/>
      <c r="Y237" s="20"/>
      <c r="Z237" s="20"/>
      <c r="AA237" s="20"/>
      <c r="AB237" s="20"/>
      <c r="AC237" s="20"/>
      <c r="AD237" s="17"/>
      <c r="AE237" s="17"/>
      <c r="AF237" s="20"/>
      <c r="AG237" s="17"/>
      <c r="AH237" s="20"/>
      <c r="AI237" s="17"/>
      <c r="AJ237" s="20"/>
      <c r="AK237" s="17"/>
      <c r="AL237" s="17"/>
      <c r="AM237" s="20"/>
      <c r="AN237" s="20"/>
      <c r="AO237" s="20"/>
      <c r="AP237" s="20"/>
      <c r="AQ237" s="17"/>
      <c r="AR237" s="17"/>
      <c r="AS237" s="20"/>
      <c r="AT237" s="17"/>
      <c r="AU237" s="17"/>
      <c r="AV237" s="17"/>
      <c r="AW237" s="17"/>
      <c r="AX237" s="17"/>
      <c r="AY237" s="17"/>
      <c r="AZ237" s="17"/>
      <c r="BA237" s="17"/>
      <c r="BB237" s="20"/>
      <c r="BC237" s="17"/>
      <c r="BD237" s="20"/>
      <c r="BE237" s="17"/>
      <c r="BF237" s="20"/>
      <c r="BG237" s="20"/>
      <c r="BH237" s="20"/>
      <c r="BI237" s="20"/>
    </row>
    <row r="238" spans="3:61" s="30" customFormat="1" ht="18" x14ac:dyDescent="0.35">
      <c r="C238" s="31"/>
      <c r="D238" s="31"/>
      <c r="E238" s="31"/>
      <c r="F238" s="19"/>
      <c r="G238" s="18"/>
      <c r="H238" s="18"/>
      <c r="I238" s="18"/>
      <c r="J238" s="18"/>
      <c r="K238" s="18"/>
      <c r="L238" s="18"/>
      <c r="M238" s="18"/>
      <c r="N238" s="18"/>
      <c r="P238"/>
      <c r="Q238"/>
      <c r="R238"/>
      <c r="S238"/>
      <c r="T238"/>
      <c r="U238"/>
      <c r="V238"/>
      <c r="X238" s="33"/>
      <c r="Y238" s="20"/>
      <c r="Z238" s="20"/>
      <c r="AA238" s="20"/>
      <c r="AB238" s="20"/>
      <c r="AC238" s="20"/>
      <c r="AD238" s="17"/>
      <c r="AE238" s="17"/>
      <c r="AF238" s="20"/>
      <c r="AG238" s="17"/>
      <c r="AH238" s="20"/>
      <c r="AI238" s="17"/>
      <c r="AJ238" s="20"/>
      <c r="AK238" s="17"/>
      <c r="AL238" s="17"/>
      <c r="AM238" s="20"/>
      <c r="AN238" s="20"/>
      <c r="AO238" s="20"/>
      <c r="AP238" s="20"/>
      <c r="AQ238" s="17"/>
      <c r="AR238" s="17"/>
      <c r="AS238" s="20"/>
      <c r="AT238" s="17"/>
      <c r="AU238" s="17"/>
      <c r="AV238" s="17"/>
      <c r="AW238" s="17"/>
      <c r="AX238" s="17"/>
      <c r="AY238" s="17"/>
      <c r="AZ238" s="17"/>
      <c r="BA238" s="17"/>
      <c r="BB238" s="20"/>
      <c r="BC238" s="17"/>
      <c r="BD238" s="20"/>
      <c r="BE238" s="17"/>
      <c r="BF238" s="20"/>
      <c r="BG238" s="20"/>
      <c r="BH238" s="20"/>
      <c r="BI238" s="20"/>
    </row>
    <row r="239" spans="3:61" s="30" customFormat="1" ht="18" x14ac:dyDescent="0.35">
      <c r="C239" s="31"/>
      <c r="D239" s="31"/>
      <c r="E239" s="31"/>
      <c r="F239" s="19"/>
      <c r="G239" s="18"/>
      <c r="H239" s="18"/>
      <c r="I239" s="18"/>
      <c r="J239" s="18"/>
      <c r="K239" s="18"/>
      <c r="L239" s="18"/>
      <c r="M239" s="18"/>
      <c r="N239" s="18"/>
      <c r="P239"/>
      <c r="Q239"/>
      <c r="R239"/>
      <c r="S239"/>
      <c r="T239"/>
      <c r="U239"/>
      <c r="V239"/>
      <c r="X239" s="33"/>
      <c r="Y239" s="20"/>
      <c r="Z239" s="20"/>
      <c r="AA239" s="20"/>
      <c r="AB239" s="20"/>
      <c r="AC239" s="20"/>
      <c r="AD239" s="17"/>
      <c r="AE239" s="17"/>
      <c r="AF239" s="20"/>
      <c r="AG239" s="17"/>
      <c r="AH239" s="20"/>
      <c r="AI239" s="17"/>
      <c r="AJ239" s="20"/>
      <c r="AK239" s="17"/>
      <c r="AL239" s="17"/>
      <c r="AM239" s="20"/>
      <c r="AN239" s="20"/>
      <c r="AO239" s="20"/>
      <c r="AP239" s="20"/>
      <c r="AQ239" s="17"/>
      <c r="AR239" s="17"/>
      <c r="AS239" s="20"/>
      <c r="AT239" s="17"/>
      <c r="AU239" s="17"/>
      <c r="AV239" s="17"/>
      <c r="AW239" s="17"/>
      <c r="AX239" s="17"/>
      <c r="AY239" s="17"/>
      <c r="AZ239" s="17"/>
      <c r="BA239" s="17"/>
      <c r="BB239" s="20"/>
      <c r="BC239" s="17"/>
      <c r="BD239" s="20"/>
      <c r="BE239" s="17"/>
      <c r="BF239" s="20"/>
      <c r="BG239" s="20"/>
      <c r="BH239" s="20"/>
      <c r="BI239" s="20"/>
    </row>
    <row r="240" spans="3:61" s="30" customFormat="1" ht="18" x14ac:dyDescent="0.35">
      <c r="C240" s="31"/>
      <c r="D240" s="31"/>
      <c r="E240" s="31"/>
      <c r="F240" s="19"/>
      <c r="G240" s="18"/>
      <c r="H240" s="18"/>
      <c r="I240" s="18"/>
      <c r="J240" s="18"/>
      <c r="K240" s="18"/>
      <c r="L240" s="18"/>
      <c r="M240" s="18"/>
      <c r="N240" s="18"/>
      <c r="P240"/>
      <c r="Q240"/>
      <c r="R240"/>
      <c r="S240"/>
      <c r="T240"/>
      <c r="U240"/>
      <c r="V240"/>
      <c r="X240" s="33"/>
      <c r="Y240" s="20"/>
      <c r="Z240" s="20"/>
      <c r="AA240" s="20"/>
      <c r="AB240" s="20"/>
      <c r="AC240" s="20"/>
      <c r="AD240" s="17"/>
      <c r="AE240" s="17"/>
      <c r="AF240" s="20"/>
      <c r="AG240" s="17"/>
      <c r="AH240" s="20"/>
      <c r="AI240" s="17"/>
      <c r="AJ240" s="20"/>
      <c r="AK240" s="17"/>
      <c r="AL240" s="17"/>
      <c r="AM240" s="20"/>
      <c r="AN240" s="20"/>
      <c r="AO240" s="20"/>
      <c r="AP240" s="20"/>
      <c r="AQ240" s="17"/>
      <c r="AR240" s="17"/>
      <c r="AS240" s="20"/>
      <c r="AT240" s="17"/>
      <c r="AU240" s="17"/>
      <c r="AV240" s="17"/>
      <c r="AW240" s="17"/>
      <c r="AX240" s="17"/>
      <c r="AY240" s="17"/>
      <c r="AZ240" s="17"/>
      <c r="BA240" s="17"/>
      <c r="BB240" s="20"/>
      <c r="BC240" s="17"/>
      <c r="BD240" s="20"/>
      <c r="BE240" s="17"/>
      <c r="BF240" s="20"/>
      <c r="BG240" s="20"/>
      <c r="BH240" s="20"/>
      <c r="BI240" s="20"/>
    </row>
    <row r="241" spans="3:61" s="30" customFormat="1" ht="18" x14ac:dyDescent="0.35">
      <c r="C241" s="31"/>
      <c r="D241" s="31"/>
      <c r="E241" s="31"/>
      <c r="F241" s="19"/>
      <c r="G241" s="18"/>
      <c r="H241" s="18"/>
      <c r="I241" s="18"/>
      <c r="J241" s="18"/>
      <c r="K241" s="18"/>
      <c r="L241" s="18"/>
      <c r="M241" s="18"/>
      <c r="N241" s="18"/>
      <c r="P241"/>
      <c r="Q241"/>
      <c r="R241"/>
      <c r="S241"/>
      <c r="T241"/>
      <c r="U241"/>
      <c r="V241"/>
      <c r="X241" s="33"/>
      <c r="Y241" s="20"/>
      <c r="Z241" s="20"/>
      <c r="AA241" s="20"/>
      <c r="AB241" s="20"/>
      <c r="AC241" s="20"/>
      <c r="AD241" s="17"/>
      <c r="AE241" s="17"/>
      <c r="AF241" s="20"/>
      <c r="AG241" s="17"/>
      <c r="AH241" s="20"/>
      <c r="AI241" s="17"/>
      <c r="AJ241" s="20"/>
      <c r="AK241" s="17"/>
      <c r="AL241" s="17"/>
      <c r="AM241" s="20"/>
      <c r="AN241" s="20"/>
      <c r="AO241" s="20"/>
      <c r="AP241" s="20"/>
      <c r="AQ241" s="17"/>
      <c r="AR241" s="17"/>
      <c r="AS241" s="20"/>
      <c r="AT241" s="17"/>
      <c r="AU241" s="17"/>
      <c r="AV241" s="17"/>
      <c r="AW241" s="17"/>
      <c r="AX241" s="17"/>
      <c r="AY241" s="17"/>
      <c r="AZ241" s="17"/>
      <c r="BA241" s="17"/>
      <c r="BB241" s="20"/>
      <c r="BC241" s="17"/>
      <c r="BD241" s="20"/>
      <c r="BE241" s="17"/>
      <c r="BF241" s="20"/>
      <c r="BG241" s="20"/>
      <c r="BH241" s="20"/>
      <c r="BI241" s="20"/>
    </row>
    <row r="242" spans="3:61" s="30" customFormat="1" ht="18" x14ac:dyDescent="0.35">
      <c r="C242" s="31"/>
      <c r="D242" s="31"/>
      <c r="E242" s="31"/>
      <c r="F242" s="19"/>
      <c r="G242" s="18"/>
      <c r="H242" s="18"/>
      <c r="I242" s="18"/>
      <c r="J242" s="18"/>
      <c r="K242" s="18"/>
      <c r="L242" s="18"/>
      <c r="M242" s="18"/>
      <c r="N242" s="18"/>
      <c r="P242"/>
      <c r="Q242"/>
      <c r="R242"/>
      <c r="S242"/>
      <c r="T242"/>
      <c r="U242"/>
      <c r="V242"/>
      <c r="X242" s="33"/>
      <c r="Y242" s="20"/>
      <c r="Z242" s="20"/>
      <c r="AA242" s="20"/>
      <c r="AB242" s="20"/>
      <c r="AC242" s="20"/>
      <c r="AD242" s="17"/>
      <c r="AE242" s="17"/>
      <c r="AF242" s="20"/>
      <c r="AG242" s="17"/>
      <c r="AH242" s="20"/>
      <c r="AI242" s="17"/>
      <c r="AJ242" s="20"/>
      <c r="AK242" s="17"/>
      <c r="AL242" s="17"/>
      <c r="AM242" s="20"/>
      <c r="AN242" s="20"/>
      <c r="AO242" s="20"/>
      <c r="AP242" s="20"/>
      <c r="AQ242" s="17"/>
      <c r="AR242" s="17"/>
      <c r="AS242" s="20"/>
      <c r="AT242" s="17"/>
      <c r="AU242" s="17"/>
      <c r="AV242" s="17"/>
      <c r="AW242" s="17"/>
      <c r="AX242" s="17"/>
      <c r="AY242" s="17"/>
      <c r="AZ242" s="17"/>
      <c r="BA242" s="17"/>
      <c r="BB242" s="20"/>
      <c r="BC242" s="17"/>
      <c r="BD242" s="20"/>
      <c r="BE242" s="17"/>
      <c r="BF242" s="20"/>
      <c r="BG242" s="20"/>
      <c r="BH242" s="20"/>
      <c r="BI242" s="20"/>
    </row>
    <row r="243" spans="3:61" s="30" customFormat="1" ht="18" x14ac:dyDescent="0.35">
      <c r="C243" s="31"/>
      <c r="D243" s="31"/>
      <c r="E243" s="31"/>
      <c r="F243" s="19"/>
      <c r="G243" s="18"/>
      <c r="H243" s="18"/>
      <c r="I243" s="18"/>
      <c r="J243" s="18"/>
      <c r="K243" s="18"/>
      <c r="L243" s="18"/>
      <c r="M243" s="18"/>
      <c r="N243" s="18"/>
      <c r="P243"/>
      <c r="Q243"/>
      <c r="R243"/>
      <c r="S243"/>
      <c r="T243"/>
      <c r="U243"/>
      <c r="V243"/>
      <c r="X243" s="33"/>
      <c r="Y243" s="20"/>
      <c r="Z243" s="20"/>
      <c r="AA243" s="20"/>
      <c r="AB243" s="20"/>
      <c r="AC243" s="20"/>
      <c r="AD243" s="17"/>
      <c r="AE243" s="17"/>
      <c r="AF243" s="20"/>
      <c r="AG243" s="17"/>
      <c r="AH243" s="20"/>
      <c r="AI243" s="17"/>
      <c r="AJ243" s="20"/>
      <c r="AK243" s="17"/>
      <c r="AL243" s="17"/>
      <c r="AM243" s="20"/>
      <c r="AN243" s="20"/>
      <c r="AO243" s="20"/>
      <c r="AP243" s="20"/>
      <c r="AQ243" s="17"/>
      <c r="AR243" s="17"/>
      <c r="AS243" s="20"/>
      <c r="AT243" s="17"/>
      <c r="AU243" s="17"/>
      <c r="AV243" s="17"/>
      <c r="AW243" s="17"/>
      <c r="AX243" s="17"/>
      <c r="AY243" s="17"/>
      <c r="AZ243" s="17"/>
      <c r="BA243" s="17"/>
      <c r="BB243" s="20"/>
      <c r="BC243" s="17"/>
      <c r="BD243" s="20"/>
      <c r="BE243" s="17"/>
      <c r="BF243" s="20"/>
      <c r="BG243" s="20"/>
      <c r="BH243" s="20"/>
      <c r="BI243" s="20"/>
    </row>
    <row r="244" spans="3:61" s="30" customFormat="1" ht="18" x14ac:dyDescent="0.35">
      <c r="C244" s="31"/>
      <c r="D244" s="31"/>
      <c r="E244" s="31"/>
      <c r="F244" s="19"/>
      <c r="G244" s="18"/>
      <c r="H244" s="18"/>
      <c r="I244" s="18"/>
      <c r="J244" s="18"/>
      <c r="K244" s="18"/>
      <c r="L244" s="18"/>
      <c r="M244" s="18"/>
      <c r="N244" s="18"/>
      <c r="P244"/>
      <c r="Q244"/>
      <c r="R244"/>
      <c r="S244"/>
      <c r="T244"/>
      <c r="U244"/>
      <c r="V244"/>
      <c r="X244" s="33"/>
      <c r="Y244" s="20"/>
      <c r="Z244" s="20"/>
      <c r="AA244" s="20"/>
      <c r="AB244" s="20"/>
      <c r="AC244" s="20"/>
      <c r="AD244" s="17"/>
      <c r="AE244" s="17"/>
      <c r="AF244" s="20"/>
      <c r="AG244" s="17"/>
      <c r="AH244" s="20"/>
      <c r="AI244" s="17"/>
      <c r="AJ244" s="20"/>
      <c r="AK244" s="17"/>
      <c r="AL244" s="17"/>
      <c r="AM244" s="20"/>
      <c r="AN244" s="20"/>
      <c r="AO244" s="20"/>
      <c r="AP244" s="20"/>
      <c r="AQ244" s="17"/>
      <c r="AR244" s="17"/>
      <c r="AS244" s="20"/>
      <c r="AT244" s="17"/>
      <c r="AU244" s="17"/>
      <c r="AV244" s="17"/>
      <c r="AW244" s="17"/>
      <c r="AX244" s="17"/>
      <c r="AY244" s="17"/>
      <c r="AZ244" s="17"/>
      <c r="BA244" s="17"/>
      <c r="BB244" s="20"/>
      <c r="BC244" s="17"/>
      <c r="BD244" s="20"/>
      <c r="BE244" s="17"/>
      <c r="BF244" s="20"/>
      <c r="BG244" s="20"/>
      <c r="BH244" s="20"/>
      <c r="BI244" s="20"/>
    </row>
    <row r="245" spans="3:61" s="30" customFormat="1" ht="18" x14ac:dyDescent="0.35">
      <c r="C245" s="31"/>
      <c r="D245" s="31"/>
      <c r="E245" s="31"/>
      <c r="F245" s="19"/>
      <c r="G245" s="18"/>
      <c r="H245" s="18"/>
      <c r="I245" s="18"/>
      <c r="J245" s="18"/>
      <c r="K245" s="18"/>
      <c r="L245" s="18"/>
      <c r="M245" s="18"/>
      <c r="N245" s="18"/>
      <c r="P245"/>
      <c r="Q245"/>
      <c r="R245"/>
      <c r="S245"/>
      <c r="T245"/>
      <c r="U245"/>
      <c r="V245"/>
      <c r="X245" s="33"/>
      <c r="Y245" s="20"/>
      <c r="Z245" s="20"/>
      <c r="AA245" s="20"/>
      <c r="AB245" s="20"/>
      <c r="AC245" s="20"/>
      <c r="AD245" s="17"/>
      <c r="AE245" s="17"/>
      <c r="AF245" s="20"/>
      <c r="AG245" s="17"/>
      <c r="AH245" s="20"/>
      <c r="AI245" s="17"/>
      <c r="AJ245" s="20"/>
      <c r="AK245" s="17"/>
      <c r="AL245" s="17"/>
      <c r="AM245" s="20"/>
      <c r="AN245" s="20"/>
      <c r="AO245" s="20"/>
      <c r="AP245" s="20"/>
      <c r="AQ245" s="17"/>
      <c r="AR245" s="17"/>
      <c r="AS245" s="20"/>
      <c r="AT245" s="17"/>
      <c r="AU245" s="17"/>
      <c r="AV245" s="17"/>
      <c r="AW245" s="17"/>
      <c r="AX245" s="17"/>
      <c r="AY245" s="17"/>
      <c r="AZ245" s="17"/>
      <c r="BA245" s="17"/>
      <c r="BB245" s="20"/>
      <c r="BC245" s="17"/>
      <c r="BD245" s="20"/>
      <c r="BE245" s="17"/>
      <c r="BF245" s="20"/>
      <c r="BG245" s="20"/>
      <c r="BH245" s="20"/>
      <c r="BI245" s="20"/>
    </row>
    <row r="246" spans="3:61" s="30" customFormat="1" ht="18" x14ac:dyDescent="0.35">
      <c r="C246" s="31"/>
      <c r="D246" s="31"/>
      <c r="E246" s="31"/>
      <c r="F246" s="19"/>
      <c r="G246" s="18"/>
      <c r="H246" s="18"/>
      <c r="I246" s="18"/>
      <c r="J246" s="18"/>
      <c r="K246" s="18"/>
      <c r="L246" s="18"/>
      <c r="M246" s="18"/>
      <c r="N246" s="18"/>
      <c r="P246"/>
      <c r="Q246"/>
      <c r="R246"/>
      <c r="S246"/>
      <c r="T246"/>
      <c r="U246"/>
      <c r="V246"/>
      <c r="X246" s="33"/>
      <c r="Y246" s="20"/>
      <c r="Z246" s="20"/>
      <c r="AA246" s="20"/>
      <c r="AB246" s="20"/>
      <c r="AC246" s="20"/>
      <c r="AD246" s="17"/>
      <c r="AE246" s="17"/>
      <c r="AF246" s="20"/>
      <c r="AG246" s="17"/>
      <c r="AH246" s="20"/>
      <c r="AI246" s="17"/>
      <c r="AJ246" s="20"/>
      <c r="AK246" s="17"/>
      <c r="AL246" s="17"/>
      <c r="AM246" s="20"/>
      <c r="AN246" s="20"/>
      <c r="AO246" s="20"/>
      <c r="AP246" s="20"/>
      <c r="AQ246" s="17"/>
      <c r="AR246" s="17"/>
      <c r="AS246" s="20"/>
      <c r="AT246" s="17"/>
      <c r="AU246" s="17"/>
      <c r="AV246" s="17"/>
      <c r="AW246" s="17"/>
      <c r="AX246" s="17"/>
      <c r="AY246" s="17"/>
      <c r="AZ246" s="17"/>
      <c r="BA246" s="17"/>
      <c r="BB246" s="20"/>
      <c r="BC246" s="17"/>
      <c r="BD246" s="20"/>
      <c r="BE246" s="17"/>
      <c r="BF246" s="20"/>
      <c r="BG246" s="20"/>
      <c r="BH246" s="20"/>
      <c r="BI246" s="20"/>
    </row>
    <row r="247" spans="3:61" s="30" customFormat="1" ht="18" x14ac:dyDescent="0.35">
      <c r="C247" s="31"/>
      <c r="D247" s="31"/>
      <c r="E247" s="31"/>
      <c r="F247" s="19"/>
      <c r="G247" s="18"/>
      <c r="H247" s="18"/>
      <c r="I247" s="18"/>
      <c r="J247" s="18"/>
      <c r="K247" s="18"/>
      <c r="L247" s="18"/>
      <c r="M247" s="18"/>
      <c r="N247" s="18"/>
      <c r="P247"/>
      <c r="Q247"/>
      <c r="R247"/>
      <c r="S247"/>
      <c r="T247"/>
      <c r="U247"/>
      <c r="V247"/>
      <c r="X247" s="33"/>
      <c r="Y247" s="20"/>
      <c r="Z247" s="20"/>
      <c r="AA247" s="20"/>
      <c r="AB247" s="20"/>
      <c r="AC247" s="20"/>
      <c r="AD247" s="17"/>
      <c r="AE247" s="17"/>
      <c r="AF247" s="20"/>
      <c r="AG247" s="17"/>
      <c r="AH247" s="20"/>
      <c r="AI247" s="17"/>
      <c r="AJ247" s="20"/>
      <c r="AK247" s="17"/>
      <c r="AL247" s="17"/>
      <c r="AM247" s="20"/>
      <c r="AN247" s="20"/>
      <c r="AO247" s="20"/>
      <c r="AP247" s="20"/>
      <c r="AQ247" s="17"/>
      <c r="AR247" s="17"/>
      <c r="AS247" s="20"/>
      <c r="AT247" s="17"/>
      <c r="AU247" s="17"/>
      <c r="AV247" s="17"/>
      <c r="AW247" s="17"/>
      <c r="AX247" s="17"/>
      <c r="AY247" s="17"/>
      <c r="AZ247" s="17"/>
      <c r="BA247" s="17"/>
      <c r="BB247" s="20"/>
      <c r="BC247" s="17"/>
      <c r="BD247" s="20"/>
      <c r="BE247" s="17"/>
      <c r="BF247" s="20"/>
      <c r="BG247" s="20"/>
      <c r="BH247" s="20"/>
      <c r="BI247" s="20"/>
    </row>
    <row r="248" spans="3:61" s="30" customFormat="1" ht="18" x14ac:dyDescent="0.35">
      <c r="C248" s="31"/>
      <c r="D248" s="31"/>
      <c r="E248" s="31"/>
      <c r="F248" s="19"/>
      <c r="G248" s="18"/>
      <c r="H248" s="18"/>
      <c r="I248" s="18"/>
      <c r="J248" s="18"/>
      <c r="K248" s="18"/>
      <c r="L248" s="18"/>
      <c r="M248" s="18"/>
      <c r="N248" s="18"/>
      <c r="P248"/>
      <c r="Q248"/>
      <c r="R248"/>
      <c r="S248"/>
      <c r="T248"/>
      <c r="U248"/>
      <c r="V248"/>
      <c r="X248" s="33"/>
      <c r="Y248" s="20"/>
      <c r="Z248" s="20"/>
      <c r="AA248" s="20"/>
      <c r="AB248" s="20"/>
      <c r="AC248" s="20"/>
      <c r="AD248" s="17"/>
      <c r="AE248" s="17"/>
      <c r="AF248" s="20"/>
      <c r="AG248" s="17"/>
      <c r="AH248" s="20"/>
      <c r="AI248" s="17"/>
      <c r="AJ248" s="20"/>
      <c r="AK248" s="17"/>
      <c r="AL248" s="17"/>
      <c r="AM248" s="20"/>
      <c r="AN248" s="20"/>
      <c r="AO248" s="20"/>
      <c r="AP248" s="20"/>
      <c r="AQ248" s="17"/>
      <c r="AR248" s="17"/>
      <c r="AS248" s="20"/>
      <c r="AT248" s="17"/>
      <c r="AU248" s="17"/>
      <c r="AV248" s="17"/>
      <c r="AW248" s="17"/>
      <c r="AX248" s="17"/>
      <c r="AY248" s="17"/>
      <c r="AZ248" s="17"/>
      <c r="BA248" s="17"/>
      <c r="BB248" s="20"/>
      <c r="BC248" s="17"/>
      <c r="BD248" s="20"/>
      <c r="BE248" s="17"/>
      <c r="BF248" s="20"/>
      <c r="BG248" s="20"/>
      <c r="BH248" s="20"/>
      <c r="BI248" s="20"/>
    </row>
    <row r="249" spans="3:61" s="30" customFormat="1" ht="18" x14ac:dyDescent="0.35">
      <c r="C249" s="31"/>
      <c r="D249" s="31"/>
      <c r="E249" s="31"/>
      <c r="F249" s="19"/>
      <c r="G249" s="18"/>
      <c r="H249" s="18"/>
      <c r="I249" s="18"/>
      <c r="J249" s="18"/>
      <c r="K249" s="18"/>
      <c r="L249" s="18"/>
      <c r="M249" s="18"/>
      <c r="N249" s="18"/>
      <c r="P249"/>
      <c r="Q249"/>
      <c r="R249"/>
      <c r="S249"/>
      <c r="T249"/>
      <c r="U249"/>
      <c r="V249"/>
      <c r="X249" s="33"/>
      <c r="Y249" s="20"/>
      <c r="Z249" s="20"/>
      <c r="AA249" s="20"/>
      <c r="AB249" s="20"/>
      <c r="AC249" s="20"/>
      <c r="AD249" s="17"/>
      <c r="AE249" s="17"/>
      <c r="AF249" s="20"/>
      <c r="AG249" s="17"/>
      <c r="AH249" s="20"/>
      <c r="AI249" s="17"/>
      <c r="AJ249" s="20"/>
      <c r="AK249" s="17"/>
      <c r="AL249" s="17"/>
      <c r="AM249" s="20"/>
      <c r="AN249" s="20"/>
      <c r="AO249" s="20"/>
      <c r="AP249" s="20"/>
      <c r="AQ249" s="17"/>
      <c r="AR249" s="17"/>
      <c r="AS249" s="20"/>
      <c r="AT249" s="17"/>
      <c r="AU249" s="17"/>
      <c r="AV249" s="17"/>
      <c r="AW249" s="17"/>
      <c r="AX249" s="17"/>
      <c r="AY249" s="17"/>
      <c r="AZ249" s="17"/>
      <c r="BA249" s="17"/>
      <c r="BB249" s="20"/>
      <c r="BC249" s="17"/>
      <c r="BD249" s="20"/>
      <c r="BE249" s="17"/>
      <c r="BF249" s="20"/>
      <c r="BG249" s="20"/>
      <c r="BH249" s="20"/>
      <c r="BI249" s="20"/>
    </row>
    <row r="250" spans="3:61" s="30" customFormat="1" ht="18" x14ac:dyDescent="0.35">
      <c r="C250" s="31"/>
      <c r="D250" s="31"/>
      <c r="E250" s="31"/>
      <c r="F250" s="19"/>
      <c r="G250" s="18"/>
      <c r="H250" s="18"/>
      <c r="I250" s="18"/>
      <c r="J250" s="18"/>
      <c r="K250" s="18"/>
      <c r="L250" s="18"/>
      <c r="M250" s="18"/>
      <c r="N250" s="18"/>
      <c r="P250"/>
      <c r="Q250"/>
      <c r="R250"/>
      <c r="S250"/>
      <c r="T250"/>
      <c r="U250"/>
      <c r="V250"/>
      <c r="X250" s="33"/>
      <c r="Y250" s="20"/>
      <c r="Z250" s="20"/>
      <c r="AA250" s="20"/>
      <c r="AB250" s="20"/>
      <c r="AC250" s="20"/>
      <c r="AD250" s="17"/>
      <c r="AE250" s="17"/>
      <c r="AF250" s="20"/>
      <c r="AG250" s="17"/>
      <c r="AH250" s="20"/>
      <c r="AI250" s="17"/>
      <c r="AJ250" s="20"/>
      <c r="AK250" s="17"/>
      <c r="AL250" s="17"/>
      <c r="AM250" s="20"/>
      <c r="AN250" s="20"/>
      <c r="AO250" s="20"/>
      <c r="AP250" s="20"/>
      <c r="AQ250" s="17"/>
      <c r="AR250" s="17"/>
      <c r="AS250" s="20"/>
      <c r="AT250" s="17"/>
      <c r="AU250" s="17"/>
      <c r="AV250" s="17"/>
      <c r="AW250" s="17"/>
      <c r="AX250" s="17"/>
      <c r="AY250" s="17"/>
      <c r="AZ250" s="17"/>
      <c r="BA250" s="17"/>
      <c r="BB250" s="20"/>
      <c r="BC250" s="17"/>
      <c r="BD250" s="20"/>
      <c r="BE250" s="17"/>
      <c r="BF250" s="20"/>
      <c r="BG250" s="20"/>
      <c r="BH250" s="20"/>
      <c r="BI250" s="20"/>
    </row>
    <row r="251" spans="3:61" s="30" customFormat="1" ht="18" x14ac:dyDescent="0.35">
      <c r="C251" s="31"/>
      <c r="D251" s="31"/>
      <c r="E251" s="31"/>
      <c r="F251" s="19"/>
      <c r="G251" s="18"/>
      <c r="H251" s="18"/>
      <c r="I251" s="18"/>
      <c r="J251" s="18"/>
      <c r="K251" s="18"/>
      <c r="L251" s="18"/>
      <c r="M251" s="18"/>
      <c r="N251" s="18"/>
      <c r="P251"/>
      <c r="Q251"/>
      <c r="R251"/>
      <c r="S251"/>
      <c r="T251"/>
      <c r="U251"/>
      <c r="V251"/>
      <c r="X251" s="33"/>
      <c r="Y251" s="20"/>
      <c r="Z251" s="20"/>
      <c r="AA251" s="20"/>
      <c r="AB251" s="20"/>
      <c r="AC251" s="20"/>
      <c r="AD251" s="17"/>
      <c r="AE251" s="17"/>
      <c r="AF251" s="20"/>
      <c r="AG251" s="17"/>
      <c r="AH251" s="20"/>
      <c r="AI251" s="17"/>
      <c r="AJ251" s="20"/>
      <c r="AK251" s="17"/>
      <c r="AL251" s="17"/>
      <c r="AM251" s="20"/>
      <c r="AN251" s="20"/>
      <c r="AO251" s="20"/>
      <c r="AP251" s="20"/>
      <c r="AQ251" s="17"/>
      <c r="AR251" s="17"/>
      <c r="AS251" s="20"/>
      <c r="AT251" s="17"/>
      <c r="AU251" s="17"/>
      <c r="AV251" s="17"/>
      <c r="AW251" s="17"/>
      <c r="AX251" s="17"/>
      <c r="AY251" s="17"/>
      <c r="AZ251" s="17"/>
      <c r="BA251" s="17"/>
      <c r="BB251" s="20"/>
      <c r="BC251" s="17"/>
      <c r="BD251" s="20"/>
      <c r="BE251" s="17"/>
      <c r="BF251" s="20"/>
      <c r="BG251" s="20"/>
      <c r="BH251" s="20"/>
      <c r="BI251" s="20"/>
    </row>
    <row r="252" spans="3:61" s="30" customFormat="1" ht="18" x14ac:dyDescent="0.35">
      <c r="C252" s="31"/>
      <c r="D252" s="31"/>
      <c r="E252" s="31"/>
      <c r="F252" s="19"/>
      <c r="G252" s="18"/>
      <c r="H252" s="18"/>
      <c r="I252" s="18"/>
      <c r="J252" s="18"/>
      <c r="K252" s="18"/>
      <c r="L252" s="18"/>
      <c r="M252" s="18"/>
      <c r="N252" s="18"/>
      <c r="P252"/>
      <c r="Q252"/>
      <c r="R252"/>
      <c r="S252"/>
      <c r="T252"/>
      <c r="U252"/>
      <c r="V252"/>
      <c r="X252" s="33"/>
      <c r="Y252" s="20"/>
      <c r="Z252" s="20"/>
      <c r="AA252" s="20"/>
      <c r="AB252" s="20"/>
      <c r="AC252" s="20"/>
      <c r="AD252" s="17"/>
      <c r="AE252" s="17"/>
      <c r="AF252" s="20"/>
      <c r="AG252" s="17"/>
      <c r="AH252" s="20"/>
      <c r="AI252" s="17"/>
      <c r="AJ252" s="20"/>
      <c r="AK252" s="17"/>
      <c r="AL252" s="17"/>
      <c r="AM252" s="20"/>
      <c r="AN252" s="20"/>
      <c r="AO252" s="20"/>
      <c r="AP252" s="20"/>
      <c r="AQ252" s="17"/>
      <c r="AR252" s="17"/>
      <c r="AS252" s="20"/>
      <c r="AT252" s="17"/>
      <c r="AU252" s="17"/>
      <c r="AV252" s="17"/>
      <c r="AW252" s="17"/>
      <c r="AX252" s="17"/>
      <c r="AY252" s="17"/>
      <c r="AZ252" s="17"/>
      <c r="BA252" s="17"/>
      <c r="BB252" s="20"/>
      <c r="BC252" s="17"/>
      <c r="BD252" s="20"/>
      <c r="BE252" s="17"/>
      <c r="BF252" s="20"/>
      <c r="BG252" s="20"/>
      <c r="BH252" s="20"/>
      <c r="BI252" s="20"/>
    </row>
    <row r="253" spans="3:61" s="30" customFormat="1" ht="18" x14ac:dyDescent="0.35">
      <c r="C253" s="31"/>
      <c r="D253" s="31"/>
      <c r="E253" s="31"/>
      <c r="F253" s="19"/>
      <c r="G253" s="18"/>
      <c r="H253" s="18"/>
      <c r="I253" s="18"/>
      <c r="J253" s="18"/>
      <c r="K253" s="18"/>
      <c r="L253" s="18"/>
      <c r="M253" s="18"/>
      <c r="N253" s="18"/>
      <c r="P253"/>
      <c r="Q253"/>
      <c r="R253"/>
      <c r="S253"/>
      <c r="T253"/>
      <c r="U253"/>
      <c r="V253"/>
      <c r="X253" s="33"/>
      <c r="Y253" s="20"/>
      <c r="Z253" s="20"/>
      <c r="AA253" s="20"/>
      <c r="AB253" s="20"/>
      <c r="AC253" s="20"/>
      <c r="AD253" s="17"/>
      <c r="AE253" s="17"/>
      <c r="AF253" s="20"/>
      <c r="AG253" s="17"/>
      <c r="AH253" s="20"/>
      <c r="AI253" s="17"/>
      <c r="AJ253" s="20"/>
      <c r="AK253" s="17"/>
      <c r="AL253" s="17"/>
      <c r="AM253" s="20"/>
      <c r="AN253" s="20"/>
      <c r="AO253" s="20"/>
      <c r="AP253" s="20"/>
      <c r="AQ253" s="17"/>
      <c r="AR253" s="17"/>
      <c r="AS253" s="20"/>
      <c r="AT253" s="17"/>
      <c r="AU253" s="17"/>
      <c r="AV253" s="17"/>
      <c r="AW253" s="17"/>
      <c r="AX253" s="17"/>
      <c r="AY253" s="17"/>
      <c r="AZ253" s="17"/>
      <c r="BA253" s="17"/>
      <c r="BB253" s="20"/>
      <c r="BC253" s="17"/>
      <c r="BD253" s="20"/>
      <c r="BE253" s="17"/>
      <c r="BF253" s="20"/>
      <c r="BG253" s="20"/>
      <c r="BH253" s="20"/>
      <c r="BI253" s="20"/>
    </row>
    <row r="254" spans="3:61" s="30" customFormat="1" ht="18" x14ac:dyDescent="0.35">
      <c r="C254" s="31"/>
      <c r="D254" s="31"/>
      <c r="E254" s="31"/>
      <c r="F254" s="19"/>
      <c r="G254" s="18"/>
      <c r="H254" s="18"/>
      <c r="I254" s="18"/>
      <c r="J254" s="18"/>
      <c r="K254" s="18"/>
      <c r="L254" s="18"/>
      <c r="M254" s="18"/>
      <c r="N254" s="18"/>
      <c r="P254"/>
      <c r="Q254"/>
      <c r="R254"/>
      <c r="S254"/>
      <c r="T254"/>
      <c r="U254"/>
      <c r="V254"/>
      <c r="X254" s="33"/>
      <c r="Y254" s="20"/>
      <c r="Z254" s="20"/>
      <c r="AA254" s="20"/>
      <c r="AB254" s="20"/>
      <c r="AC254" s="20"/>
      <c r="AD254" s="17"/>
      <c r="AE254" s="17"/>
      <c r="AF254" s="20"/>
      <c r="AG254" s="17"/>
      <c r="AH254" s="20"/>
      <c r="AI254" s="17"/>
      <c r="AJ254" s="20"/>
      <c r="AK254" s="17"/>
      <c r="AL254" s="17"/>
      <c r="AM254" s="20"/>
      <c r="AN254" s="20"/>
      <c r="AO254" s="20"/>
      <c r="AP254" s="20"/>
      <c r="AQ254" s="17"/>
      <c r="AR254" s="17"/>
      <c r="AS254" s="20"/>
      <c r="AT254" s="17"/>
      <c r="AU254" s="17"/>
      <c r="AV254" s="17"/>
      <c r="AW254" s="17"/>
      <c r="AX254" s="17"/>
      <c r="AY254" s="17"/>
      <c r="AZ254" s="17"/>
      <c r="BA254" s="17"/>
      <c r="BB254" s="20"/>
      <c r="BC254" s="17"/>
      <c r="BD254" s="20"/>
      <c r="BE254" s="17"/>
      <c r="BF254" s="20"/>
      <c r="BG254" s="20"/>
      <c r="BH254" s="20"/>
      <c r="BI254" s="20"/>
    </row>
    <row r="255" spans="3:61" s="30" customFormat="1" ht="18" x14ac:dyDescent="0.35">
      <c r="C255" s="31"/>
      <c r="D255" s="31"/>
      <c r="E255" s="31"/>
      <c r="F255" s="19"/>
      <c r="G255" s="18"/>
      <c r="H255" s="18"/>
      <c r="I255" s="18"/>
      <c r="J255" s="18"/>
      <c r="K255" s="18"/>
      <c r="L255" s="18"/>
      <c r="M255" s="18"/>
      <c r="N255" s="18"/>
      <c r="P255"/>
      <c r="Q255"/>
      <c r="R255"/>
      <c r="S255"/>
      <c r="T255"/>
      <c r="U255"/>
      <c r="V255"/>
      <c r="X255" s="33"/>
      <c r="Y255" s="20"/>
      <c r="Z255" s="20"/>
      <c r="AA255" s="20"/>
      <c r="AB255" s="20"/>
      <c r="AC255" s="20"/>
      <c r="AD255" s="17"/>
      <c r="AE255" s="17"/>
      <c r="AF255" s="20"/>
      <c r="AG255" s="17"/>
      <c r="AH255" s="20"/>
      <c r="AI255" s="17"/>
      <c r="AJ255" s="20"/>
      <c r="AK255" s="17"/>
      <c r="AL255" s="17"/>
      <c r="AM255" s="20"/>
      <c r="AN255" s="20"/>
      <c r="AO255" s="20"/>
      <c r="AP255" s="20"/>
      <c r="AQ255" s="17"/>
      <c r="AR255" s="17"/>
      <c r="AS255" s="20"/>
      <c r="AT255" s="17"/>
      <c r="AU255" s="17"/>
      <c r="AV255" s="17"/>
      <c r="AW255" s="17"/>
      <c r="AX255" s="17"/>
      <c r="AY255" s="17"/>
      <c r="AZ255" s="17"/>
      <c r="BA255" s="17"/>
      <c r="BB255" s="20"/>
      <c r="BC255" s="17"/>
      <c r="BD255" s="20"/>
      <c r="BE255" s="17"/>
      <c r="BF255" s="20"/>
      <c r="BG255" s="20"/>
      <c r="BH255" s="20"/>
      <c r="BI255" s="20"/>
    </row>
    <row r="256" spans="3:61" s="30" customFormat="1" ht="18" x14ac:dyDescent="0.35">
      <c r="C256" s="31"/>
      <c r="D256" s="31"/>
      <c r="E256" s="31"/>
      <c r="F256" s="19"/>
      <c r="G256" s="18"/>
      <c r="H256" s="18"/>
      <c r="I256" s="18"/>
      <c r="J256" s="18"/>
      <c r="K256" s="18"/>
      <c r="L256" s="18"/>
      <c r="M256" s="18"/>
      <c r="N256" s="18"/>
      <c r="P256"/>
      <c r="Q256"/>
      <c r="R256"/>
      <c r="S256"/>
      <c r="T256"/>
      <c r="U256"/>
      <c r="V256"/>
      <c r="X256" s="33"/>
      <c r="Y256" s="20"/>
      <c r="Z256" s="20"/>
      <c r="AA256" s="20"/>
      <c r="AB256" s="20"/>
      <c r="AC256" s="20"/>
      <c r="AD256" s="17"/>
      <c r="AE256" s="17"/>
      <c r="AF256" s="20"/>
      <c r="AG256" s="17"/>
      <c r="AH256" s="20"/>
      <c r="AI256" s="17"/>
      <c r="AJ256" s="20"/>
      <c r="AK256" s="17"/>
      <c r="AL256" s="17"/>
      <c r="AM256" s="20"/>
      <c r="AN256" s="20"/>
      <c r="AO256" s="20"/>
      <c r="AP256" s="20"/>
      <c r="AQ256" s="17"/>
      <c r="AR256" s="17"/>
      <c r="AS256" s="20"/>
      <c r="AT256" s="17"/>
      <c r="AU256" s="17"/>
      <c r="AV256" s="17"/>
      <c r="AW256" s="17"/>
      <c r="AX256" s="17"/>
      <c r="AY256" s="17"/>
      <c r="AZ256" s="17"/>
      <c r="BA256" s="17"/>
      <c r="BB256" s="20"/>
      <c r="BC256" s="17"/>
      <c r="BD256" s="20"/>
      <c r="BE256" s="17"/>
      <c r="BF256" s="20"/>
      <c r="BG256" s="20"/>
      <c r="BH256" s="20"/>
      <c r="BI256" s="20"/>
    </row>
    <row r="257" spans="3:61" s="30" customFormat="1" ht="18" x14ac:dyDescent="0.35">
      <c r="C257" s="31"/>
      <c r="D257" s="31"/>
      <c r="E257" s="31"/>
      <c r="F257" s="19"/>
      <c r="G257" s="18"/>
      <c r="H257" s="18"/>
      <c r="I257" s="18"/>
      <c r="J257" s="18"/>
      <c r="K257" s="18"/>
      <c r="L257" s="18"/>
      <c r="M257" s="18"/>
      <c r="N257" s="18"/>
      <c r="P257"/>
      <c r="Q257"/>
      <c r="R257"/>
      <c r="S257"/>
      <c r="T257"/>
      <c r="U257"/>
      <c r="V257"/>
      <c r="X257" s="33"/>
      <c r="Y257" s="20"/>
      <c r="Z257" s="20"/>
      <c r="AA257" s="20"/>
      <c r="AB257" s="20"/>
      <c r="AC257" s="20"/>
      <c r="AD257" s="17"/>
      <c r="AE257" s="17"/>
      <c r="AF257" s="20"/>
      <c r="AG257" s="17"/>
      <c r="AH257" s="20"/>
      <c r="AI257" s="17"/>
      <c r="AJ257" s="20"/>
      <c r="AK257" s="17"/>
      <c r="AL257" s="17"/>
      <c r="AM257" s="20"/>
      <c r="AN257" s="20"/>
      <c r="AO257" s="20"/>
      <c r="AP257" s="20"/>
      <c r="AQ257" s="17"/>
      <c r="AR257" s="17"/>
      <c r="AS257" s="20"/>
      <c r="AT257" s="17"/>
      <c r="AU257" s="17"/>
      <c r="AV257" s="17"/>
      <c r="AW257" s="17"/>
      <c r="AX257" s="17"/>
      <c r="AY257" s="17"/>
      <c r="AZ257" s="17"/>
      <c r="BA257" s="17"/>
      <c r="BB257" s="20"/>
      <c r="BC257" s="17"/>
      <c r="BD257" s="20"/>
      <c r="BE257" s="17"/>
      <c r="BF257" s="20"/>
      <c r="BG257" s="20"/>
      <c r="BH257" s="20"/>
      <c r="BI257" s="20"/>
    </row>
    <row r="258" spans="3:61" s="30" customFormat="1" ht="18" x14ac:dyDescent="0.35">
      <c r="C258" s="31"/>
      <c r="D258" s="31"/>
      <c r="E258" s="31"/>
      <c r="F258" s="19"/>
      <c r="G258" s="18"/>
      <c r="H258" s="18"/>
      <c r="I258" s="18"/>
      <c r="J258" s="18"/>
      <c r="K258" s="18"/>
      <c r="L258" s="18"/>
      <c r="M258" s="18"/>
      <c r="N258" s="18"/>
      <c r="P258"/>
      <c r="Q258"/>
      <c r="R258"/>
      <c r="S258"/>
      <c r="T258"/>
      <c r="U258"/>
      <c r="V258"/>
      <c r="X258" s="33"/>
      <c r="Y258" s="20"/>
      <c r="Z258" s="20"/>
      <c r="AA258" s="20"/>
      <c r="AB258" s="20"/>
      <c r="AC258" s="20"/>
      <c r="AD258" s="17"/>
      <c r="AE258" s="17"/>
      <c r="AF258" s="20"/>
      <c r="AG258" s="17"/>
      <c r="AH258" s="20"/>
      <c r="AI258" s="17"/>
      <c r="AJ258" s="20"/>
      <c r="AK258" s="17"/>
      <c r="AL258" s="17"/>
      <c r="AM258" s="20"/>
      <c r="AN258" s="20"/>
      <c r="AO258" s="20"/>
      <c r="AP258" s="20"/>
      <c r="AQ258" s="17"/>
      <c r="AR258" s="17"/>
      <c r="AS258" s="20"/>
      <c r="AT258" s="17"/>
      <c r="AU258" s="17"/>
      <c r="AV258" s="17"/>
      <c r="AW258" s="17"/>
      <c r="AX258" s="17"/>
      <c r="AY258" s="17"/>
      <c r="AZ258" s="17"/>
      <c r="BA258" s="17"/>
      <c r="BB258" s="20"/>
      <c r="BC258" s="17"/>
      <c r="BD258" s="20"/>
      <c r="BE258" s="17"/>
      <c r="BF258" s="20"/>
      <c r="BG258" s="20"/>
      <c r="BH258" s="20"/>
      <c r="BI258" s="20"/>
    </row>
    <row r="259" spans="3:61" s="30" customFormat="1" ht="18" x14ac:dyDescent="0.35">
      <c r="C259" s="31"/>
      <c r="D259" s="31"/>
      <c r="E259" s="31"/>
      <c r="F259" s="19"/>
      <c r="G259" s="18"/>
      <c r="H259" s="18"/>
      <c r="I259" s="18"/>
      <c r="J259" s="18"/>
      <c r="K259" s="18"/>
      <c r="L259" s="18"/>
      <c r="M259" s="18"/>
      <c r="N259" s="18"/>
      <c r="P259"/>
      <c r="Q259"/>
      <c r="R259"/>
      <c r="S259"/>
      <c r="T259"/>
      <c r="U259"/>
      <c r="V259"/>
      <c r="X259" s="33"/>
      <c r="Y259" s="20"/>
      <c r="Z259" s="20"/>
      <c r="AA259" s="20"/>
      <c r="AB259" s="20"/>
      <c r="AC259" s="20"/>
      <c r="AD259" s="17"/>
      <c r="AE259" s="17"/>
      <c r="AF259" s="20"/>
      <c r="AG259" s="17"/>
      <c r="AH259" s="20"/>
      <c r="AI259" s="17"/>
      <c r="AJ259" s="20"/>
      <c r="AK259" s="17"/>
      <c r="AL259" s="17"/>
      <c r="AM259" s="20"/>
      <c r="AN259" s="20"/>
      <c r="AO259" s="20"/>
      <c r="AP259" s="20"/>
      <c r="AQ259" s="17"/>
      <c r="AR259" s="17"/>
      <c r="AS259" s="20"/>
      <c r="AT259" s="17"/>
      <c r="AU259" s="17"/>
      <c r="AV259" s="17"/>
      <c r="AW259" s="17"/>
      <c r="AX259" s="17"/>
      <c r="AY259" s="17"/>
      <c r="AZ259" s="17"/>
      <c r="BA259" s="17"/>
      <c r="BB259" s="20"/>
      <c r="BC259" s="17"/>
      <c r="BD259" s="20"/>
      <c r="BE259" s="17"/>
      <c r="BF259" s="20"/>
      <c r="BG259" s="20"/>
      <c r="BH259" s="20"/>
      <c r="BI259" s="20"/>
    </row>
    <row r="260" spans="3:61" s="30" customFormat="1" ht="18" x14ac:dyDescent="0.35">
      <c r="C260" s="31"/>
      <c r="D260" s="31"/>
      <c r="E260" s="31"/>
      <c r="F260" s="19"/>
      <c r="G260" s="18"/>
      <c r="H260" s="18"/>
      <c r="I260" s="18"/>
      <c r="J260" s="18"/>
      <c r="K260" s="18"/>
      <c r="L260" s="18"/>
      <c r="M260" s="18"/>
      <c r="N260" s="18"/>
      <c r="P260"/>
      <c r="Q260"/>
      <c r="R260"/>
      <c r="S260"/>
      <c r="T260"/>
      <c r="U260"/>
      <c r="V260"/>
      <c r="X260" s="33"/>
      <c r="Y260" s="20"/>
      <c r="Z260" s="20"/>
      <c r="AA260" s="20"/>
      <c r="AB260" s="20"/>
      <c r="AC260" s="20"/>
      <c r="AD260" s="17"/>
      <c r="AE260" s="17"/>
      <c r="AF260" s="20"/>
      <c r="AG260" s="17"/>
      <c r="AH260" s="20"/>
      <c r="AI260" s="17"/>
      <c r="AJ260" s="20"/>
      <c r="AK260" s="17"/>
      <c r="AL260" s="17"/>
      <c r="AM260" s="20"/>
      <c r="AN260" s="20"/>
      <c r="AO260" s="20"/>
      <c r="AP260" s="20"/>
      <c r="AQ260" s="17"/>
      <c r="AR260" s="17"/>
      <c r="AS260" s="20"/>
      <c r="AT260" s="17"/>
      <c r="AU260" s="17"/>
      <c r="AV260" s="17"/>
      <c r="AW260" s="17"/>
      <c r="AX260" s="17"/>
      <c r="AY260" s="17"/>
      <c r="AZ260" s="17"/>
      <c r="BA260" s="17"/>
      <c r="BB260" s="20"/>
      <c r="BC260" s="17"/>
      <c r="BD260" s="20"/>
      <c r="BE260" s="17"/>
      <c r="BF260" s="20"/>
      <c r="BG260" s="20"/>
      <c r="BH260" s="20"/>
      <c r="BI260" s="20"/>
    </row>
    <row r="261" spans="3:61" s="30" customFormat="1" ht="18" x14ac:dyDescent="0.35">
      <c r="C261" s="31"/>
      <c r="D261" s="31"/>
      <c r="E261" s="31"/>
      <c r="F261" s="19"/>
      <c r="G261" s="18"/>
      <c r="H261" s="18"/>
      <c r="I261" s="18"/>
      <c r="J261" s="18"/>
      <c r="K261" s="18"/>
      <c r="L261" s="18"/>
      <c r="M261" s="18"/>
      <c r="N261" s="18"/>
      <c r="P261"/>
      <c r="Q261"/>
      <c r="R261"/>
      <c r="S261"/>
      <c r="T261"/>
      <c r="U261"/>
      <c r="V261"/>
      <c r="X261" s="33"/>
      <c r="Y261" s="20"/>
      <c r="Z261" s="20"/>
      <c r="AA261" s="20"/>
      <c r="AB261" s="20"/>
      <c r="AC261" s="20"/>
      <c r="AD261" s="17"/>
      <c r="AE261" s="17"/>
      <c r="AF261" s="20"/>
      <c r="AG261" s="17"/>
      <c r="AH261" s="20"/>
      <c r="AI261" s="17"/>
      <c r="AJ261" s="20"/>
      <c r="AK261" s="17"/>
      <c r="AL261" s="17"/>
      <c r="AM261" s="20"/>
      <c r="AN261" s="20"/>
      <c r="AO261" s="20"/>
      <c r="AP261" s="20"/>
      <c r="AQ261" s="17"/>
      <c r="AR261" s="17"/>
      <c r="AS261" s="20"/>
      <c r="AT261" s="17"/>
      <c r="AU261" s="17"/>
      <c r="AV261" s="17"/>
      <c r="AW261" s="17"/>
      <c r="AX261" s="17"/>
      <c r="AY261" s="17"/>
      <c r="AZ261" s="17"/>
      <c r="BA261" s="17"/>
      <c r="BB261" s="20"/>
      <c r="BC261" s="17"/>
      <c r="BD261" s="20"/>
      <c r="BE261" s="17"/>
      <c r="BF261" s="20"/>
      <c r="BG261" s="20"/>
      <c r="BH261" s="20"/>
      <c r="BI261" s="20"/>
    </row>
    <row r="262" spans="3:61" s="30" customFormat="1" ht="18" x14ac:dyDescent="0.35">
      <c r="C262" s="31"/>
      <c r="D262" s="31"/>
      <c r="E262" s="31"/>
      <c r="F262" s="19"/>
      <c r="G262" s="18"/>
      <c r="H262" s="18"/>
      <c r="I262" s="18"/>
      <c r="J262" s="18"/>
      <c r="K262" s="18"/>
      <c r="L262" s="18"/>
      <c r="M262" s="18"/>
      <c r="N262" s="18"/>
      <c r="P262"/>
      <c r="Q262"/>
      <c r="R262"/>
      <c r="S262"/>
      <c r="T262"/>
      <c r="U262"/>
      <c r="V262"/>
      <c r="X262" s="33"/>
      <c r="Y262" s="20"/>
      <c r="Z262" s="20"/>
      <c r="AA262" s="20"/>
      <c r="AB262" s="20"/>
      <c r="AC262" s="20"/>
      <c r="AD262" s="17"/>
      <c r="AE262" s="17"/>
      <c r="AF262" s="20"/>
      <c r="AG262" s="17"/>
      <c r="AH262" s="20"/>
      <c r="AI262" s="17"/>
      <c r="AJ262" s="20"/>
      <c r="AK262" s="17"/>
      <c r="AL262" s="17"/>
      <c r="AM262" s="20"/>
      <c r="AN262" s="20"/>
      <c r="AO262" s="20"/>
      <c r="AP262" s="20"/>
      <c r="AQ262" s="17"/>
      <c r="AR262" s="17"/>
      <c r="AS262" s="20"/>
      <c r="AT262" s="17"/>
      <c r="AU262" s="17"/>
      <c r="AV262" s="17"/>
      <c r="AW262" s="17"/>
      <c r="AX262" s="17"/>
      <c r="AY262" s="17"/>
      <c r="AZ262" s="17"/>
      <c r="BA262" s="17"/>
      <c r="BB262" s="20"/>
      <c r="BC262" s="17"/>
      <c r="BD262" s="20"/>
      <c r="BE262" s="17"/>
      <c r="BF262" s="20"/>
      <c r="BG262" s="20"/>
      <c r="BH262" s="20"/>
      <c r="BI262" s="20"/>
    </row>
    <row r="263" spans="3:61" s="30" customFormat="1" ht="18" x14ac:dyDescent="0.35">
      <c r="C263" s="31"/>
      <c r="D263" s="31"/>
      <c r="E263" s="31"/>
      <c r="F263" s="19"/>
      <c r="G263" s="18"/>
      <c r="H263" s="18"/>
      <c r="I263" s="18"/>
      <c r="J263" s="18"/>
      <c r="K263" s="18"/>
      <c r="L263" s="18"/>
      <c r="M263" s="18"/>
      <c r="N263" s="18"/>
      <c r="P263"/>
      <c r="Q263"/>
      <c r="R263"/>
      <c r="S263"/>
      <c r="T263"/>
      <c r="U263"/>
      <c r="V263"/>
      <c r="X263" s="33"/>
      <c r="Y263" s="20"/>
      <c r="Z263" s="20"/>
      <c r="AA263" s="20"/>
      <c r="AB263" s="20"/>
      <c r="AC263" s="20"/>
      <c r="AD263" s="17"/>
      <c r="AE263" s="17"/>
      <c r="AF263" s="20"/>
      <c r="AG263" s="17"/>
      <c r="AH263" s="20"/>
      <c r="AI263" s="17"/>
      <c r="AJ263" s="20"/>
      <c r="AK263" s="17"/>
      <c r="AL263" s="17"/>
      <c r="AM263" s="20"/>
      <c r="AN263" s="20"/>
      <c r="AO263" s="20"/>
      <c r="AP263" s="20"/>
      <c r="AQ263" s="17"/>
      <c r="AR263" s="17"/>
      <c r="AS263" s="20"/>
      <c r="AT263" s="17"/>
      <c r="AU263" s="17"/>
      <c r="AV263" s="17"/>
      <c r="AW263" s="17"/>
      <c r="AX263" s="17"/>
      <c r="AY263" s="17"/>
      <c r="AZ263" s="17"/>
      <c r="BA263" s="17"/>
      <c r="BB263" s="20"/>
      <c r="BC263" s="17"/>
      <c r="BD263" s="20"/>
      <c r="BE263" s="17"/>
      <c r="BF263" s="20"/>
      <c r="BG263" s="20"/>
      <c r="BH263" s="20"/>
      <c r="BI263" s="20"/>
    </row>
    <row r="264" spans="3:61" s="30" customFormat="1" ht="18" x14ac:dyDescent="0.35">
      <c r="C264" s="31"/>
      <c r="D264" s="31"/>
      <c r="E264" s="31"/>
      <c r="F264" s="19"/>
      <c r="G264" s="18"/>
      <c r="H264" s="18"/>
      <c r="I264" s="18"/>
      <c r="J264" s="18"/>
      <c r="K264" s="18"/>
      <c r="L264" s="18"/>
      <c r="M264" s="18"/>
      <c r="N264" s="18"/>
      <c r="P264"/>
      <c r="Q264"/>
      <c r="R264"/>
      <c r="S264"/>
      <c r="T264"/>
      <c r="U264"/>
      <c r="V264"/>
      <c r="X264" s="33"/>
      <c r="Y264" s="20"/>
      <c r="Z264" s="20"/>
      <c r="AA264" s="20"/>
      <c r="AB264" s="20"/>
      <c r="AC264" s="20"/>
      <c r="AD264" s="17"/>
      <c r="AE264" s="17"/>
      <c r="AF264" s="20"/>
      <c r="AG264" s="17"/>
      <c r="AH264" s="20"/>
      <c r="AI264" s="17"/>
      <c r="AJ264" s="20"/>
      <c r="AK264" s="17"/>
      <c r="AL264" s="17"/>
      <c r="AM264" s="20"/>
      <c r="AN264" s="20"/>
      <c r="AO264" s="20"/>
      <c r="AP264" s="20"/>
      <c r="AQ264" s="17"/>
      <c r="AR264" s="17"/>
      <c r="AS264" s="20"/>
      <c r="AT264" s="17"/>
      <c r="AU264" s="17"/>
      <c r="AV264" s="17"/>
      <c r="AW264" s="17"/>
      <c r="AX264" s="17"/>
      <c r="AY264" s="17"/>
      <c r="AZ264" s="17"/>
      <c r="BA264" s="17"/>
      <c r="BB264" s="20"/>
      <c r="BC264" s="17"/>
      <c r="BD264" s="20"/>
      <c r="BE264" s="17"/>
      <c r="BF264" s="20"/>
      <c r="BG264" s="20"/>
      <c r="BH264" s="20"/>
      <c r="BI264" s="20"/>
    </row>
    <row r="265" spans="3:61" s="30" customFormat="1" ht="18" x14ac:dyDescent="0.35">
      <c r="C265" s="31"/>
      <c r="D265" s="31"/>
      <c r="E265" s="31"/>
      <c r="F265" s="19"/>
      <c r="G265" s="18"/>
      <c r="H265" s="18"/>
      <c r="I265" s="18"/>
      <c r="J265" s="18"/>
      <c r="K265" s="18"/>
      <c r="L265" s="18"/>
      <c r="M265" s="18"/>
      <c r="N265" s="18"/>
      <c r="P265"/>
      <c r="Q265"/>
      <c r="R265"/>
      <c r="S265"/>
      <c r="T265"/>
      <c r="U265"/>
      <c r="V265"/>
      <c r="X265" s="33"/>
      <c r="Y265" s="20"/>
      <c r="Z265" s="20"/>
      <c r="AA265" s="20"/>
      <c r="AB265" s="20"/>
      <c r="AC265" s="20"/>
      <c r="AD265" s="17"/>
      <c r="AE265" s="17"/>
      <c r="AF265" s="20"/>
      <c r="AG265" s="17"/>
      <c r="AH265" s="20"/>
      <c r="AI265" s="17"/>
      <c r="AJ265" s="20"/>
      <c r="AK265" s="17"/>
      <c r="AL265" s="17"/>
      <c r="AM265" s="20"/>
      <c r="AN265" s="20"/>
      <c r="AO265" s="20"/>
      <c r="AP265" s="20"/>
      <c r="AQ265" s="17"/>
      <c r="AR265" s="17"/>
      <c r="AS265" s="20"/>
      <c r="AT265" s="17"/>
      <c r="AU265" s="17"/>
      <c r="AV265" s="17"/>
      <c r="AW265" s="17"/>
      <c r="AX265" s="17"/>
      <c r="AY265" s="17"/>
      <c r="AZ265" s="17"/>
      <c r="BA265" s="17"/>
      <c r="BB265" s="20"/>
      <c r="BC265" s="17"/>
      <c r="BD265" s="20"/>
      <c r="BE265" s="17"/>
      <c r="BF265" s="20"/>
      <c r="BG265" s="20"/>
      <c r="BH265" s="20"/>
      <c r="BI265" s="20"/>
    </row>
    <row r="266" spans="3:61" s="30" customFormat="1" ht="18" x14ac:dyDescent="0.35">
      <c r="C266" s="31"/>
      <c r="D266" s="31"/>
      <c r="E266" s="31"/>
      <c r="F266" s="19"/>
      <c r="G266" s="18"/>
      <c r="H266" s="18"/>
      <c r="I266" s="18"/>
      <c r="J266" s="18"/>
      <c r="K266" s="18"/>
      <c r="L266" s="18"/>
      <c r="M266" s="18"/>
      <c r="N266" s="18"/>
      <c r="P266"/>
      <c r="Q266"/>
      <c r="R266"/>
      <c r="S266"/>
      <c r="T266"/>
      <c r="U266"/>
      <c r="V266"/>
      <c r="X266" s="33"/>
      <c r="Y266" s="20"/>
      <c r="Z266" s="20"/>
      <c r="AA266" s="20"/>
      <c r="AB266" s="20"/>
      <c r="AC266" s="20"/>
      <c r="AD266" s="17"/>
      <c r="AE266" s="17"/>
      <c r="AF266" s="20"/>
      <c r="AG266" s="17"/>
      <c r="AH266" s="20"/>
      <c r="AI266" s="17"/>
      <c r="AJ266" s="20"/>
      <c r="AK266" s="17"/>
      <c r="AL266" s="17"/>
      <c r="AM266" s="20"/>
      <c r="AN266" s="20"/>
      <c r="AO266" s="20"/>
      <c r="AP266" s="20"/>
      <c r="AQ266" s="17"/>
      <c r="AR266" s="17"/>
      <c r="AS266" s="20"/>
      <c r="AT266" s="17"/>
      <c r="AU266" s="17"/>
      <c r="AV266" s="17"/>
      <c r="AW266" s="17"/>
      <c r="AX266" s="17"/>
      <c r="AY266" s="17"/>
      <c r="AZ266" s="17"/>
      <c r="BA266" s="17"/>
      <c r="BB266" s="20"/>
      <c r="BC266" s="17"/>
      <c r="BD266" s="20"/>
      <c r="BE266" s="17"/>
      <c r="BF266" s="20"/>
      <c r="BG266" s="20"/>
      <c r="BH266" s="20"/>
      <c r="BI266" s="20"/>
    </row>
    <row r="267" spans="3:61" s="30" customFormat="1" ht="18" x14ac:dyDescent="0.35">
      <c r="C267" s="31"/>
      <c r="D267" s="31"/>
      <c r="E267" s="31"/>
      <c r="F267" s="19"/>
      <c r="G267" s="18"/>
      <c r="H267" s="18"/>
      <c r="I267" s="18"/>
      <c r="J267" s="18"/>
      <c r="K267" s="18"/>
      <c r="L267" s="18"/>
      <c r="M267" s="18"/>
      <c r="N267" s="18"/>
      <c r="P267"/>
      <c r="Q267"/>
      <c r="R267"/>
      <c r="S267"/>
      <c r="T267"/>
      <c r="U267"/>
      <c r="V267"/>
      <c r="X267" s="33"/>
      <c r="Y267" s="20"/>
      <c r="Z267" s="20"/>
      <c r="AA267" s="20"/>
      <c r="AB267" s="20"/>
      <c r="AC267" s="20"/>
      <c r="AD267" s="17"/>
      <c r="AE267" s="17"/>
      <c r="AF267" s="20"/>
      <c r="AG267" s="17"/>
      <c r="AH267" s="20"/>
      <c r="AI267" s="17"/>
      <c r="AJ267" s="20"/>
      <c r="AK267" s="17"/>
      <c r="AL267" s="17"/>
      <c r="AM267" s="20"/>
      <c r="AN267" s="20"/>
      <c r="AO267" s="20"/>
      <c r="AP267" s="20"/>
      <c r="AQ267" s="17"/>
      <c r="AR267" s="17"/>
      <c r="AS267" s="20"/>
      <c r="AT267" s="17"/>
      <c r="AU267" s="17"/>
      <c r="AV267" s="17"/>
      <c r="AW267" s="17"/>
      <c r="AX267" s="17"/>
      <c r="AY267" s="17"/>
      <c r="AZ267" s="17"/>
      <c r="BA267" s="17"/>
      <c r="BB267" s="20"/>
      <c r="BC267" s="17"/>
      <c r="BD267" s="20"/>
      <c r="BE267" s="17"/>
      <c r="BF267" s="20"/>
      <c r="BG267" s="20"/>
      <c r="BH267" s="20"/>
      <c r="BI267" s="20"/>
    </row>
    <row r="268" spans="3:61" s="30" customFormat="1" ht="18" x14ac:dyDescent="0.35">
      <c r="C268" s="31"/>
      <c r="D268" s="31"/>
      <c r="E268" s="31"/>
      <c r="F268" s="19"/>
      <c r="G268" s="18"/>
      <c r="H268" s="18"/>
      <c r="I268" s="18"/>
      <c r="J268" s="18"/>
      <c r="K268" s="18"/>
      <c r="L268" s="18"/>
      <c r="M268" s="18"/>
      <c r="N268" s="18"/>
      <c r="P268"/>
      <c r="Q268"/>
      <c r="R268"/>
      <c r="S268"/>
      <c r="T268"/>
      <c r="U268"/>
      <c r="V268"/>
      <c r="X268" s="33"/>
      <c r="Y268" s="20"/>
      <c r="Z268" s="20"/>
      <c r="AA268" s="20"/>
      <c r="AB268" s="20"/>
      <c r="AC268" s="20"/>
      <c r="AD268" s="17"/>
      <c r="AE268" s="17"/>
      <c r="AF268" s="20"/>
      <c r="AG268" s="17"/>
      <c r="AH268" s="20"/>
      <c r="AI268" s="17"/>
      <c r="AJ268" s="20"/>
      <c r="AK268" s="17"/>
      <c r="AL268" s="17"/>
      <c r="AM268" s="20"/>
      <c r="AN268" s="20"/>
      <c r="AO268" s="20"/>
      <c r="AP268" s="20"/>
      <c r="AQ268" s="17"/>
      <c r="AR268" s="17"/>
      <c r="AS268" s="20"/>
      <c r="AT268" s="17"/>
      <c r="AU268" s="17"/>
      <c r="AV268" s="17"/>
      <c r="AW268" s="17"/>
      <c r="AX268" s="17"/>
      <c r="AY268" s="17"/>
      <c r="AZ268" s="17"/>
      <c r="BA268" s="17"/>
      <c r="BB268" s="20"/>
      <c r="BC268" s="17"/>
      <c r="BD268" s="20"/>
      <c r="BE268" s="17"/>
      <c r="BF268" s="20"/>
      <c r="BG268" s="20"/>
      <c r="BH268" s="20"/>
      <c r="BI268" s="20"/>
    </row>
    <row r="269" spans="3:61" s="30" customFormat="1" ht="18" x14ac:dyDescent="0.35">
      <c r="C269" s="31"/>
      <c r="D269" s="31"/>
      <c r="E269" s="31"/>
      <c r="F269" s="19"/>
      <c r="G269" s="18"/>
      <c r="H269" s="18"/>
      <c r="I269" s="18"/>
      <c r="J269" s="18"/>
      <c r="K269" s="18"/>
      <c r="L269" s="18"/>
      <c r="M269" s="18"/>
      <c r="N269" s="18"/>
      <c r="P269"/>
      <c r="Q269"/>
      <c r="R269"/>
      <c r="S269"/>
      <c r="T269"/>
      <c r="U269"/>
      <c r="V269"/>
      <c r="X269" s="33"/>
      <c r="Y269" s="20"/>
      <c r="Z269" s="20"/>
      <c r="AA269" s="20"/>
      <c r="AB269" s="20"/>
      <c r="AC269" s="20"/>
      <c r="AD269" s="17"/>
      <c r="AE269" s="17"/>
      <c r="AF269" s="20"/>
      <c r="AG269" s="17"/>
      <c r="AH269" s="20"/>
      <c r="AI269" s="17"/>
      <c r="AJ269" s="20"/>
      <c r="AK269" s="17"/>
      <c r="AL269" s="17"/>
      <c r="AM269" s="20"/>
      <c r="AN269" s="20"/>
      <c r="AO269" s="20"/>
      <c r="AP269" s="20"/>
      <c r="AQ269" s="17"/>
      <c r="AR269" s="17"/>
      <c r="AS269" s="20"/>
      <c r="AT269" s="17"/>
      <c r="AU269" s="17"/>
      <c r="AV269" s="17"/>
      <c r="AW269" s="17"/>
      <c r="AX269" s="17"/>
      <c r="AY269" s="17"/>
      <c r="AZ269" s="17"/>
      <c r="BA269" s="17"/>
      <c r="BB269" s="20"/>
      <c r="BC269" s="17"/>
      <c r="BD269" s="20"/>
      <c r="BE269" s="17"/>
      <c r="BF269" s="20"/>
      <c r="BG269" s="20"/>
      <c r="BH269" s="20"/>
      <c r="BI269" s="20"/>
    </row>
    <row r="270" spans="3:61" s="30" customFormat="1" ht="18" x14ac:dyDescent="0.35">
      <c r="C270" s="31"/>
      <c r="D270" s="31"/>
      <c r="E270" s="31"/>
      <c r="F270" s="19"/>
      <c r="G270" s="18"/>
      <c r="H270" s="18"/>
      <c r="I270" s="18"/>
      <c r="J270" s="18"/>
      <c r="K270" s="18"/>
      <c r="L270" s="18"/>
      <c r="M270" s="18"/>
      <c r="N270" s="18"/>
      <c r="P270"/>
      <c r="Q270"/>
      <c r="R270"/>
      <c r="S270"/>
      <c r="T270"/>
      <c r="U270"/>
      <c r="V270"/>
      <c r="X270" s="33"/>
      <c r="Y270" s="20"/>
      <c r="Z270" s="20"/>
      <c r="AA270" s="20"/>
      <c r="AB270" s="20"/>
      <c r="AC270" s="20"/>
      <c r="AD270" s="17"/>
      <c r="AE270" s="17"/>
      <c r="AF270" s="20"/>
      <c r="AG270" s="17"/>
      <c r="AH270" s="20"/>
      <c r="AI270" s="17"/>
      <c r="AJ270" s="20"/>
      <c r="AK270" s="17"/>
      <c r="AL270" s="17"/>
      <c r="AM270" s="20"/>
      <c r="AN270" s="20"/>
      <c r="AO270" s="20"/>
      <c r="AP270" s="20"/>
      <c r="AQ270" s="17"/>
      <c r="AR270" s="17"/>
      <c r="AS270" s="20"/>
      <c r="AT270" s="17"/>
      <c r="AU270" s="17"/>
      <c r="AV270" s="17"/>
      <c r="AW270" s="17"/>
      <c r="AX270" s="17"/>
      <c r="AY270" s="17"/>
      <c r="AZ270" s="17"/>
      <c r="BA270" s="17"/>
      <c r="BB270" s="20"/>
      <c r="BC270" s="17"/>
      <c r="BD270" s="20"/>
      <c r="BE270" s="17"/>
      <c r="BF270" s="20"/>
      <c r="BG270" s="20"/>
      <c r="BH270" s="20"/>
      <c r="BI270" s="20"/>
    </row>
    <row r="271" spans="3:61" s="30" customFormat="1" ht="18" x14ac:dyDescent="0.35">
      <c r="C271" s="31"/>
      <c r="D271" s="31"/>
      <c r="E271" s="31"/>
      <c r="F271" s="19"/>
      <c r="G271" s="18"/>
      <c r="H271" s="18"/>
      <c r="I271" s="18"/>
      <c r="J271" s="18"/>
      <c r="K271" s="18"/>
      <c r="L271" s="18"/>
      <c r="M271" s="18"/>
      <c r="N271" s="18"/>
      <c r="P271"/>
      <c r="Q271"/>
      <c r="R271"/>
      <c r="S271"/>
      <c r="T271"/>
      <c r="U271"/>
      <c r="V271"/>
      <c r="X271" s="33"/>
      <c r="Y271" s="20"/>
      <c r="Z271" s="20"/>
      <c r="AA271" s="20"/>
      <c r="AB271" s="20"/>
      <c r="AC271" s="20"/>
      <c r="AD271" s="17"/>
      <c r="AE271" s="17"/>
      <c r="AF271" s="20"/>
      <c r="AG271" s="17"/>
      <c r="AH271" s="20"/>
      <c r="AI271" s="17"/>
      <c r="AJ271" s="20"/>
      <c r="AK271" s="17"/>
      <c r="AL271" s="17"/>
      <c r="AM271" s="20"/>
      <c r="AN271" s="20"/>
      <c r="AO271" s="20"/>
      <c r="AP271" s="20"/>
      <c r="AQ271" s="17"/>
      <c r="AR271" s="17"/>
      <c r="AS271" s="20"/>
      <c r="AT271" s="17"/>
      <c r="AU271" s="17"/>
      <c r="AV271" s="17"/>
      <c r="AW271" s="17"/>
      <c r="AX271" s="17"/>
      <c r="AY271" s="17"/>
      <c r="AZ271" s="17"/>
      <c r="BA271" s="17"/>
      <c r="BB271" s="20"/>
      <c r="BC271" s="17"/>
      <c r="BD271" s="20"/>
      <c r="BE271" s="17"/>
      <c r="BF271" s="20"/>
      <c r="BG271" s="20"/>
      <c r="BH271" s="20"/>
      <c r="BI271" s="20"/>
    </row>
    <row r="272" spans="3:61" s="30" customFormat="1" ht="18" x14ac:dyDescent="0.35">
      <c r="C272" s="31"/>
      <c r="D272" s="31"/>
      <c r="E272" s="31"/>
      <c r="F272" s="19"/>
      <c r="G272" s="18"/>
      <c r="H272" s="18"/>
      <c r="I272" s="18"/>
      <c r="J272" s="18"/>
      <c r="K272" s="18"/>
      <c r="L272" s="18"/>
      <c r="M272" s="18"/>
      <c r="N272" s="18"/>
      <c r="P272"/>
      <c r="Q272"/>
      <c r="R272"/>
      <c r="S272"/>
      <c r="T272"/>
      <c r="U272"/>
      <c r="V272"/>
      <c r="X272" s="33"/>
      <c r="Y272" s="20"/>
      <c r="Z272" s="20"/>
      <c r="AA272" s="20"/>
      <c r="AB272" s="20"/>
      <c r="AC272" s="20"/>
      <c r="AD272" s="17"/>
      <c r="AE272" s="17"/>
      <c r="AF272" s="20"/>
      <c r="AG272" s="17"/>
      <c r="AH272" s="20"/>
      <c r="AI272" s="17"/>
      <c r="AJ272" s="20"/>
      <c r="AK272" s="17"/>
      <c r="AL272" s="17"/>
      <c r="AM272" s="20"/>
      <c r="AN272" s="20"/>
      <c r="AO272" s="20"/>
      <c r="AP272" s="20"/>
      <c r="AQ272" s="17"/>
      <c r="AR272" s="17"/>
      <c r="AS272" s="20"/>
      <c r="AT272" s="17"/>
      <c r="AU272" s="17"/>
      <c r="AV272" s="17"/>
      <c r="AW272" s="17"/>
      <c r="AX272" s="17"/>
      <c r="AY272" s="17"/>
      <c r="AZ272" s="17"/>
      <c r="BA272" s="17"/>
      <c r="BB272" s="20"/>
      <c r="BC272" s="17"/>
      <c r="BD272" s="20"/>
      <c r="BE272" s="17"/>
      <c r="BF272" s="20"/>
      <c r="BG272" s="20"/>
      <c r="BH272" s="20"/>
      <c r="BI272" s="20"/>
    </row>
    <row r="273" spans="3:61" s="30" customFormat="1" ht="18" x14ac:dyDescent="0.35">
      <c r="C273" s="31"/>
      <c r="D273" s="31"/>
      <c r="E273" s="31"/>
      <c r="F273" s="19"/>
      <c r="G273" s="18"/>
      <c r="H273" s="18"/>
      <c r="I273" s="18"/>
      <c r="J273" s="18"/>
      <c r="K273" s="18"/>
      <c r="L273" s="18"/>
      <c r="M273" s="18"/>
      <c r="N273" s="18"/>
      <c r="P273"/>
      <c r="Q273"/>
      <c r="R273"/>
      <c r="S273"/>
      <c r="T273"/>
      <c r="U273"/>
      <c r="V273"/>
      <c r="X273" s="33"/>
      <c r="Y273" s="20"/>
      <c r="Z273" s="20"/>
      <c r="AA273" s="20"/>
      <c r="AB273" s="20"/>
      <c r="AC273" s="20"/>
      <c r="AD273" s="17"/>
      <c r="AE273" s="17"/>
      <c r="AF273" s="20"/>
      <c r="AG273" s="17"/>
      <c r="AH273" s="20"/>
      <c r="AI273" s="17"/>
      <c r="AJ273" s="20"/>
      <c r="AK273" s="17"/>
      <c r="AL273" s="17"/>
      <c r="AM273" s="20"/>
      <c r="AN273" s="20"/>
      <c r="AO273" s="20"/>
      <c r="AP273" s="20"/>
      <c r="AQ273" s="17"/>
      <c r="AR273" s="17"/>
      <c r="AS273" s="20"/>
      <c r="AT273" s="17"/>
      <c r="AU273" s="17"/>
      <c r="AV273" s="17"/>
      <c r="AW273" s="17"/>
      <c r="AX273" s="17"/>
      <c r="AY273" s="17"/>
      <c r="AZ273" s="17"/>
      <c r="BA273" s="17"/>
      <c r="BB273" s="20"/>
      <c r="BC273" s="17"/>
      <c r="BD273" s="20"/>
      <c r="BE273" s="17"/>
      <c r="BF273" s="20"/>
      <c r="BG273" s="20"/>
      <c r="BH273" s="20"/>
      <c r="BI273" s="20"/>
    </row>
    <row r="274" spans="3:61" s="30" customFormat="1" ht="18" x14ac:dyDescent="0.35">
      <c r="C274" s="31"/>
      <c r="D274" s="31"/>
      <c r="E274" s="31"/>
      <c r="F274" s="19"/>
      <c r="G274" s="18"/>
      <c r="H274" s="18"/>
      <c r="I274" s="18"/>
      <c r="J274" s="18"/>
      <c r="K274" s="18"/>
      <c r="L274" s="18"/>
      <c r="M274" s="18"/>
      <c r="N274" s="18"/>
      <c r="P274"/>
      <c r="Q274"/>
      <c r="R274"/>
      <c r="S274"/>
      <c r="T274"/>
      <c r="U274"/>
      <c r="V274"/>
      <c r="X274" s="33"/>
      <c r="Y274" s="20"/>
      <c r="Z274" s="20"/>
      <c r="AA274" s="20"/>
      <c r="AB274" s="20"/>
      <c r="AC274" s="20"/>
      <c r="AD274" s="17"/>
      <c r="AE274" s="17"/>
      <c r="AF274" s="20"/>
      <c r="AG274" s="17"/>
      <c r="AH274" s="20"/>
      <c r="AI274" s="17"/>
      <c r="AJ274" s="20"/>
      <c r="AK274" s="17"/>
      <c r="AL274" s="17"/>
      <c r="AM274" s="20"/>
      <c r="AN274" s="20"/>
      <c r="AO274" s="20"/>
      <c r="AP274" s="20"/>
      <c r="AQ274" s="17"/>
      <c r="AR274" s="17"/>
      <c r="AS274" s="20"/>
      <c r="AT274" s="17"/>
      <c r="AU274" s="17"/>
      <c r="AV274" s="17"/>
      <c r="AW274" s="17"/>
      <c r="AX274" s="17"/>
      <c r="AY274" s="17"/>
      <c r="AZ274" s="17"/>
      <c r="BA274" s="17"/>
      <c r="BB274" s="20"/>
      <c r="BC274" s="17"/>
      <c r="BD274" s="20"/>
      <c r="BE274" s="17"/>
      <c r="BF274" s="20"/>
      <c r="BG274" s="20"/>
      <c r="BH274" s="20"/>
      <c r="BI274" s="20"/>
    </row>
    <row r="275" spans="3:61" s="30" customFormat="1" ht="18" x14ac:dyDescent="0.35">
      <c r="C275" s="31"/>
      <c r="D275" s="31"/>
      <c r="E275" s="31"/>
      <c r="F275" s="19"/>
      <c r="G275" s="18"/>
      <c r="H275" s="18"/>
      <c r="I275" s="18"/>
      <c r="J275" s="18"/>
      <c r="K275" s="18"/>
      <c r="L275" s="18"/>
      <c r="M275" s="18"/>
      <c r="N275" s="18"/>
      <c r="P275"/>
      <c r="Q275"/>
      <c r="R275"/>
      <c r="S275"/>
      <c r="T275"/>
      <c r="U275"/>
      <c r="V275"/>
      <c r="X275" s="33"/>
      <c r="Y275" s="20"/>
      <c r="Z275" s="20"/>
      <c r="AA275" s="20"/>
      <c r="AB275" s="20"/>
      <c r="AC275" s="20"/>
      <c r="AD275" s="17"/>
      <c r="AE275" s="17"/>
      <c r="AF275" s="20"/>
      <c r="AG275" s="17"/>
      <c r="AH275" s="20"/>
      <c r="AI275" s="17"/>
      <c r="AJ275" s="20"/>
      <c r="AK275" s="17"/>
      <c r="AL275" s="17"/>
      <c r="AM275" s="20"/>
      <c r="AN275" s="20"/>
      <c r="AO275" s="20"/>
      <c r="AP275" s="20"/>
      <c r="AQ275" s="17"/>
      <c r="AR275" s="17"/>
      <c r="AS275" s="20"/>
      <c r="AT275" s="17"/>
      <c r="AU275" s="17"/>
      <c r="AV275" s="17"/>
      <c r="AW275" s="17"/>
      <c r="AX275" s="17"/>
      <c r="AY275" s="17"/>
      <c r="AZ275" s="17"/>
      <c r="BA275" s="17"/>
      <c r="BB275" s="20"/>
      <c r="BC275" s="17"/>
      <c r="BD275" s="20"/>
      <c r="BE275" s="17"/>
      <c r="BF275" s="20"/>
      <c r="BG275" s="20"/>
      <c r="BH275" s="20"/>
      <c r="BI275" s="20"/>
    </row>
    <row r="276" spans="3:61" s="30" customFormat="1" ht="18" x14ac:dyDescent="0.35">
      <c r="C276" s="31"/>
      <c r="D276" s="31"/>
      <c r="E276" s="31"/>
      <c r="F276" s="19"/>
      <c r="G276" s="18"/>
      <c r="H276" s="18"/>
      <c r="I276" s="18"/>
      <c r="J276" s="18"/>
      <c r="K276" s="18"/>
      <c r="L276" s="18"/>
      <c r="M276" s="18"/>
      <c r="N276" s="18"/>
      <c r="P276"/>
      <c r="Q276"/>
      <c r="R276"/>
      <c r="S276"/>
      <c r="T276"/>
      <c r="U276"/>
      <c r="V276"/>
      <c r="X276" s="33"/>
      <c r="Y276" s="20"/>
      <c r="Z276" s="20"/>
      <c r="AA276" s="20"/>
      <c r="AB276" s="20"/>
      <c r="AC276" s="20"/>
      <c r="AD276" s="17"/>
      <c r="AE276" s="17"/>
      <c r="AF276" s="20"/>
      <c r="AG276" s="17"/>
      <c r="AH276" s="20"/>
      <c r="AI276" s="17"/>
      <c r="AJ276" s="20"/>
      <c r="AK276" s="17"/>
      <c r="AL276" s="17"/>
      <c r="AM276" s="20"/>
      <c r="AN276" s="20"/>
      <c r="AO276" s="20"/>
      <c r="AP276" s="20"/>
      <c r="AQ276" s="17"/>
      <c r="AR276" s="17"/>
      <c r="AS276" s="20"/>
      <c r="AT276" s="17"/>
      <c r="AU276" s="17"/>
      <c r="AV276" s="17"/>
      <c r="AW276" s="17"/>
      <c r="AX276" s="17"/>
      <c r="AY276" s="17"/>
      <c r="AZ276" s="17"/>
      <c r="BA276" s="17"/>
      <c r="BB276" s="20"/>
      <c r="BC276" s="17"/>
      <c r="BD276" s="20"/>
      <c r="BE276" s="17"/>
      <c r="BF276" s="20"/>
      <c r="BG276" s="20"/>
      <c r="BH276" s="20"/>
      <c r="BI276" s="20"/>
    </row>
    <row r="277" spans="3:61" s="30" customFormat="1" ht="18" x14ac:dyDescent="0.35">
      <c r="C277" s="31"/>
      <c r="D277" s="31"/>
      <c r="E277" s="31"/>
      <c r="F277" s="19"/>
      <c r="G277" s="18"/>
      <c r="H277" s="18"/>
      <c r="I277" s="18"/>
      <c r="J277" s="18"/>
      <c r="K277" s="18"/>
      <c r="L277" s="18"/>
      <c r="M277" s="18"/>
      <c r="N277" s="18"/>
      <c r="P277"/>
      <c r="Q277"/>
      <c r="R277"/>
      <c r="S277"/>
      <c r="T277"/>
      <c r="U277"/>
      <c r="V277"/>
      <c r="X277" s="33"/>
      <c r="Y277" s="20"/>
      <c r="Z277" s="20"/>
      <c r="AA277" s="20"/>
      <c r="AB277" s="20"/>
      <c r="AC277" s="20"/>
      <c r="AD277" s="17"/>
      <c r="AE277" s="17"/>
      <c r="AF277" s="20"/>
      <c r="AG277" s="17"/>
      <c r="AH277" s="20"/>
      <c r="AI277" s="17"/>
      <c r="AJ277" s="20"/>
      <c r="AK277" s="17"/>
      <c r="AL277" s="17"/>
      <c r="AM277" s="20"/>
      <c r="AN277" s="20"/>
      <c r="AO277" s="20"/>
      <c r="AP277" s="20"/>
      <c r="AQ277" s="17"/>
      <c r="AR277" s="17"/>
      <c r="AS277" s="20"/>
      <c r="AT277" s="17"/>
      <c r="AU277" s="17"/>
      <c r="AV277" s="17"/>
      <c r="AW277" s="17"/>
      <c r="AX277" s="17"/>
      <c r="AY277" s="17"/>
      <c r="AZ277" s="17"/>
      <c r="BA277" s="17"/>
      <c r="BB277" s="20"/>
      <c r="BC277" s="17"/>
      <c r="BD277" s="20"/>
      <c r="BE277" s="17"/>
      <c r="BF277" s="20"/>
      <c r="BG277" s="20"/>
      <c r="BH277" s="20"/>
      <c r="BI277" s="20"/>
    </row>
    <row r="278" spans="3:61" s="30" customFormat="1" ht="18" x14ac:dyDescent="0.35">
      <c r="C278" s="31"/>
      <c r="D278" s="31"/>
      <c r="E278" s="31"/>
      <c r="F278" s="19"/>
      <c r="G278" s="18"/>
      <c r="H278" s="18"/>
      <c r="I278" s="18"/>
      <c r="J278" s="18"/>
      <c r="K278" s="18"/>
      <c r="L278" s="18"/>
      <c r="M278" s="18"/>
      <c r="N278" s="18"/>
      <c r="P278"/>
      <c r="Q278"/>
      <c r="R278"/>
      <c r="S278"/>
      <c r="T278"/>
      <c r="U278"/>
      <c r="V278"/>
      <c r="X278" s="33"/>
      <c r="Y278" s="20"/>
      <c r="Z278" s="20"/>
      <c r="AA278" s="20"/>
      <c r="AB278" s="20"/>
      <c r="AC278" s="20"/>
      <c r="AD278" s="17"/>
      <c r="AE278" s="17"/>
      <c r="AF278" s="20"/>
      <c r="AG278" s="17"/>
      <c r="AH278" s="20"/>
      <c r="AI278" s="17"/>
      <c r="AJ278" s="20"/>
      <c r="AK278" s="17"/>
      <c r="AL278" s="17"/>
      <c r="AM278" s="20"/>
      <c r="AN278" s="20"/>
      <c r="AO278" s="20"/>
      <c r="AP278" s="20"/>
      <c r="AQ278" s="17"/>
      <c r="AR278" s="17"/>
      <c r="AS278" s="20"/>
      <c r="AT278" s="17"/>
      <c r="AU278" s="17"/>
      <c r="AV278" s="17"/>
      <c r="AW278" s="17"/>
      <c r="AX278" s="17"/>
      <c r="AY278" s="17"/>
      <c r="AZ278" s="17"/>
      <c r="BA278" s="17"/>
      <c r="BB278" s="20"/>
      <c r="BC278" s="17"/>
      <c r="BD278" s="20"/>
      <c r="BE278" s="17"/>
      <c r="BF278" s="20"/>
      <c r="BG278" s="20"/>
      <c r="BH278" s="20"/>
      <c r="BI278" s="20"/>
    </row>
    <row r="279" spans="3:61" s="30" customFormat="1" ht="18" x14ac:dyDescent="0.35">
      <c r="C279" s="31"/>
      <c r="D279" s="31"/>
      <c r="E279" s="31"/>
      <c r="F279" s="19"/>
      <c r="G279" s="18"/>
      <c r="H279" s="18"/>
      <c r="I279" s="18"/>
      <c r="J279" s="18"/>
      <c r="K279" s="18"/>
      <c r="L279" s="18"/>
      <c r="M279" s="18"/>
      <c r="N279" s="18"/>
      <c r="P279"/>
      <c r="Q279"/>
      <c r="R279"/>
      <c r="S279"/>
      <c r="T279"/>
      <c r="U279"/>
      <c r="V279"/>
      <c r="X279" s="33"/>
      <c r="Y279" s="20"/>
      <c r="Z279" s="20"/>
      <c r="AA279" s="20"/>
      <c r="AB279" s="20"/>
      <c r="AC279" s="20"/>
      <c r="AD279" s="17"/>
      <c r="AE279" s="17"/>
      <c r="AF279" s="20"/>
      <c r="AG279" s="17"/>
      <c r="AH279" s="20"/>
      <c r="AI279" s="17"/>
      <c r="AJ279" s="20"/>
      <c r="AK279" s="17"/>
      <c r="AL279" s="17"/>
      <c r="AM279" s="20"/>
      <c r="AN279" s="20"/>
      <c r="AO279" s="20"/>
      <c r="AP279" s="20"/>
      <c r="AQ279" s="17"/>
      <c r="AR279" s="17"/>
      <c r="AS279" s="20"/>
      <c r="AT279" s="17"/>
      <c r="AU279" s="17"/>
      <c r="AV279" s="17"/>
      <c r="AW279" s="17"/>
      <c r="AX279" s="17"/>
      <c r="AY279" s="17"/>
      <c r="AZ279" s="17"/>
      <c r="BA279" s="17"/>
      <c r="BB279" s="20"/>
      <c r="BC279" s="17"/>
      <c r="BD279" s="20"/>
      <c r="BE279" s="17"/>
      <c r="BF279" s="20"/>
      <c r="BG279" s="20"/>
      <c r="BH279" s="20"/>
      <c r="BI279" s="20"/>
    </row>
    <row r="280" spans="3:61" s="30" customFormat="1" ht="18" x14ac:dyDescent="0.35">
      <c r="C280" s="31"/>
      <c r="D280" s="31"/>
      <c r="E280" s="31"/>
      <c r="F280" s="19"/>
      <c r="G280" s="18"/>
      <c r="H280" s="18"/>
      <c r="I280" s="18"/>
      <c r="J280" s="18"/>
      <c r="K280" s="18"/>
      <c r="L280" s="18"/>
      <c r="M280" s="18"/>
      <c r="N280" s="18"/>
      <c r="P280"/>
      <c r="Q280"/>
      <c r="R280"/>
      <c r="S280"/>
      <c r="T280"/>
      <c r="U280"/>
      <c r="V280"/>
      <c r="X280" s="33"/>
      <c r="Y280" s="20"/>
      <c r="Z280" s="20"/>
      <c r="AA280" s="20"/>
      <c r="AB280" s="20"/>
      <c r="AC280" s="20"/>
      <c r="AD280" s="17"/>
      <c r="AE280" s="17"/>
      <c r="AF280" s="20"/>
      <c r="AG280" s="17"/>
      <c r="AH280" s="20"/>
      <c r="AI280" s="17"/>
      <c r="AJ280" s="20"/>
      <c r="AK280" s="17"/>
      <c r="AL280" s="17"/>
      <c r="AM280" s="20"/>
      <c r="AN280" s="20"/>
      <c r="AO280" s="20"/>
      <c r="AP280" s="20"/>
      <c r="AQ280" s="17"/>
      <c r="AR280" s="17"/>
      <c r="AS280" s="20"/>
      <c r="AT280" s="17"/>
      <c r="AU280" s="17"/>
      <c r="AV280" s="17"/>
      <c r="AW280" s="17"/>
      <c r="AX280" s="17"/>
      <c r="AY280" s="17"/>
      <c r="AZ280" s="17"/>
      <c r="BA280" s="17"/>
      <c r="BB280" s="20"/>
      <c r="BC280" s="17"/>
      <c r="BD280" s="20"/>
      <c r="BE280" s="17"/>
      <c r="BF280" s="20"/>
      <c r="BG280" s="20"/>
      <c r="BH280" s="20"/>
      <c r="BI280" s="20"/>
    </row>
    <row r="281" spans="3:61" s="30" customFormat="1" ht="18" x14ac:dyDescent="0.35">
      <c r="C281" s="31"/>
      <c r="D281" s="31"/>
      <c r="E281" s="31"/>
      <c r="F281" s="19"/>
      <c r="G281" s="18"/>
      <c r="H281" s="18"/>
      <c r="I281" s="18"/>
      <c r="J281" s="18"/>
      <c r="K281" s="18"/>
      <c r="L281" s="18"/>
      <c r="M281" s="18"/>
      <c r="N281" s="18"/>
      <c r="P281"/>
      <c r="Q281"/>
      <c r="R281"/>
      <c r="S281"/>
      <c r="T281"/>
      <c r="U281"/>
      <c r="V281"/>
      <c r="X281" s="33"/>
      <c r="Y281" s="20"/>
      <c r="Z281" s="20"/>
      <c r="AA281" s="20"/>
      <c r="AB281" s="20"/>
      <c r="AC281" s="20"/>
      <c r="AD281" s="17"/>
      <c r="AE281" s="17"/>
      <c r="AF281" s="20"/>
      <c r="AG281" s="17"/>
      <c r="AH281" s="20"/>
      <c r="AI281" s="17"/>
      <c r="AJ281" s="20"/>
      <c r="AK281" s="17"/>
      <c r="AL281" s="17"/>
      <c r="AM281" s="20"/>
      <c r="AN281" s="20"/>
      <c r="AO281" s="20"/>
      <c r="AP281" s="20"/>
      <c r="AQ281" s="17"/>
      <c r="AR281" s="17"/>
      <c r="AS281" s="20"/>
      <c r="AT281" s="17"/>
      <c r="AU281" s="17"/>
      <c r="AV281" s="17"/>
      <c r="AW281" s="17"/>
      <c r="AX281" s="17"/>
      <c r="AY281" s="17"/>
      <c r="AZ281" s="17"/>
      <c r="BA281" s="17"/>
      <c r="BB281" s="20"/>
      <c r="BC281" s="17"/>
      <c r="BD281" s="20"/>
      <c r="BE281" s="17"/>
      <c r="BF281" s="20"/>
      <c r="BG281" s="20"/>
      <c r="BH281" s="20"/>
      <c r="BI281" s="20"/>
    </row>
    <row r="282" spans="3:61" s="30" customFormat="1" ht="18" x14ac:dyDescent="0.35">
      <c r="C282" s="31"/>
      <c r="D282" s="31"/>
      <c r="E282" s="31"/>
      <c r="F282" s="19"/>
      <c r="G282" s="18"/>
      <c r="H282" s="18"/>
      <c r="I282" s="18"/>
      <c r="J282" s="18"/>
      <c r="K282" s="18"/>
      <c r="L282" s="18"/>
      <c r="M282" s="18"/>
      <c r="N282" s="18"/>
      <c r="P282"/>
      <c r="Q282"/>
      <c r="R282"/>
      <c r="S282"/>
      <c r="T282"/>
      <c r="U282"/>
      <c r="V282"/>
      <c r="X282" s="33"/>
      <c r="Y282" s="20"/>
      <c r="Z282" s="20"/>
      <c r="AA282" s="20"/>
      <c r="AB282" s="20"/>
      <c r="AC282" s="20"/>
      <c r="AD282" s="17"/>
      <c r="AE282" s="17"/>
      <c r="AF282" s="20"/>
      <c r="AG282" s="17"/>
      <c r="AH282" s="20"/>
      <c r="AI282" s="17"/>
      <c r="AJ282" s="20"/>
      <c r="AK282" s="17"/>
      <c r="AL282" s="17"/>
      <c r="AM282" s="20"/>
      <c r="AN282" s="20"/>
      <c r="AO282" s="20"/>
      <c r="AP282" s="20"/>
      <c r="AQ282" s="17"/>
      <c r="AR282" s="17"/>
      <c r="AS282" s="20"/>
      <c r="AT282" s="17"/>
      <c r="AU282" s="17"/>
      <c r="AV282" s="17"/>
      <c r="AW282" s="17"/>
      <c r="AX282" s="17"/>
      <c r="AY282" s="17"/>
      <c r="AZ282" s="17"/>
      <c r="BA282" s="17"/>
      <c r="BB282" s="20"/>
      <c r="BC282" s="17"/>
      <c r="BD282" s="20"/>
      <c r="BE282" s="17"/>
      <c r="BF282" s="20"/>
      <c r="BG282" s="20"/>
      <c r="BH282" s="20"/>
      <c r="BI282" s="20"/>
    </row>
    <row r="283" spans="3:61" s="30" customFormat="1" ht="18" x14ac:dyDescent="0.35">
      <c r="C283" s="31"/>
      <c r="D283" s="31"/>
      <c r="E283" s="31"/>
      <c r="F283" s="19"/>
      <c r="G283" s="18"/>
      <c r="H283" s="18"/>
      <c r="I283" s="18"/>
      <c r="J283" s="18"/>
      <c r="K283" s="18"/>
      <c r="L283" s="18"/>
      <c r="M283" s="18"/>
      <c r="N283" s="18"/>
      <c r="P283"/>
      <c r="Q283"/>
      <c r="R283"/>
      <c r="S283"/>
      <c r="T283"/>
      <c r="U283"/>
      <c r="V283"/>
      <c r="X283" s="33"/>
      <c r="Y283" s="20"/>
      <c r="Z283" s="20"/>
      <c r="AA283" s="20"/>
      <c r="AB283" s="20"/>
      <c r="AC283" s="20"/>
      <c r="AD283" s="17"/>
      <c r="AE283" s="17"/>
      <c r="AF283" s="20"/>
      <c r="AG283" s="17"/>
      <c r="AH283" s="20"/>
      <c r="AI283" s="17"/>
      <c r="AJ283" s="20"/>
      <c r="AK283" s="17"/>
      <c r="AL283" s="17"/>
      <c r="AM283" s="20"/>
      <c r="AN283" s="20"/>
      <c r="AO283" s="20"/>
      <c r="AP283" s="20"/>
      <c r="AQ283" s="17"/>
      <c r="AR283" s="17"/>
      <c r="AS283" s="20"/>
      <c r="AT283" s="17"/>
      <c r="AU283" s="17"/>
      <c r="AV283" s="17"/>
      <c r="AW283" s="17"/>
      <c r="AX283" s="17"/>
      <c r="AY283" s="17"/>
      <c r="AZ283" s="17"/>
      <c r="BA283" s="17"/>
      <c r="BB283" s="20"/>
      <c r="BC283" s="17"/>
      <c r="BD283" s="20"/>
      <c r="BE283" s="17"/>
      <c r="BF283" s="20"/>
      <c r="BG283" s="20"/>
      <c r="BH283" s="20"/>
      <c r="BI283" s="20"/>
    </row>
    <row r="284" spans="3:61" s="30" customFormat="1" ht="18" x14ac:dyDescent="0.35">
      <c r="C284" s="31"/>
      <c r="D284" s="31"/>
      <c r="E284" s="31"/>
      <c r="F284" s="19"/>
      <c r="G284" s="18"/>
      <c r="H284" s="18"/>
      <c r="I284" s="18"/>
      <c r="J284" s="18"/>
      <c r="K284" s="18"/>
      <c r="L284" s="18"/>
      <c r="M284" s="18"/>
      <c r="N284" s="18"/>
      <c r="P284"/>
      <c r="Q284"/>
      <c r="R284"/>
      <c r="S284"/>
      <c r="T284"/>
      <c r="U284"/>
      <c r="V284"/>
      <c r="X284" s="33"/>
      <c r="Y284" s="20"/>
      <c r="Z284" s="20"/>
      <c r="AA284" s="20"/>
      <c r="AB284" s="20"/>
      <c r="AC284" s="20"/>
      <c r="AD284" s="17"/>
      <c r="AE284" s="17"/>
      <c r="AF284" s="20"/>
      <c r="AG284" s="17"/>
      <c r="AH284" s="20"/>
      <c r="AI284" s="17"/>
      <c r="AJ284" s="20"/>
      <c r="AK284" s="17"/>
      <c r="AL284" s="17"/>
      <c r="AM284" s="20"/>
      <c r="AN284" s="20"/>
      <c r="AO284" s="20"/>
      <c r="AP284" s="20"/>
      <c r="AQ284" s="17"/>
      <c r="AR284" s="17"/>
      <c r="AS284" s="20"/>
      <c r="AT284" s="17"/>
      <c r="AU284" s="17"/>
      <c r="AV284" s="17"/>
      <c r="AW284" s="17"/>
      <c r="AX284" s="17"/>
      <c r="AY284" s="17"/>
      <c r="AZ284" s="17"/>
      <c r="BA284" s="17"/>
      <c r="BB284" s="20"/>
      <c r="BC284" s="17"/>
      <c r="BD284" s="20"/>
      <c r="BE284" s="17"/>
      <c r="BF284" s="20"/>
      <c r="BG284" s="20"/>
      <c r="BH284" s="20"/>
      <c r="BI284" s="20"/>
    </row>
    <row r="285" spans="3:61" s="30" customFormat="1" ht="18" x14ac:dyDescent="0.35">
      <c r="C285" s="31"/>
      <c r="D285" s="31"/>
      <c r="E285" s="31"/>
      <c r="F285" s="19"/>
      <c r="G285" s="18"/>
      <c r="H285" s="18"/>
      <c r="I285" s="18"/>
      <c r="J285" s="18"/>
      <c r="K285" s="18"/>
      <c r="L285" s="18"/>
      <c r="M285" s="18"/>
      <c r="N285" s="18"/>
      <c r="P285"/>
      <c r="Q285"/>
      <c r="R285"/>
      <c r="S285"/>
      <c r="T285"/>
      <c r="U285"/>
      <c r="V285"/>
      <c r="X285" s="33"/>
      <c r="Y285" s="20"/>
      <c r="Z285" s="20"/>
      <c r="AA285" s="20"/>
      <c r="AB285" s="20"/>
      <c r="AC285" s="20"/>
      <c r="AD285" s="17"/>
      <c r="AE285" s="17"/>
      <c r="AF285" s="20"/>
      <c r="AG285" s="17"/>
      <c r="AH285" s="20"/>
      <c r="AI285" s="17"/>
      <c r="AJ285" s="20"/>
      <c r="AK285" s="17"/>
      <c r="AL285" s="17"/>
      <c r="AM285" s="20"/>
      <c r="AN285" s="20"/>
      <c r="AO285" s="20"/>
      <c r="AP285" s="20"/>
      <c r="AQ285" s="17"/>
      <c r="AR285" s="17"/>
      <c r="AS285" s="20"/>
      <c r="AT285" s="17"/>
      <c r="AU285" s="17"/>
      <c r="AV285" s="17"/>
      <c r="AW285" s="17"/>
      <c r="AX285" s="17"/>
      <c r="AY285" s="17"/>
      <c r="AZ285" s="17"/>
      <c r="BA285" s="17"/>
      <c r="BB285" s="20"/>
      <c r="BC285" s="17"/>
      <c r="BD285" s="20"/>
      <c r="BE285" s="17"/>
      <c r="BF285" s="20"/>
      <c r="BG285" s="20"/>
      <c r="BH285" s="20"/>
      <c r="BI285" s="20"/>
    </row>
    <row r="286" spans="3:61" s="30" customFormat="1" ht="18" x14ac:dyDescent="0.35">
      <c r="C286" s="31"/>
      <c r="D286" s="31"/>
      <c r="E286" s="31"/>
      <c r="F286" s="19"/>
      <c r="G286" s="18"/>
      <c r="H286" s="18"/>
      <c r="I286" s="18"/>
      <c r="J286" s="18"/>
      <c r="K286" s="18"/>
      <c r="L286" s="18"/>
      <c r="M286" s="18"/>
      <c r="N286" s="18"/>
      <c r="P286"/>
      <c r="Q286"/>
      <c r="R286"/>
      <c r="S286"/>
      <c r="T286"/>
      <c r="U286"/>
      <c r="V286"/>
      <c r="X286" s="33"/>
      <c r="Y286" s="20"/>
      <c r="Z286" s="20"/>
      <c r="AA286" s="20"/>
      <c r="AB286" s="20"/>
      <c r="AC286" s="20"/>
      <c r="AD286" s="17"/>
      <c r="AE286" s="17"/>
      <c r="AF286" s="20"/>
      <c r="AG286" s="17"/>
      <c r="AH286" s="20"/>
      <c r="AI286" s="17"/>
      <c r="AJ286" s="20"/>
      <c r="AK286" s="17"/>
      <c r="AL286" s="17"/>
      <c r="AM286" s="20"/>
      <c r="AN286" s="20"/>
      <c r="AO286" s="20"/>
      <c r="AP286" s="20"/>
      <c r="AQ286" s="17"/>
      <c r="AR286" s="17"/>
      <c r="AS286" s="20"/>
      <c r="AT286" s="17"/>
      <c r="AU286" s="17"/>
      <c r="AV286" s="17"/>
      <c r="AW286" s="17"/>
      <c r="AX286" s="17"/>
      <c r="AY286" s="17"/>
      <c r="AZ286" s="17"/>
      <c r="BA286" s="17"/>
      <c r="BB286" s="20"/>
      <c r="BC286" s="17"/>
      <c r="BD286" s="20"/>
      <c r="BE286" s="17"/>
      <c r="BF286" s="20"/>
      <c r="BG286" s="20"/>
      <c r="BH286" s="20"/>
      <c r="BI286" s="20"/>
    </row>
    <row r="287" spans="3:61" s="30" customFormat="1" ht="18" x14ac:dyDescent="0.35">
      <c r="C287" s="31"/>
      <c r="D287" s="31"/>
      <c r="E287" s="31"/>
      <c r="F287" s="19"/>
      <c r="G287" s="18"/>
      <c r="H287" s="18"/>
      <c r="I287" s="18"/>
      <c r="J287" s="18"/>
      <c r="K287" s="18"/>
      <c r="L287" s="18"/>
      <c r="M287" s="18"/>
      <c r="N287" s="18"/>
      <c r="P287"/>
      <c r="Q287"/>
      <c r="R287"/>
      <c r="S287"/>
      <c r="T287"/>
      <c r="U287"/>
      <c r="V287"/>
      <c r="X287" s="33"/>
      <c r="Y287" s="20"/>
      <c r="Z287" s="20"/>
      <c r="AA287" s="20"/>
      <c r="AB287" s="20"/>
      <c r="AC287" s="20"/>
      <c r="AD287" s="17"/>
      <c r="AE287" s="17"/>
      <c r="AF287" s="20"/>
      <c r="AG287" s="17"/>
      <c r="AH287" s="20"/>
      <c r="AI287" s="17"/>
      <c r="AJ287" s="20"/>
      <c r="AK287" s="17"/>
      <c r="AL287" s="17"/>
      <c r="AM287" s="20"/>
      <c r="AN287" s="20"/>
      <c r="AO287" s="20"/>
      <c r="AP287" s="20"/>
      <c r="AQ287" s="17"/>
      <c r="AR287" s="17"/>
      <c r="AS287" s="20"/>
      <c r="AT287" s="17"/>
      <c r="AU287" s="17"/>
      <c r="AV287" s="17"/>
      <c r="AW287" s="17"/>
      <c r="AX287" s="17"/>
      <c r="AY287" s="17"/>
      <c r="AZ287" s="17"/>
      <c r="BA287" s="17"/>
      <c r="BB287" s="20"/>
      <c r="BC287" s="17"/>
      <c r="BD287" s="20"/>
      <c r="BE287" s="17"/>
      <c r="BF287" s="20"/>
      <c r="BG287" s="20"/>
      <c r="BH287" s="20"/>
      <c r="BI287" s="20"/>
    </row>
    <row r="288" spans="3:61" s="30" customFormat="1" ht="18" x14ac:dyDescent="0.35">
      <c r="C288" s="31"/>
      <c r="D288" s="31"/>
      <c r="E288" s="31"/>
      <c r="F288" s="19"/>
      <c r="G288" s="18"/>
      <c r="H288" s="18"/>
      <c r="I288" s="18"/>
      <c r="J288" s="18"/>
      <c r="K288" s="18"/>
      <c r="L288" s="18"/>
      <c r="M288" s="18"/>
      <c r="N288" s="18"/>
      <c r="P288"/>
      <c r="Q288"/>
      <c r="R288"/>
      <c r="S288"/>
      <c r="T288"/>
      <c r="U288"/>
      <c r="V288"/>
      <c r="X288" s="33"/>
      <c r="Y288" s="20"/>
      <c r="Z288" s="20"/>
      <c r="AA288" s="20"/>
      <c r="AB288" s="20"/>
      <c r="AC288" s="20"/>
      <c r="AD288" s="17"/>
      <c r="AE288" s="17"/>
      <c r="AF288" s="20"/>
      <c r="AG288" s="17"/>
      <c r="AH288" s="20"/>
      <c r="AI288" s="17"/>
      <c r="AJ288" s="20"/>
      <c r="AK288" s="17"/>
      <c r="AL288" s="17"/>
      <c r="AM288" s="20"/>
      <c r="AN288" s="20"/>
      <c r="AO288" s="20"/>
      <c r="AP288" s="20"/>
      <c r="AQ288" s="17"/>
      <c r="AR288" s="17"/>
      <c r="AS288" s="20"/>
      <c r="AT288" s="17"/>
      <c r="AU288" s="17"/>
      <c r="AV288" s="17"/>
      <c r="AW288" s="17"/>
      <c r="AX288" s="17"/>
      <c r="AY288" s="17"/>
      <c r="AZ288" s="17"/>
      <c r="BA288" s="17"/>
      <c r="BB288" s="20"/>
      <c r="BC288" s="17"/>
      <c r="BD288" s="20"/>
      <c r="BE288" s="17"/>
      <c r="BF288" s="20"/>
      <c r="BG288" s="20"/>
      <c r="BH288" s="20"/>
      <c r="BI288" s="20"/>
    </row>
    <row r="289" spans="3:61" s="30" customFormat="1" ht="18" x14ac:dyDescent="0.35">
      <c r="C289" s="31"/>
      <c r="D289" s="31"/>
      <c r="E289" s="31"/>
      <c r="F289" s="19"/>
      <c r="G289" s="18"/>
      <c r="H289" s="18"/>
      <c r="I289" s="18"/>
      <c r="J289" s="18"/>
      <c r="K289" s="18"/>
      <c r="L289" s="18"/>
      <c r="M289" s="18"/>
      <c r="N289" s="18"/>
      <c r="P289"/>
      <c r="Q289"/>
      <c r="R289"/>
      <c r="S289"/>
      <c r="T289"/>
      <c r="U289"/>
      <c r="V289"/>
      <c r="X289" s="33"/>
      <c r="Y289" s="20"/>
      <c r="Z289" s="20"/>
      <c r="AA289" s="20"/>
      <c r="AB289" s="20"/>
      <c r="AC289" s="20"/>
      <c r="AD289" s="17"/>
      <c r="AE289" s="17"/>
      <c r="AF289" s="20"/>
      <c r="AG289" s="17"/>
      <c r="AH289" s="20"/>
      <c r="AI289" s="17"/>
      <c r="AJ289" s="20"/>
      <c r="AK289" s="17"/>
      <c r="AL289" s="17"/>
      <c r="AM289" s="20"/>
      <c r="AN289" s="20"/>
      <c r="AO289" s="20"/>
      <c r="AP289" s="20"/>
      <c r="AQ289" s="17"/>
      <c r="AR289" s="17"/>
      <c r="AS289" s="20"/>
      <c r="AT289" s="17"/>
      <c r="AU289" s="17"/>
      <c r="AV289" s="17"/>
      <c r="AW289" s="17"/>
      <c r="AX289" s="17"/>
      <c r="AY289" s="17"/>
      <c r="AZ289" s="17"/>
      <c r="BA289" s="17"/>
      <c r="BB289" s="20"/>
      <c r="BC289" s="17"/>
      <c r="BD289" s="20"/>
      <c r="BE289" s="17"/>
      <c r="BF289" s="20"/>
      <c r="BG289" s="20"/>
      <c r="BH289" s="20"/>
      <c r="BI289" s="20"/>
    </row>
    <row r="290" spans="3:61" s="30" customFormat="1" ht="18" x14ac:dyDescent="0.35">
      <c r="C290" s="31"/>
      <c r="D290" s="31"/>
      <c r="E290" s="31"/>
      <c r="F290" s="19"/>
      <c r="G290" s="18"/>
      <c r="H290" s="18"/>
      <c r="I290" s="18"/>
      <c r="J290" s="18"/>
      <c r="K290" s="18"/>
      <c r="L290" s="18"/>
      <c r="M290" s="18"/>
      <c r="N290" s="18"/>
      <c r="P290"/>
      <c r="Q290"/>
      <c r="R290"/>
      <c r="S290"/>
      <c r="T290"/>
      <c r="U290"/>
      <c r="V290"/>
      <c r="X290" s="33"/>
      <c r="Y290" s="20"/>
      <c r="Z290" s="20"/>
      <c r="AA290" s="20"/>
      <c r="AB290" s="20"/>
      <c r="AC290" s="20"/>
      <c r="AD290" s="17"/>
      <c r="AE290" s="17"/>
      <c r="AF290" s="20"/>
      <c r="AG290" s="17"/>
      <c r="AH290" s="20"/>
      <c r="AI290" s="17"/>
      <c r="AJ290" s="20"/>
      <c r="AK290" s="17"/>
      <c r="AL290" s="17"/>
      <c r="AM290" s="20"/>
      <c r="AN290" s="20"/>
      <c r="AO290" s="20"/>
      <c r="AP290" s="20"/>
      <c r="AQ290" s="17"/>
      <c r="AR290" s="17"/>
      <c r="AS290" s="20"/>
      <c r="AT290" s="17"/>
      <c r="AU290" s="17"/>
      <c r="AV290" s="17"/>
      <c r="AW290" s="17"/>
      <c r="AX290" s="17"/>
      <c r="AY290" s="17"/>
      <c r="AZ290" s="17"/>
      <c r="BA290" s="17"/>
      <c r="BB290" s="20"/>
      <c r="BC290" s="17"/>
      <c r="BD290" s="20"/>
      <c r="BE290" s="17"/>
      <c r="BF290" s="20"/>
      <c r="BG290" s="20"/>
      <c r="BH290" s="20"/>
      <c r="BI290" s="20"/>
    </row>
    <row r="291" spans="3:61" s="30" customFormat="1" ht="18" x14ac:dyDescent="0.35">
      <c r="C291" s="31"/>
      <c r="D291" s="31"/>
      <c r="E291" s="31"/>
      <c r="F291" s="19"/>
      <c r="G291" s="18"/>
      <c r="H291" s="18"/>
      <c r="I291" s="18"/>
      <c r="J291" s="18"/>
      <c r="K291" s="18"/>
      <c r="L291" s="18"/>
      <c r="M291" s="18"/>
      <c r="N291" s="18"/>
      <c r="P291"/>
      <c r="Q291"/>
      <c r="R291"/>
      <c r="S291"/>
      <c r="T291"/>
      <c r="U291"/>
      <c r="V291"/>
      <c r="X291" s="33"/>
      <c r="Y291" s="20"/>
      <c r="Z291" s="20"/>
      <c r="AA291" s="20"/>
      <c r="AB291" s="20"/>
      <c r="AC291" s="20"/>
      <c r="AD291" s="17"/>
      <c r="AE291" s="17"/>
      <c r="AF291" s="20"/>
      <c r="AG291" s="17"/>
      <c r="AH291" s="20"/>
      <c r="AI291" s="17"/>
      <c r="AJ291" s="20"/>
      <c r="AK291" s="17"/>
      <c r="AL291" s="17"/>
      <c r="AM291" s="20"/>
      <c r="AN291" s="20"/>
      <c r="AO291" s="20"/>
      <c r="AP291" s="20"/>
      <c r="AQ291" s="17"/>
      <c r="AR291" s="17"/>
      <c r="AS291" s="20"/>
      <c r="AT291" s="17"/>
      <c r="AU291" s="17"/>
      <c r="AV291" s="17"/>
      <c r="AW291" s="17"/>
      <c r="AX291" s="17"/>
      <c r="AY291" s="17"/>
      <c r="AZ291" s="17"/>
      <c r="BA291" s="17"/>
      <c r="BB291" s="20"/>
      <c r="BC291" s="17"/>
      <c r="BD291" s="20"/>
      <c r="BE291" s="17"/>
      <c r="BF291" s="20"/>
      <c r="BG291" s="20"/>
      <c r="BH291" s="20"/>
      <c r="BI291" s="20"/>
    </row>
    <row r="292" spans="3:61" s="30" customFormat="1" ht="18" x14ac:dyDescent="0.35">
      <c r="C292" s="31"/>
      <c r="D292" s="31"/>
      <c r="E292" s="31"/>
      <c r="F292" s="19"/>
      <c r="G292" s="18"/>
      <c r="H292" s="18"/>
      <c r="I292" s="18"/>
      <c r="J292" s="18"/>
      <c r="K292" s="18"/>
      <c r="L292" s="18"/>
      <c r="M292" s="18"/>
      <c r="N292" s="18"/>
      <c r="P292"/>
      <c r="Q292"/>
      <c r="R292"/>
      <c r="S292"/>
      <c r="T292"/>
      <c r="U292"/>
      <c r="V292"/>
      <c r="X292" s="33"/>
      <c r="Y292" s="20"/>
      <c r="Z292" s="20"/>
      <c r="AA292" s="20"/>
      <c r="AB292" s="20"/>
      <c r="AC292" s="20"/>
      <c r="AD292" s="17"/>
      <c r="AE292" s="17"/>
      <c r="AF292" s="20"/>
      <c r="AG292" s="17"/>
      <c r="AH292" s="20"/>
      <c r="AI292" s="17"/>
      <c r="AJ292" s="20"/>
      <c r="AK292" s="17"/>
      <c r="AL292" s="17"/>
      <c r="AM292" s="20"/>
      <c r="AN292" s="20"/>
      <c r="AO292" s="20"/>
      <c r="AP292" s="20"/>
      <c r="AQ292" s="17"/>
      <c r="AR292" s="17"/>
      <c r="AS292" s="20"/>
      <c r="AT292" s="17"/>
      <c r="AU292" s="17"/>
      <c r="AV292" s="17"/>
      <c r="AW292" s="17"/>
      <c r="AX292" s="17"/>
      <c r="AY292" s="17"/>
      <c r="AZ292" s="17"/>
      <c r="BA292" s="17"/>
      <c r="BB292" s="20"/>
      <c r="BC292" s="17"/>
      <c r="BD292" s="20"/>
      <c r="BE292" s="17"/>
      <c r="BF292" s="20"/>
      <c r="BG292" s="20"/>
      <c r="BH292" s="20"/>
      <c r="BI292" s="20"/>
    </row>
    <row r="293" spans="3:61" s="30" customFormat="1" ht="18" x14ac:dyDescent="0.35">
      <c r="C293" s="31"/>
      <c r="D293" s="31"/>
      <c r="E293" s="31"/>
      <c r="F293" s="19"/>
      <c r="G293" s="18"/>
      <c r="H293" s="18"/>
      <c r="I293" s="18"/>
      <c r="J293" s="18"/>
      <c r="K293" s="18"/>
      <c r="L293" s="18"/>
      <c r="M293" s="18"/>
      <c r="N293" s="18"/>
      <c r="P293"/>
      <c r="Q293"/>
      <c r="R293"/>
      <c r="S293"/>
      <c r="T293"/>
      <c r="U293"/>
      <c r="V293"/>
      <c r="X293" s="33"/>
      <c r="Y293" s="20"/>
      <c r="Z293" s="20"/>
      <c r="AA293" s="20"/>
      <c r="AB293" s="20"/>
      <c r="AC293" s="20"/>
      <c r="AD293" s="17"/>
      <c r="AE293" s="17"/>
      <c r="AF293" s="20"/>
      <c r="AG293" s="17"/>
      <c r="AH293" s="20"/>
      <c r="AI293" s="17"/>
      <c r="AJ293" s="20"/>
      <c r="AK293" s="17"/>
      <c r="AL293" s="17"/>
      <c r="AM293" s="20"/>
      <c r="AN293" s="20"/>
      <c r="AO293" s="20"/>
      <c r="AP293" s="20"/>
      <c r="AQ293" s="17"/>
      <c r="AR293" s="17"/>
      <c r="AS293" s="20"/>
      <c r="AT293" s="17"/>
      <c r="AU293" s="17"/>
      <c r="AV293" s="17"/>
      <c r="AW293" s="17"/>
      <c r="AX293" s="17"/>
      <c r="AY293" s="17"/>
      <c r="AZ293" s="17"/>
      <c r="BA293" s="17"/>
      <c r="BB293" s="20"/>
      <c r="BC293" s="17"/>
      <c r="BD293" s="20"/>
      <c r="BE293" s="17"/>
      <c r="BF293" s="20"/>
      <c r="BG293" s="20"/>
      <c r="BH293" s="20"/>
      <c r="BI293" s="20"/>
    </row>
    <row r="294" spans="3:61" s="30" customFormat="1" ht="18" x14ac:dyDescent="0.35">
      <c r="C294" s="31"/>
      <c r="D294" s="31"/>
      <c r="E294" s="31"/>
      <c r="F294" s="19"/>
      <c r="G294" s="18"/>
      <c r="H294" s="18"/>
      <c r="I294" s="18"/>
      <c r="J294" s="18"/>
      <c r="K294" s="18"/>
      <c r="L294" s="18"/>
      <c r="M294" s="18"/>
      <c r="N294" s="18"/>
      <c r="P294"/>
      <c r="Q294"/>
      <c r="R294"/>
      <c r="S294"/>
      <c r="T294"/>
      <c r="U294"/>
      <c r="V294"/>
      <c r="X294" s="33"/>
      <c r="Y294" s="20"/>
      <c r="Z294" s="20"/>
      <c r="AA294" s="20"/>
      <c r="AB294" s="20"/>
      <c r="AC294" s="20"/>
      <c r="AD294" s="17"/>
      <c r="AE294" s="17"/>
      <c r="AF294" s="20"/>
      <c r="AG294" s="17"/>
      <c r="AH294" s="20"/>
      <c r="AI294" s="17"/>
      <c r="AJ294" s="20"/>
      <c r="AK294" s="17"/>
      <c r="AL294" s="17"/>
      <c r="AM294" s="20"/>
      <c r="AN294" s="20"/>
      <c r="AO294" s="20"/>
      <c r="AP294" s="20"/>
      <c r="AQ294" s="17"/>
      <c r="AR294" s="17"/>
      <c r="AS294" s="20"/>
      <c r="AT294" s="17"/>
      <c r="AU294" s="17"/>
      <c r="AV294" s="17"/>
      <c r="AW294" s="17"/>
      <c r="AX294" s="17"/>
      <c r="AY294" s="17"/>
      <c r="AZ294" s="17"/>
      <c r="BA294" s="17"/>
      <c r="BB294" s="20"/>
      <c r="BC294" s="17"/>
      <c r="BD294" s="20"/>
      <c r="BE294" s="17"/>
      <c r="BF294" s="20"/>
      <c r="BG294" s="20"/>
      <c r="BH294" s="20"/>
      <c r="BI294" s="20"/>
    </row>
    <row r="295" spans="3:61" s="30" customFormat="1" ht="18" x14ac:dyDescent="0.35">
      <c r="C295" s="31"/>
      <c r="D295" s="31"/>
      <c r="E295" s="31"/>
      <c r="F295" s="19"/>
      <c r="G295" s="18"/>
      <c r="H295" s="18"/>
      <c r="I295" s="18"/>
      <c r="J295" s="18"/>
      <c r="K295" s="18"/>
      <c r="L295" s="18"/>
      <c r="M295" s="18"/>
      <c r="N295" s="18"/>
      <c r="P295"/>
      <c r="Q295"/>
      <c r="R295"/>
      <c r="S295"/>
      <c r="T295"/>
      <c r="U295"/>
      <c r="V295"/>
      <c r="X295" s="33"/>
      <c r="Y295" s="20"/>
      <c r="Z295" s="20"/>
      <c r="AA295" s="20"/>
      <c r="AB295" s="20"/>
      <c r="AC295" s="20"/>
      <c r="AD295" s="17"/>
      <c r="AE295" s="17"/>
      <c r="AF295" s="20"/>
      <c r="AG295" s="17"/>
      <c r="AH295" s="20"/>
      <c r="AI295" s="17"/>
      <c r="AJ295" s="20"/>
      <c r="AK295" s="17"/>
      <c r="AL295" s="17"/>
      <c r="AM295" s="20"/>
      <c r="AN295" s="20"/>
      <c r="AO295" s="20"/>
      <c r="AP295" s="20"/>
      <c r="AQ295" s="17"/>
      <c r="AR295" s="17"/>
      <c r="AS295" s="20"/>
      <c r="AT295" s="17"/>
      <c r="AU295" s="17"/>
      <c r="AV295" s="17"/>
      <c r="AW295" s="17"/>
      <c r="AX295" s="17"/>
      <c r="AY295" s="17"/>
      <c r="AZ295" s="17"/>
      <c r="BA295" s="17"/>
      <c r="BB295" s="20"/>
      <c r="BC295" s="17"/>
      <c r="BD295" s="20"/>
      <c r="BE295" s="17"/>
      <c r="BF295" s="20"/>
      <c r="BG295" s="20"/>
      <c r="BH295" s="20"/>
      <c r="BI295" s="20"/>
    </row>
    <row r="296" spans="3:61" s="30" customFormat="1" ht="18" x14ac:dyDescent="0.35">
      <c r="C296" s="31"/>
      <c r="D296" s="31"/>
      <c r="E296" s="31"/>
      <c r="F296" s="19"/>
      <c r="G296" s="18"/>
      <c r="H296" s="18"/>
      <c r="I296" s="18"/>
      <c r="J296" s="18"/>
      <c r="K296" s="18"/>
      <c r="L296" s="18"/>
      <c r="M296" s="18"/>
      <c r="N296" s="18"/>
      <c r="P296"/>
      <c r="Q296"/>
      <c r="R296"/>
      <c r="S296"/>
      <c r="T296"/>
      <c r="U296"/>
      <c r="V296"/>
      <c r="X296" s="33"/>
      <c r="Y296" s="20"/>
      <c r="Z296" s="20"/>
      <c r="AA296" s="20"/>
      <c r="AB296" s="20"/>
      <c r="AC296" s="20"/>
      <c r="AD296" s="17"/>
      <c r="AE296" s="17"/>
      <c r="AF296" s="20"/>
      <c r="AG296" s="17"/>
      <c r="AH296" s="20"/>
      <c r="AI296" s="17"/>
      <c r="AJ296" s="20"/>
      <c r="AK296" s="17"/>
      <c r="AL296" s="17"/>
      <c r="AM296" s="20"/>
      <c r="AN296" s="20"/>
      <c r="AO296" s="20"/>
      <c r="AP296" s="20"/>
      <c r="AQ296" s="17"/>
      <c r="AR296" s="17"/>
      <c r="AS296" s="20"/>
      <c r="AT296" s="17"/>
      <c r="AU296" s="17"/>
      <c r="AV296" s="17"/>
      <c r="AW296" s="17"/>
      <c r="AX296" s="17"/>
      <c r="AY296" s="17"/>
      <c r="AZ296" s="17"/>
      <c r="BA296" s="17"/>
      <c r="BB296" s="20"/>
      <c r="BC296" s="17"/>
      <c r="BD296" s="20"/>
      <c r="BE296" s="17"/>
      <c r="BF296" s="20"/>
      <c r="BG296" s="20"/>
      <c r="BH296" s="20"/>
      <c r="BI296" s="20"/>
    </row>
    <row r="297" spans="3:61" s="30" customFormat="1" ht="18" x14ac:dyDescent="0.35">
      <c r="C297" s="31"/>
      <c r="D297" s="31"/>
      <c r="E297" s="31"/>
      <c r="F297" s="19"/>
      <c r="G297" s="18"/>
      <c r="H297" s="18"/>
      <c r="I297" s="18"/>
      <c r="J297" s="18"/>
      <c r="K297" s="18"/>
      <c r="L297" s="18"/>
      <c r="M297" s="18"/>
      <c r="N297" s="18"/>
      <c r="P297"/>
      <c r="Q297"/>
      <c r="R297"/>
      <c r="S297"/>
      <c r="T297"/>
      <c r="U297"/>
      <c r="V297"/>
      <c r="X297" s="33"/>
      <c r="Y297" s="20"/>
      <c r="Z297" s="20"/>
      <c r="AA297" s="20"/>
      <c r="AB297" s="20"/>
      <c r="AC297" s="20"/>
      <c r="AD297" s="17"/>
      <c r="AE297" s="17"/>
      <c r="AF297" s="20"/>
      <c r="AG297" s="17"/>
      <c r="AH297" s="20"/>
      <c r="AI297" s="17"/>
      <c r="AJ297" s="20"/>
      <c r="AK297" s="17"/>
      <c r="AL297" s="17"/>
      <c r="AM297" s="20"/>
      <c r="AN297" s="20"/>
      <c r="AO297" s="20"/>
      <c r="AP297" s="20"/>
      <c r="AQ297" s="17"/>
      <c r="AR297" s="17"/>
      <c r="AS297" s="20"/>
      <c r="AT297" s="17"/>
      <c r="AU297" s="17"/>
      <c r="AV297" s="17"/>
      <c r="AW297" s="17"/>
      <c r="AX297" s="17"/>
      <c r="AY297" s="17"/>
      <c r="AZ297" s="17"/>
      <c r="BA297" s="17"/>
      <c r="BB297" s="20"/>
      <c r="BC297" s="17"/>
      <c r="BD297" s="20"/>
      <c r="BE297" s="17"/>
      <c r="BF297" s="20"/>
      <c r="BG297" s="20"/>
      <c r="BH297" s="20"/>
      <c r="BI297" s="20"/>
    </row>
    <row r="298" spans="3:61" s="30" customFormat="1" ht="18" x14ac:dyDescent="0.35">
      <c r="C298" s="31"/>
      <c r="D298" s="31"/>
      <c r="E298" s="31"/>
      <c r="F298" s="19"/>
      <c r="G298" s="18"/>
      <c r="H298" s="18"/>
      <c r="I298" s="18"/>
      <c r="J298" s="18"/>
      <c r="K298" s="18"/>
      <c r="L298" s="18"/>
      <c r="M298" s="18"/>
      <c r="N298" s="18"/>
      <c r="P298"/>
      <c r="Q298"/>
      <c r="R298"/>
      <c r="S298"/>
      <c r="T298"/>
      <c r="U298"/>
      <c r="V298"/>
      <c r="X298" s="33"/>
      <c r="Y298" s="20"/>
      <c r="Z298" s="20"/>
      <c r="AA298" s="20"/>
      <c r="AB298" s="20"/>
      <c r="AC298" s="20"/>
      <c r="AD298" s="17"/>
      <c r="AE298" s="17"/>
      <c r="AF298" s="20"/>
      <c r="AG298" s="17"/>
      <c r="AH298" s="20"/>
      <c r="AI298" s="17"/>
      <c r="AJ298" s="20"/>
      <c r="AK298" s="17"/>
      <c r="AL298" s="17"/>
      <c r="AM298" s="20"/>
      <c r="AN298" s="20"/>
      <c r="AO298" s="20"/>
      <c r="AP298" s="20"/>
      <c r="AQ298" s="17"/>
      <c r="AR298" s="17"/>
      <c r="AS298" s="20"/>
      <c r="AT298" s="17"/>
      <c r="AU298" s="17"/>
      <c r="AV298" s="17"/>
      <c r="AW298" s="17"/>
      <c r="AX298" s="17"/>
      <c r="AY298" s="17"/>
      <c r="AZ298" s="17"/>
      <c r="BA298" s="17"/>
      <c r="BB298" s="20"/>
      <c r="BC298" s="17"/>
      <c r="BD298" s="20"/>
      <c r="BE298" s="17"/>
      <c r="BF298" s="20"/>
      <c r="BG298" s="20"/>
      <c r="BH298" s="20"/>
      <c r="BI298" s="20"/>
    </row>
    <row r="299" spans="3:61" s="30" customFormat="1" ht="18" x14ac:dyDescent="0.35">
      <c r="C299" s="31"/>
      <c r="D299" s="31"/>
      <c r="E299" s="31"/>
      <c r="F299" s="19"/>
      <c r="G299" s="18"/>
      <c r="H299" s="18"/>
      <c r="I299" s="18"/>
      <c r="J299" s="18"/>
      <c r="K299" s="18"/>
      <c r="L299" s="18"/>
      <c r="M299" s="18"/>
      <c r="N299" s="18"/>
      <c r="P299"/>
      <c r="Q299"/>
      <c r="R299"/>
      <c r="S299"/>
      <c r="T299"/>
      <c r="U299"/>
      <c r="V299"/>
      <c r="X299" s="33"/>
      <c r="Y299" s="20"/>
      <c r="Z299" s="20"/>
      <c r="AA299" s="20"/>
      <c r="AB299" s="20"/>
      <c r="AC299" s="20"/>
      <c r="AD299" s="17"/>
      <c r="AE299" s="17"/>
      <c r="AF299" s="20"/>
      <c r="AG299" s="17"/>
      <c r="AH299" s="20"/>
      <c r="AI299" s="17"/>
      <c r="AJ299" s="20"/>
      <c r="AK299" s="17"/>
      <c r="AL299" s="17"/>
      <c r="AM299" s="20"/>
      <c r="AN299" s="20"/>
      <c r="AO299" s="20"/>
      <c r="AP299" s="20"/>
      <c r="AQ299" s="17"/>
      <c r="AR299" s="17"/>
      <c r="AS299" s="20"/>
      <c r="AT299" s="17"/>
      <c r="AU299" s="17"/>
      <c r="AV299" s="17"/>
      <c r="AW299" s="17"/>
      <c r="AX299" s="17"/>
      <c r="AY299" s="17"/>
      <c r="AZ299" s="17"/>
      <c r="BA299" s="17"/>
      <c r="BB299" s="20"/>
      <c r="BC299" s="17"/>
      <c r="BD299" s="20"/>
      <c r="BE299" s="17"/>
      <c r="BF299" s="20"/>
      <c r="BG299" s="20"/>
      <c r="BH299" s="20"/>
      <c r="BI299" s="20"/>
    </row>
    <row r="300" spans="3:61" s="30" customFormat="1" ht="18" x14ac:dyDescent="0.35">
      <c r="C300" s="31"/>
      <c r="D300" s="31"/>
      <c r="E300" s="31"/>
      <c r="F300" s="19"/>
      <c r="G300" s="18"/>
      <c r="H300" s="18"/>
      <c r="I300" s="18"/>
      <c r="J300" s="18"/>
      <c r="K300" s="18"/>
      <c r="L300" s="18"/>
      <c r="M300" s="18"/>
      <c r="N300" s="18"/>
      <c r="P300"/>
      <c r="Q300"/>
      <c r="R300"/>
      <c r="S300"/>
      <c r="T300"/>
      <c r="U300"/>
      <c r="V300"/>
      <c r="X300" s="33"/>
      <c r="Y300" s="20"/>
      <c r="Z300" s="20"/>
      <c r="AA300" s="20"/>
      <c r="AB300" s="20"/>
      <c r="AC300" s="20"/>
      <c r="AD300" s="17"/>
      <c r="AE300" s="17"/>
      <c r="AF300" s="20"/>
      <c r="AG300" s="17"/>
      <c r="AH300" s="20"/>
      <c r="AI300" s="17"/>
      <c r="AJ300" s="20"/>
      <c r="AK300" s="17"/>
      <c r="AL300" s="17"/>
      <c r="AM300" s="20"/>
      <c r="AN300" s="20"/>
      <c r="AO300" s="20"/>
      <c r="AP300" s="20"/>
      <c r="AQ300" s="17"/>
      <c r="AR300" s="17"/>
      <c r="AS300" s="20"/>
      <c r="AT300" s="17"/>
      <c r="AU300" s="17"/>
      <c r="AV300" s="17"/>
      <c r="AW300" s="17"/>
      <c r="AX300" s="17"/>
      <c r="AY300" s="17"/>
      <c r="AZ300" s="17"/>
      <c r="BA300" s="17"/>
      <c r="BB300" s="20"/>
      <c r="BC300" s="17"/>
      <c r="BD300" s="20"/>
      <c r="BE300" s="17"/>
      <c r="BF300" s="20"/>
      <c r="BG300" s="20"/>
      <c r="BH300" s="20"/>
      <c r="BI300" s="20"/>
    </row>
    <row r="301" spans="3:61" s="30" customFormat="1" ht="18" x14ac:dyDescent="0.35">
      <c r="C301" s="31"/>
      <c r="D301" s="31"/>
      <c r="E301" s="31"/>
      <c r="F301" s="19"/>
      <c r="G301" s="18"/>
      <c r="H301" s="18"/>
      <c r="I301" s="18"/>
      <c r="J301" s="18"/>
      <c r="K301" s="18"/>
      <c r="L301" s="18"/>
      <c r="M301" s="18"/>
      <c r="N301" s="18"/>
      <c r="P301"/>
      <c r="Q301"/>
      <c r="R301"/>
      <c r="S301"/>
      <c r="T301"/>
      <c r="U301"/>
      <c r="V301"/>
      <c r="X301" s="33"/>
      <c r="Y301" s="20"/>
      <c r="Z301" s="20"/>
      <c r="AA301" s="20"/>
      <c r="AB301" s="20"/>
      <c r="AC301" s="20"/>
      <c r="AD301" s="17"/>
      <c r="AE301" s="17"/>
      <c r="AF301" s="20"/>
      <c r="AG301" s="17"/>
      <c r="AH301" s="20"/>
      <c r="AI301" s="17"/>
      <c r="AJ301" s="20"/>
      <c r="AK301" s="17"/>
      <c r="AL301" s="17"/>
      <c r="AM301" s="20"/>
      <c r="AN301" s="20"/>
      <c r="AO301" s="20"/>
      <c r="AP301" s="20"/>
      <c r="AQ301" s="17"/>
      <c r="AR301" s="17"/>
      <c r="AS301" s="20"/>
      <c r="AT301" s="17"/>
      <c r="AU301" s="17"/>
      <c r="AV301" s="17"/>
      <c r="AW301" s="17"/>
      <c r="AX301" s="17"/>
      <c r="AY301" s="17"/>
      <c r="AZ301" s="17"/>
      <c r="BA301" s="17"/>
      <c r="BB301" s="20"/>
      <c r="BC301" s="17"/>
      <c r="BD301" s="20"/>
      <c r="BE301" s="17"/>
      <c r="BF301" s="20"/>
      <c r="BG301" s="20"/>
      <c r="BH301" s="20"/>
      <c r="BI301" s="20"/>
    </row>
    <row r="302" spans="3:61" s="30" customFormat="1" ht="18" x14ac:dyDescent="0.35">
      <c r="C302" s="31"/>
      <c r="D302" s="31"/>
      <c r="E302" s="31"/>
      <c r="F302" s="19"/>
      <c r="G302" s="18"/>
      <c r="H302" s="18"/>
      <c r="I302" s="18"/>
      <c r="J302" s="18"/>
      <c r="K302" s="18"/>
      <c r="L302" s="18"/>
      <c r="M302" s="18"/>
      <c r="N302" s="18"/>
      <c r="P302"/>
      <c r="Q302"/>
      <c r="R302"/>
      <c r="S302"/>
      <c r="T302"/>
      <c r="U302"/>
      <c r="V302"/>
      <c r="X302" s="33"/>
      <c r="Y302" s="20"/>
      <c r="Z302" s="20"/>
      <c r="AA302" s="20"/>
      <c r="AB302" s="20"/>
      <c r="AC302" s="20"/>
      <c r="AD302" s="17"/>
      <c r="AE302" s="17"/>
      <c r="AF302" s="20"/>
      <c r="AG302" s="17"/>
      <c r="AH302" s="20"/>
      <c r="AI302" s="17"/>
      <c r="AJ302" s="20"/>
      <c r="AK302" s="17"/>
      <c r="AL302" s="17"/>
      <c r="AM302" s="20"/>
      <c r="AN302" s="20"/>
      <c r="AO302" s="20"/>
      <c r="AP302" s="20"/>
      <c r="AQ302" s="17"/>
      <c r="AR302" s="17"/>
      <c r="AS302" s="20"/>
      <c r="AT302" s="17"/>
      <c r="AU302" s="17"/>
      <c r="AV302" s="17"/>
      <c r="AW302" s="17"/>
      <c r="AX302" s="17"/>
      <c r="AY302" s="17"/>
      <c r="AZ302" s="17"/>
      <c r="BA302" s="17"/>
      <c r="BB302" s="20"/>
      <c r="BC302" s="17"/>
      <c r="BD302" s="20"/>
      <c r="BE302" s="17"/>
      <c r="BF302" s="20"/>
      <c r="BG302" s="20"/>
      <c r="BH302" s="20"/>
      <c r="BI302" s="20"/>
    </row>
    <row r="303" spans="3:61" s="30" customFormat="1" ht="18" x14ac:dyDescent="0.35">
      <c r="C303" s="31"/>
      <c r="D303" s="31"/>
      <c r="E303" s="31"/>
      <c r="F303" s="19"/>
      <c r="G303" s="18"/>
      <c r="H303" s="18"/>
      <c r="I303" s="18"/>
      <c r="J303" s="18"/>
      <c r="K303" s="18"/>
      <c r="L303" s="18"/>
      <c r="M303" s="18"/>
      <c r="N303" s="18"/>
      <c r="P303"/>
      <c r="Q303"/>
      <c r="R303"/>
      <c r="S303"/>
      <c r="T303"/>
      <c r="U303"/>
      <c r="V303"/>
      <c r="X303" s="33"/>
      <c r="Y303" s="20"/>
      <c r="Z303" s="20"/>
      <c r="AA303" s="20"/>
      <c r="AB303" s="20"/>
      <c r="AC303" s="20"/>
      <c r="AD303" s="17"/>
      <c r="AE303" s="17"/>
      <c r="AF303" s="20"/>
      <c r="AG303" s="17"/>
      <c r="AH303" s="20"/>
      <c r="AI303" s="17"/>
      <c r="AJ303" s="20"/>
      <c r="AK303" s="17"/>
      <c r="AL303" s="17"/>
      <c r="AM303" s="20"/>
      <c r="AN303" s="20"/>
      <c r="AO303" s="20"/>
      <c r="AP303" s="20"/>
      <c r="AQ303" s="17"/>
      <c r="AR303" s="17"/>
      <c r="AS303" s="20"/>
      <c r="AT303" s="17"/>
      <c r="AU303" s="17"/>
      <c r="AV303" s="17"/>
      <c r="AW303" s="17"/>
      <c r="AX303" s="17"/>
      <c r="AY303" s="17"/>
      <c r="AZ303" s="17"/>
      <c r="BA303" s="17"/>
      <c r="BB303" s="20"/>
      <c r="BC303" s="17"/>
      <c r="BD303" s="20"/>
      <c r="BE303" s="17"/>
      <c r="BF303" s="20"/>
      <c r="BG303" s="20"/>
      <c r="BH303" s="20"/>
      <c r="BI303" s="20"/>
    </row>
    <row r="304" spans="3:61" s="30" customFormat="1" ht="18" x14ac:dyDescent="0.35">
      <c r="C304" s="31"/>
      <c r="D304" s="31"/>
      <c r="E304" s="31"/>
      <c r="F304" s="19"/>
      <c r="G304" s="18"/>
      <c r="H304" s="18"/>
      <c r="I304" s="18"/>
      <c r="J304" s="18"/>
      <c r="K304" s="18"/>
      <c r="L304" s="18"/>
      <c r="M304" s="18"/>
      <c r="N304" s="18"/>
      <c r="P304"/>
      <c r="Q304"/>
      <c r="R304"/>
      <c r="S304"/>
      <c r="T304"/>
      <c r="U304"/>
      <c r="V304"/>
      <c r="X304" s="33"/>
      <c r="Y304" s="20"/>
      <c r="Z304" s="20"/>
      <c r="AA304" s="20"/>
      <c r="AB304" s="20"/>
      <c r="AC304" s="20"/>
      <c r="AD304" s="17"/>
      <c r="AE304" s="17"/>
      <c r="AF304" s="20"/>
      <c r="AG304" s="17"/>
      <c r="AH304" s="20"/>
      <c r="AI304" s="17"/>
      <c r="AJ304" s="20"/>
      <c r="AK304" s="17"/>
      <c r="AL304" s="17"/>
      <c r="AM304" s="20"/>
      <c r="AN304" s="20"/>
      <c r="AO304" s="20"/>
      <c r="AP304" s="20"/>
      <c r="AQ304" s="17"/>
      <c r="AR304" s="17"/>
      <c r="AS304" s="20"/>
      <c r="AT304" s="17"/>
      <c r="AU304" s="17"/>
      <c r="AV304" s="17"/>
      <c r="AW304" s="17"/>
      <c r="AX304" s="17"/>
      <c r="AY304" s="17"/>
      <c r="AZ304" s="17"/>
      <c r="BA304" s="17"/>
      <c r="BB304" s="20"/>
      <c r="BC304" s="17"/>
      <c r="BD304" s="20"/>
      <c r="BE304" s="17"/>
      <c r="BF304" s="20"/>
      <c r="BG304" s="20"/>
      <c r="BH304" s="20"/>
      <c r="BI304" s="20"/>
    </row>
    <row r="305" spans="3:61" s="30" customFormat="1" ht="18" x14ac:dyDescent="0.35">
      <c r="C305" s="31"/>
      <c r="D305" s="31"/>
      <c r="E305" s="31"/>
      <c r="F305" s="19"/>
      <c r="G305" s="18"/>
      <c r="H305" s="18"/>
      <c r="I305" s="18"/>
      <c r="J305" s="18"/>
      <c r="K305" s="18"/>
      <c r="L305" s="18"/>
      <c r="M305" s="18"/>
      <c r="N305" s="18"/>
      <c r="P305"/>
      <c r="Q305"/>
      <c r="R305"/>
      <c r="S305"/>
      <c r="T305"/>
      <c r="U305"/>
      <c r="V305"/>
      <c r="X305" s="33"/>
      <c r="Y305" s="20"/>
      <c r="Z305" s="20"/>
      <c r="AA305" s="20"/>
      <c r="AB305" s="20"/>
      <c r="AC305" s="20"/>
      <c r="AD305" s="17"/>
      <c r="AE305" s="17"/>
      <c r="AF305" s="20"/>
      <c r="AG305" s="17"/>
      <c r="AH305" s="20"/>
      <c r="AI305" s="17"/>
      <c r="AJ305" s="20"/>
      <c r="AK305" s="17"/>
      <c r="AL305" s="17"/>
      <c r="AM305" s="20"/>
      <c r="AN305" s="20"/>
      <c r="AO305" s="20"/>
      <c r="AP305" s="20"/>
      <c r="AQ305" s="17"/>
      <c r="AR305" s="17"/>
      <c r="AS305" s="20"/>
      <c r="AT305" s="17"/>
      <c r="AU305" s="17"/>
      <c r="AV305" s="17"/>
      <c r="AW305" s="17"/>
      <c r="AX305" s="17"/>
      <c r="AY305" s="17"/>
      <c r="AZ305" s="17"/>
      <c r="BA305" s="17"/>
      <c r="BB305" s="20"/>
      <c r="BC305" s="17"/>
      <c r="BD305" s="20"/>
      <c r="BE305" s="17"/>
      <c r="BF305" s="20"/>
      <c r="BG305" s="20"/>
      <c r="BH305" s="20"/>
      <c r="BI305" s="20"/>
    </row>
    <row r="306" spans="3:61" s="30" customFormat="1" ht="18" x14ac:dyDescent="0.35">
      <c r="C306" s="31"/>
      <c r="D306" s="31"/>
      <c r="E306" s="31"/>
      <c r="F306" s="19"/>
      <c r="G306" s="18"/>
      <c r="H306" s="18"/>
      <c r="I306" s="18"/>
      <c r="J306" s="18"/>
      <c r="K306" s="18"/>
      <c r="L306" s="18"/>
      <c r="M306" s="18"/>
      <c r="N306" s="18"/>
      <c r="P306"/>
      <c r="Q306"/>
      <c r="R306"/>
      <c r="S306"/>
      <c r="T306"/>
      <c r="U306"/>
      <c r="V306"/>
      <c r="X306" s="33"/>
      <c r="Y306" s="20"/>
      <c r="Z306" s="20"/>
      <c r="AA306" s="20"/>
      <c r="AB306" s="20"/>
      <c r="AC306" s="20"/>
      <c r="AD306" s="17"/>
      <c r="AE306" s="17"/>
      <c r="AF306" s="20"/>
      <c r="AG306" s="17"/>
      <c r="AH306" s="20"/>
      <c r="AI306" s="17"/>
      <c r="AJ306" s="20"/>
      <c r="AK306" s="17"/>
      <c r="AL306" s="17"/>
      <c r="AM306" s="20"/>
      <c r="AN306" s="20"/>
      <c r="AO306" s="20"/>
      <c r="AP306" s="20"/>
      <c r="AQ306" s="17"/>
      <c r="AR306" s="17"/>
      <c r="AS306" s="20"/>
      <c r="AT306" s="17"/>
      <c r="AU306" s="17"/>
      <c r="AV306" s="17"/>
      <c r="AW306" s="17"/>
      <c r="AX306" s="17"/>
      <c r="AY306" s="17"/>
      <c r="AZ306" s="17"/>
      <c r="BA306" s="17"/>
      <c r="BB306" s="20"/>
      <c r="BC306" s="17"/>
      <c r="BD306" s="20"/>
      <c r="BE306" s="17"/>
      <c r="BF306" s="20"/>
      <c r="BG306" s="20"/>
      <c r="BH306" s="20"/>
      <c r="BI306" s="20"/>
    </row>
    <row r="307" spans="3:61" s="30" customFormat="1" ht="18" x14ac:dyDescent="0.35">
      <c r="C307" s="31"/>
      <c r="D307" s="31"/>
      <c r="E307" s="31"/>
      <c r="F307" s="19"/>
      <c r="G307" s="18"/>
      <c r="H307" s="18"/>
      <c r="I307" s="18"/>
      <c r="J307" s="18"/>
      <c r="K307" s="18"/>
      <c r="L307" s="18"/>
      <c r="M307" s="18"/>
      <c r="N307" s="18"/>
      <c r="P307"/>
      <c r="Q307"/>
      <c r="R307"/>
      <c r="S307"/>
      <c r="T307"/>
      <c r="U307"/>
      <c r="V307"/>
      <c r="X307" s="33"/>
      <c r="Y307" s="20"/>
      <c r="Z307" s="20"/>
      <c r="AA307" s="20"/>
      <c r="AB307" s="20"/>
      <c r="AC307" s="20"/>
      <c r="AD307" s="17"/>
      <c r="AE307" s="17"/>
      <c r="AF307" s="20"/>
      <c r="AG307" s="17"/>
      <c r="AH307" s="20"/>
      <c r="AI307" s="17"/>
      <c r="AJ307" s="20"/>
      <c r="AK307" s="17"/>
      <c r="AL307" s="17"/>
      <c r="AM307" s="20"/>
      <c r="AN307" s="20"/>
      <c r="AO307" s="20"/>
      <c r="AP307" s="20"/>
      <c r="AQ307" s="17"/>
      <c r="AR307" s="17"/>
      <c r="AS307" s="20"/>
      <c r="AT307" s="17"/>
      <c r="AU307" s="17"/>
      <c r="AV307" s="17"/>
      <c r="AW307" s="17"/>
      <c r="AX307" s="17"/>
      <c r="AY307" s="17"/>
      <c r="AZ307" s="17"/>
      <c r="BA307" s="17"/>
      <c r="BB307" s="20"/>
      <c r="BC307" s="17"/>
      <c r="BD307" s="20"/>
      <c r="BE307" s="17"/>
      <c r="BF307" s="20"/>
      <c r="BG307" s="20"/>
      <c r="BH307" s="20"/>
      <c r="BI307" s="20"/>
    </row>
    <row r="308" spans="3:61" s="30" customFormat="1" ht="18" x14ac:dyDescent="0.35">
      <c r="C308" s="18"/>
      <c r="D308" s="18"/>
      <c r="E308" s="31"/>
      <c r="F308" s="19"/>
      <c r="G308" s="18"/>
      <c r="H308" s="18"/>
      <c r="I308" s="18"/>
      <c r="J308" s="18"/>
      <c r="K308" s="18"/>
      <c r="L308" s="18"/>
      <c r="M308" s="18"/>
      <c r="N308" s="18"/>
      <c r="P308"/>
      <c r="Q308"/>
      <c r="R308"/>
      <c r="S308"/>
      <c r="T308"/>
      <c r="U308"/>
      <c r="V308"/>
      <c r="X308" s="33"/>
      <c r="Y308" s="20"/>
      <c r="Z308" s="20"/>
      <c r="AA308" s="20"/>
      <c r="AB308" s="20"/>
      <c r="AC308" s="20"/>
      <c r="AD308" s="17"/>
      <c r="AE308" s="17"/>
      <c r="AF308" s="20"/>
      <c r="AG308" s="17"/>
      <c r="AH308" s="20"/>
      <c r="AI308" s="17"/>
      <c r="AJ308" s="20"/>
      <c r="AK308" s="17"/>
      <c r="AL308" s="17"/>
      <c r="AM308" s="20"/>
      <c r="AN308" s="20"/>
      <c r="AO308" s="20"/>
      <c r="AP308" s="20"/>
      <c r="AQ308" s="17"/>
      <c r="AR308" s="17"/>
      <c r="AS308" s="20"/>
      <c r="AT308" s="17"/>
      <c r="AU308" s="17"/>
      <c r="AV308" s="17"/>
      <c r="AW308" s="17"/>
      <c r="AX308" s="17"/>
      <c r="AY308" s="17"/>
      <c r="AZ308" s="17"/>
      <c r="BA308" s="17"/>
      <c r="BB308" s="20"/>
      <c r="BC308" s="17"/>
      <c r="BD308" s="20"/>
      <c r="BE308" s="17"/>
      <c r="BF308" s="20"/>
      <c r="BG308" s="20"/>
      <c r="BH308" s="20"/>
      <c r="BI308" s="20"/>
    </row>
    <row r="309" spans="3:61" s="30" customFormat="1" ht="18" x14ac:dyDescent="0.35">
      <c r="C309" s="18"/>
      <c r="D309" s="18"/>
      <c r="E309" s="31"/>
      <c r="F309" s="19"/>
      <c r="G309" s="18"/>
      <c r="H309" s="18"/>
      <c r="I309" s="18"/>
      <c r="J309" s="18"/>
      <c r="K309" s="18"/>
      <c r="L309" s="18"/>
      <c r="M309" s="18"/>
      <c r="N309" s="18"/>
      <c r="P309"/>
      <c r="Q309"/>
      <c r="R309"/>
      <c r="S309"/>
      <c r="T309"/>
      <c r="U309"/>
      <c r="V309"/>
      <c r="X309" s="33"/>
      <c r="Y309" s="20"/>
      <c r="Z309" s="20"/>
      <c r="AA309" s="20"/>
      <c r="AB309" s="20"/>
      <c r="AC309" s="20"/>
      <c r="AD309" s="17"/>
      <c r="AE309" s="17"/>
      <c r="AF309" s="20"/>
      <c r="AG309" s="17"/>
      <c r="AH309" s="20"/>
      <c r="AI309" s="17"/>
      <c r="AJ309" s="20"/>
      <c r="AK309" s="17"/>
      <c r="AL309" s="17"/>
      <c r="AM309" s="20"/>
      <c r="AN309" s="20"/>
      <c r="AO309" s="20"/>
      <c r="AP309" s="20"/>
      <c r="AQ309" s="17"/>
      <c r="AR309" s="17"/>
      <c r="AS309" s="20"/>
      <c r="AT309" s="17"/>
      <c r="AU309" s="17"/>
      <c r="AV309" s="17"/>
      <c r="AW309" s="17"/>
      <c r="AX309" s="17"/>
      <c r="AY309" s="17"/>
      <c r="AZ309" s="17"/>
      <c r="BA309" s="17"/>
      <c r="BB309" s="20"/>
      <c r="BC309" s="17"/>
      <c r="BD309" s="20"/>
      <c r="BE309" s="17"/>
      <c r="BF309" s="20"/>
      <c r="BG309" s="20"/>
      <c r="BH309" s="20"/>
      <c r="BI309" s="20"/>
    </row>
    <row r="310" spans="3:61" s="30" customFormat="1" ht="18" x14ac:dyDescent="0.35">
      <c r="C310" s="18"/>
      <c r="D310" s="18"/>
      <c r="E310" s="31"/>
      <c r="F310" s="19"/>
      <c r="G310" s="18"/>
      <c r="H310" s="18"/>
      <c r="I310" s="18"/>
      <c r="J310" s="18"/>
      <c r="K310" s="18"/>
      <c r="L310" s="18"/>
      <c r="M310" s="18"/>
      <c r="N310" s="18"/>
      <c r="P310"/>
      <c r="Q310"/>
      <c r="R310"/>
      <c r="S310"/>
      <c r="T310"/>
      <c r="U310"/>
      <c r="V310"/>
      <c r="X310" s="33"/>
      <c r="Y310" s="20"/>
      <c r="Z310" s="20"/>
      <c r="AA310" s="20"/>
      <c r="AB310" s="20"/>
      <c r="AC310" s="20"/>
      <c r="AD310" s="17"/>
      <c r="AE310" s="17"/>
      <c r="AF310" s="20"/>
      <c r="AG310" s="17"/>
      <c r="AH310" s="20"/>
      <c r="AI310" s="17"/>
      <c r="AJ310" s="20"/>
      <c r="AK310" s="17"/>
      <c r="AL310" s="17"/>
      <c r="AM310" s="20"/>
      <c r="AN310" s="20"/>
      <c r="AO310" s="20"/>
      <c r="AP310" s="20"/>
      <c r="AQ310" s="17"/>
      <c r="AR310" s="17"/>
      <c r="AS310" s="20"/>
      <c r="AT310" s="17"/>
      <c r="AU310" s="17"/>
      <c r="AV310" s="17"/>
      <c r="AW310" s="17"/>
      <c r="AX310" s="17"/>
      <c r="AY310" s="17"/>
      <c r="AZ310" s="17"/>
      <c r="BA310" s="17"/>
      <c r="BB310" s="20"/>
      <c r="BC310" s="17"/>
      <c r="BD310" s="20"/>
      <c r="BE310" s="17"/>
      <c r="BF310" s="20"/>
      <c r="BG310" s="20"/>
      <c r="BH310" s="20"/>
      <c r="BI310" s="20"/>
    </row>
    <row r="311" spans="3:61" s="30" customFormat="1" ht="18" x14ac:dyDescent="0.35">
      <c r="C311" s="18"/>
      <c r="D311" s="18"/>
      <c r="E311" s="31"/>
      <c r="F311" s="19"/>
      <c r="G311" s="18"/>
      <c r="H311" s="18"/>
      <c r="I311" s="18"/>
      <c r="J311" s="18"/>
      <c r="K311" s="18"/>
      <c r="L311" s="18"/>
      <c r="M311" s="18"/>
      <c r="N311" s="18"/>
      <c r="P311"/>
      <c r="Q311"/>
      <c r="R311"/>
      <c r="S311"/>
      <c r="T311"/>
      <c r="U311"/>
      <c r="V311"/>
      <c r="X311" s="33"/>
      <c r="Y311" s="20"/>
      <c r="Z311" s="20"/>
      <c r="AA311" s="20"/>
      <c r="AB311" s="20"/>
      <c r="AC311" s="20"/>
      <c r="AD311" s="17"/>
      <c r="AE311" s="17"/>
      <c r="AF311" s="20"/>
      <c r="AG311" s="17"/>
      <c r="AH311" s="20"/>
      <c r="AI311" s="17"/>
      <c r="AJ311" s="20"/>
      <c r="AK311" s="17"/>
      <c r="AL311" s="17"/>
      <c r="AM311" s="20"/>
      <c r="AN311" s="20"/>
      <c r="AO311" s="20"/>
      <c r="AP311" s="20"/>
      <c r="AQ311" s="17"/>
      <c r="AR311" s="17"/>
      <c r="AS311" s="20"/>
      <c r="AT311" s="17"/>
      <c r="AU311" s="17"/>
      <c r="AV311" s="17"/>
      <c r="AW311" s="17"/>
      <c r="AX311" s="17"/>
      <c r="AY311" s="17"/>
      <c r="AZ311" s="17"/>
      <c r="BA311" s="17"/>
      <c r="BB311" s="20"/>
      <c r="BC311" s="17"/>
      <c r="BD311" s="20"/>
      <c r="BE311" s="17"/>
      <c r="BF311" s="20"/>
      <c r="BG311" s="20"/>
      <c r="BH311" s="20"/>
      <c r="BI311" s="20"/>
    </row>
    <row r="312" spans="3:61" s="30" customFormat="1" ht="15.5" x14ac:dyDescent="0.35">
      <c r="C312" s="18"/>
      <c r="D312" s="18"/>
      <c r="E312" s="19"/>
      <c r="F312" s="19"/>
      <c r="G312" s="18"/>
      <c r="H312" s="18"/>
      <c r="I312" s="18"/>
      <c r="J312" s="18"/>
      <c r="K312" s="18"/>
      <c r="L312" s="18"/>
      <c r="M312" s="18"/>
      <c r="N312" s="18"/>
      <c r="P312"/>
      <c r="Q312"/>
      <c r="R312"/>
      <c r="S312"/>
      <c r="T312"/>
      <c r="U312"/>
      <c r="V312"/>
      <c r="X312" s="33"/>
      <c r="Y312" s="20"/>
      <c r="Z312" s="20"/>
      <c r="AA312" s="20"/>
      <c r="AB312" s="20"/>
      <c r="AC312" s="20"/>
      <c r="AD312" s="17"/>
      <c r="AE312" s="17"/>
      <c r="AF312" s="20"/>
      <c r="AG312" s="17"/>
      <c r="AH312" s="20"/>
      <c r="AI312" s="17"/>
      <c r="AJ312" s="20"/>
      <c r="AK312" s="17"/>
      <c r="AL312" s="17"/>
      <c r="AM312" s="20"/>
      <c r="AN312" s="20"/>
      <c r="AO312" s="20"/>
      <c r="AP312" s="20"/>
      <c r="AQ312" s="17"/>
      <c r="AR312" s="17"/>
      <c r="AS312" s="20"/>
      <c r="AT312" s="17"/>
      <c r="AU312" s="17"/>
      <c r="AV312" s="17"/>
      <c r="AW312" s="17"/>
      <c r="AX312" s="17"/>
      <c r="AY312" s="17"/>
      <c r="AZ312" s="17"/>
      <c r="BA312" s="17"/>
      <c r="BB312" s="20"/>
      <c r="BC312" s="17"/>
      <c r="BD312" s="20"/>
      <c r="BE312" s="17"/>
      <c r="BF312" s="20"/>
      <c r="BG312" s="20"/>
      <c r="BH312" s="20"/>
      <c r="BI312" s="20"/>
    </row>
    <row r="313" spans="3:61" s="30" customFormat="1" ht="15.5" x14ac:dyDescent="0.35">
      <c r="C313" s="18"/>
      <c r="D313" s="18"/>
      <c r="E313" s="19"/>
      <c r="F313" s="19"/>
      <c r="G313" s="18"/>
      <c r="H313" s="18"/>
      <c r="I313" s="18"/>
      <c r="J313" s="18"/>
      <c r="K313" s="18"/>
      <c r="L313" s="18"/>
      <c r="M313" s="18"/>
      <c r="N313" s="18"/>
      <c r="P313"/>
      <c r="Q313"/>
      <c r="R313"/>
      <c r="S313"/>
      <c r="T313"/>
      <c r="U313"/>
      <c r="V313"/>
      <c r="X313" s="33"/>
      <c r="Y313" s="20"/>
      <c r="Z313" s="20"/>
      <c r="AA313" s="20"/>
      <c r="AB313" s="20"/>
      <c r="AC313" s="20"/>
      <c r="AD313" s="17"/>
      <c r="AE313" s="17"/>
      <c r="AF313" s="20"/>
      <c r="AG313" s="17"/>
      <c r="AH313" s="20"/>
      <c r="AI313" s="17"/>
      <c r="AJ313" s="20"/>
      <c r="AK313" s="17"/>
      <c r="AL313" s="17"/>
      <c r="AM313" s="20"/>
      <c r="AN313" s="20"/>
      <c r="AO313" s="20"/>
      <c r="AP313" s="20"/>
      <c r="AQ313" s="17"/>
      <c r="AR313" s="17"/>
      <c r="AS313" s="20"/>
      <c r="AT313" s="17"/>
      <c r="AU313" s="17"/>
      <c r="AV313" s="17"/>
      <c r="AW313" s="17"/>
      <c r="AX313" s="17"/>
      <c r="AY313" s="17"/>
      <c r="AZ313" s="17"/>
      <c r="BA313" s="17"/>
      <c r="BB313" s="20"/>
      <c r="BC313" s="17"/>
      <c r="BD313" s="20"/>
      <c r="BE313" s="17"/>
      <c r="BF313" s="20"/>
      <c r="BG313" s="20"/>
      <c r="BH313" s="20"/>
      <c r="BI313" s="20"/>
    </row>
    <row r="314" spans="3:61" s="30" customFormat="1" ht="15.5" x14ac:dyDescent="0.35">
      <c r="C314" s="18"/>
      <c r="D314" s="18"/>
      <c r="E314" s="19"/>
      <c r="F314" s="19"/>
      <c r="G314" s="18"/>
      <c r="H314" s="18"/>
      <c r="I314" s="18"/>
      <c r="J314" s="18"/>
      <c r="K314" s="18"/>
      <c r="L314" s="18"/>
      <c r="M314" s="18"/>
      <c r="N314" s="18"/>
      <c r="P314"/>
      <c r="Q314"/>
      <c r="R314"/>
      <c r="S314"/>
      <c r="T314"/>
      <c r="U314"/>
      <c r="V314"/>
      <c r="X314" s="33"/>
      <c r="Y314" s="20"/>
      <c r="Z314" s="20"/>
      <c r="AA314" s="20"/>
      <c r="AB314" s="20"/>
      <c r="AC314" s="20"/>
      <c r="AD314" s="17"/>
      <c r="AE314" s="17"/>
      <c r="AF314" s="20"/>
      <c r="AG314" s="17"/>
      <c r="AH314" s="20"/>
      <c r="AI314" s="17"/>
      <c r="AJ314" s="20"/>
      <c r="AK314" s="17"/>
      <c r="AL314" s="17"/>
      <c r="AM314" s="20"/>
      <c r="AN314" s="20"/>
      <c r="AO314" s="20"/>
      <c r="AP314" s="20"/>
      <c r="AQ314" s="17"/>
      <c r="AR314" s="17"/>
      <c r="AS314" s="20"/>
      <c r="AT314" s="17"/>
      <c r="AU314" s="17"/>
      <c r="AV314" s="17"/>
      <c r="AW314" s="17"/>
      <c r="AX314" s="17"/>
      <c r="AY314" s="17"/>
      <c r="AZ314" s="17"/>
      <c r="BA314" s="17"/>
      <c r="BB314" s="20"/>
      <c r="BC314" s="17"/>
      <c r="BD314" s="20"/>
      <c r="BE314" s="17"/>
      <c r="BF314" s="20"/>
      <c r="BG314" s="20"/>
      <c r="BH314" s="20"/>
      <c r="BI314" s="20"/>
    </row>
    <row r="315" spans="3:61" s="30" customFormat="1" ht="15.5" x14ac:dyDescent="0.35">
      <c r="C315" s="18"/>
      <c r="D315" s="18"/>
      <c r="E315" s="19"/>
      <c r="F315" s="19"/>
      <c r="G315" s="18"/>
      <c r="H315" s="18"/>
      <c r="I315" s="18"/>
      <c r="J315" s="18"/>
      <c r="K315" s="18"/>
      <c r="L315" s="18"/>
      <c r="M315" s="18"/>
      <c r="N315" s="18"/>
      <c r="P315"/>
      <c r="Q315"/>
      <c r="R315"/>
      <c r="S315"/>
      <c r="T315"/>
      <c r="U315"/>
      <c r="V315"/>
      <c r="X315" s="33"/>
      <c r="Y315" s="20"/>
      <c r="Z315" s="20"/>
      <c r="AA315" s="20"/>
      <c r="AB315" s="20"/>
      <c r="AC315" s="20"/>
      <c r="AD315" s="17"/>
      <c r="AE315" s="17"/>
      <c r="AF315" s="20"/>
      <c r="AG315" s="17"/>
      <c r="AH315" s="20"/>
      <c r="AI315" s="17"/>
      <c r="AJ315" s="20"/>
      <c r="AK315" s="17"/>
      <c r="AL315" s="17"/>
      <c r="AM315" s="20"/>
      <c r="AN315" s="20"/>
      <c r="AO315" s="20"/>
      <c r="AP315" s="20"/>
      <c r="AQ315" s="17"/>
      <c r="AR315" s="17"/>
      <c r="AS315" s="20"/>
      <c r="AT315" s="17"/>
      <c r="AU315" s="17"/>
      <c r="AV315" s="17"/>
      <c r="AW315" s="17"/>
      <c r="AX315" s="17"/>
      <c r="AY315" s="17"/>
      <c r="AZ315" s="17"/>
      <c r="BA315" s="17"/>
      <c r="BB315" s="20"/>
      <c r="BC315" s="17"/>
      <c r="BD315" s="20"/>
      <c r="BE315" s="17"/>
      <c r="BF315" s="20"/>
      <c r="BG315" s="20"/>
      <c r="BH315" s="20"/>
      <c r="BI315" s="20"/>
    </row>
    <row r="316" spans="3:61" s="30" customFormat="1" ht="15.5" x14ac:dyDescent="0.35">
      <c r="C316" s="18"/>
      <c r="D316" s="18"/>
      <c r="E316" s="19"/>
      <c r="F316" s="19"/>
      <c r="G316" s="18"/>
      <c r="H316" s="18"/>
      <c r="I316" s="18"/>
      <c r="J316" s="18"/>
      <c r="K316" s="18"/>
      <c r="L316" s="18"/>
      <c r="M316" s="18"/>
      <c r="N316" s="18"/>
      <c r="P316"/>
      <c r="Q316"/>
      <c r="R316"/>
      <c r="S316"/>
      <c r="T316"/>
      <c r="U316"/>
      <c r="V316"/>
      <c r="X316" s="33"/>
      <c r="Y316" s="20"/>
      <c r="Z316" s="20"/>
      <c r="AA316" s="20"/>
      <c r="AB316" s="20"/>
      <c r="AC316" s="20"/>
      <c r="AD316" s="17"/>
      <c r="AE316" s="17"/>
      <c r="AF316" s="20"/>
      <c r="AG316" s="17"/>
      <c r="AH316" s="20"/>
      <c r="AI316" s="17"/>
      <c r="AJ316" s="20"/>
      <c r="AK316" s="17"/>
      <c r="AL316" s="17"/>
      <c r="AM316" s="20"/>
      <c r="AN316" s="20"/>
      <c r="AO316" s="20"/>
      <c r="AP316" s="20"/>
      <c r="AQ316" s="17"/>
      <c r="AR316" s="17"/>
      <c r="AS316" s="20"/>
      <c r="AT316" s="17"/>
      <c r="AU316" s="17"/>
      <c r="AV316" s="17"/>
      <c r="AW316" s="17"/>
      <c r="AX316" s="17"/>
      <c r="AY316" s="17"/>
      <c r="AZ316" s="17"/>
      <c r="BA316" s="17"/>
      <c r="BB316" s="20"/>
      <c r="BC316" s="17"/>
      <c r="BD316" s="20"/>
      <c r="BE316" s="17"/>
      <c r="BF316" s="20"/>
      <c r="BG316" s="20"/>
      <c r="BH316" s="20"/>
      <c r="BI316" s="20"/>
    </row>
    <row r="317" spans="3:61" s="30" customFormat="1" ht="15.5" x14ac:dyDescent="0.35">
      <c r="C317" s="18"/>
      <c r="D317" s="18"/>
      <c r="E317" s="19"/>
      <c r="F317" s="19"/>
      <c r="G317" s="18"/>
      <c r="H317" s="18"/>
      <c r="I317" s="18"/>
      <c r="J317" s="18"/>
      <c r="K317" s="18"/>
      <c r="L317" s="18"/>
      <c r="M317" s="18"/>
      <c r="N317" s="18"/>
      <c r="P317"/>
      <c r="Q317"/>
      <c r="R317"/>
      <c r="S317"/>
      <c r="T317"/>
      <c r="U317"/>
      <c r="V317"/>
      <c r="X317" s="33"/>
      <c r="Y317" s="20"/>
      <c r="Z317" s="20"/>
      <c r="AA317" s="20"/>
      <c r="AB317" s="20"/>
      <c r="AC317" s="20"/>
      <c r="AD317" s="17"/>
      <c r="AE317" s="17"/>
      <c r="AF317" s="20"/>
      <c r="AG317" s="17"/>
      <c r="AH317" s="20"/>
      <c r="AI317" s="17"/>
      <c r="AJ317" s="20"/>
      <c r="AK317" s="17"/>
      <c r="AL317" s="17"/>
      <c r="AM317" s="20"/>
      <c r="AN317" s="20"/>
      <c r="AO317" s="20"/>
      <c r="AP317" s="20"/>
      <c r="AQ317" s="17"/>
      <c r="AR317" s="17"/>
      <c r="AS317" s="20"/>
      <c r="AT317" s="17"/>
      <c r="AU317" s="17"/>
      <c r="AV317" s="17"/>
      <c r="AW317" s="17"/>
      <c r="AX317" s="17"/>
      <c r="AY317" s="17"/>
      <c r="AZ317" s="17"/>
      <c r="BA317" s="17"/>
      <c r="BB317" s="20"/>
      <c r="BC317" s="17"/>
      <c r="BD317" s="20"/>
      <c r="BE317" s="17"/>
      <c r="BF317" s="20"/>
      <c r="BG317" s="20"/>
      <c r="BH317" s="20"/>
      <c r="BI317" s="20"/>
    </row>
    <row r="318" spans="3:61" s="30" customFormat="1" ht="15.5" x14ac:dyDescent="0.35">
      <c r="C318" s="18"/>
      <c r="D318" s="18"/>
      <c r="E318" s="19"/>
      <c r="F318" s="19"/>
      <c r="G318" s="18"/>
      <c r="H318" s="18"/>
      <c r="I318" s="18"/>
      <c r="J318" s="18"/>
      <c r="K318" s="18"/>
      <c r="L318" s="18"/>
      <c r="M318" s="18"/>
      <c r="N318" s="18"/>
      <c r="P318"/>
      <c r="Q318"/>
      <c r="R318"/>
      <c r="S318"/>
      <c r="T318"/>
      <c r="U318"/>
      <c r="V318"/>
      <c r="X318" s="33"/>
      <c r="Y318" s="20"/>
      <c r="Z318" s="20"/>
      <c r="AA318" s="20"/>
      <c r="AB318" s="20"/>
      <c r="AC318" s="20"/>
      <c r="AD318" s="17"/>
      <c r="AE318" s="17"/>
      <c r="AF318" s="20"/>
      <c r="AG318" s="17"/>
      <c r="AH318" s="20"/>
      <c r="AI318" s="17"/>
      <c r="AJ318" s="20"/>
      <c r="AK318" s="17"/>
      <c r="AL318" s="17"/>
      <c r="AM318" s="20"/>
      <c r="AN318" s="20"/>
      <c r="AO318" s="20"/>
      <c r="AP318" s="20"/>
      <c r="AQ318" s="17"/>
      <c r="AR318" s="17"/>
      <c r="AS318" s="20"/>
      <c r="AT318" s="17"/>
      <c r="AU318" s="17"/>
      <c r="AV318" s="17"/>
      <c r="AW318" s="17"/>
      <c r="AX318" s="17"/>
      <c r="AY318" s="17"/>
      <c r="AZ318" s="17"/>
      <c r="BA318" s="17"/>
      <c r="BB318" s="20"/>
      <c r="BC318" s="17"/>
      <c r="BD318" s="20"/>
      <c r="BE318" s="17"/>
      <c r="BF318" s="20"/>
      <c r="BG318" s="20"/>
      <c r="BH318" s="20"/>
      <c r="BI318" s="20"/>
    </row>
    <row r="319" spans="3:61" s="30" customFormat="1" ht="15.5" x14ac:dyDescent="0.35">
      <c r="C319" s="18"/>
      <c r="D319" s="18"/>
      <c r="E319" s="19"/>
      <c r="F319" s="19"/>
      <c r="G319" s="18"/>
      <c r="H319" s="18"/>
      <c r="I319" s="18"/>
      <c r="J319" s="18"/>
      <c r="K319" s="18"/>
      <c r="L319" s="18"/>
      <c r="M319" s="18"/>
      <c r="N319" s="18"/>
      <c r="P319"/>
      <c r="Q319"/>
      <c r="R319"/>
      <c r="S319"/>
      <c r="T319"/>
      <c r="U319"/>
      <c r="V319"/>
      <c r="X319" s="33"/>
      <c r="Y319" s="20"/>
      <c r="Z319" s="20"/>
      <c r="AA319" s="20"/>
      <c r="AB319" s="20"/>
      <c r="AC319" s="20"/>
      <c r="AD319" s="17"/>
      <c r="AE319" s="17"/>
      <c r="AF319" s="20"/>
      <c r="AG319" s="17"/>
      <c r="AH319" s="20"/>
      <c r="AI319" s="17"/>
      <c r="AJ319" s="20"/>
      <c r="AK319" s="17"/>
      <c r="AL319" s="17"/>
      <c r="AM319" s="20"/>
      <c r="AN319" s="20"/>
      <c r="AO319" s="20"/>
      <c r="AP319" s="20"/>
      <c r="AQ319" s="17"/>
      <c r="AR319" s="17"/>
      <c r="AS319" s="20"/>
      <c r="AT319" s="17"/>
      <c r="AU319" s="17"/>
      <c r="AV319" s="17"/>
      <c r="AW319" s="17"/>
      <c r="AX319" s="17"/>
      <c r="AY319" s="17"/>
      <c r="AZ319" s="17"/>
      <c r="BA319" s="17"/>
      <c r="BB319" s="20"/>
      <c r="BC319" s="17"/>
      <c r="BD319" s="20"/>
      <c r="BE319" s="17"/>
      <c r="BF319" s="20"/>
      <c r="BG319" s="20"/>
      <c r="BH319" s="20"/>
      <c r="BI319" s="20"/>
    </row>
    <row r="320" spans="3:61" s="30" customFormat="1" ht="15.5" x14ac:dyDescent="0.35">
      <c r="C320" s="18"/>
      <c r="D320" s="18"/>
      <c r="E320" s="19"/>
      <c r="F320" s="19"/>
      <c r="G320" s="18"/>
      <c r="H320" s="18"/>
      <c r="I320" s="18"/>
      <c r="J320" s="18"/>
      <c r="K320" s="18"/>
      <c r="L320" s="18"/>
      <c r="M320" s="18"/>
      <c r="N320" s="18"/>
      <c r="P320"/>
      <c r="Q320"/>
      <c r="R320"/>
      <c r="S320"/>
      <c r="T320"/>
      <c r="U320"/>
      <c r="V320"/>
      <c r="X320" s="33"/>
      <c r="Y320" s="20"/>
      <c r="Z320" s="20"/>
      <c r="AA320" s="20"/>
      <c r="AB320" s="20"/>
      <c r="AC320" s="20"/>
      <c r="AD320" s="17"/>
      <c r="AE320" s="17"/>
      <c r="AF320" s="20"/>
      <c r="AG320" s="17"/>
      <c r="AH320" s="20"/>
      <c r="AI320" s="17"/>
      <c r="AJ320" s="20"/>
      <c r="AK320" s="17"/>
      <c r="AL320" s="17"/>
      <c r="AM320" s="20"/>
      <c r="AN320" s="20"/>
      <c r="AO320" s="20"/>
      <c r="AP320" s="20"/>
      <c r="AQ320" s="17"/>
      <c r="AR320" s="17"/>
      <c r="AS320" s="20"/>
      <c r="AT320" s="17"/>
      <c r="AU320" s="17"/>
      <c r="AV320" s="17"/>
      <c r="AW320" s="17"/>
      <c r="AX320" s="17"/>
      <c r="AY320" s="17"/>
      <c r="AZ320" s="17"/>
      <c r="BA320" s="17"/>
      <c r="BB320" s="20"/>
      <c r="BC320" s="17"/>
      <c r="BD320" s="20"/>
      <c r="BE320" s="17"/>
      <c r="BF320" s="20"/>
      <c r="BG320" s="20"/>
      <c r="BH320" s="20"/>
      <c r="BI320" s="20"/>
    </row>
  </sheetData>
  <mergeCells count="3">
    <mergeCell ref="D4:E4"/>
    <mergeCell ref="D6:E6"/>
    <mergeCell ref="C2:L2"/>
  </mergeCells>
  <phoneticPr fontId="29" type="noConversion"/>
  <pageMargins left="0.25" right="0.25" top="0.75" bottom="0.75" header="0.3" footer="0.3"/>
  <pageSetup scale="50" fitToHeight="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8283-A77A-4480-BA86-CEF864BB8068}">
  <sheetPr>
    <tabColor theme="9" tint="-0.249977111117893"/>
    <pageSetUpPr fitToPage="1"/>
  </sheetPr>
  <dimension ref="A1:N55"/>
  <sheetViews>
    <sheetView showGridLines="0" zoomScaleNormal="100" workbookViewId="0">
      <selection activeCell="J12" sqref="J12:M12"/>
    </sheetView>
  </sheetViews>
  <sheetFormatPr defaultRowHeight="14.5" x14ac:dyDescent="0.35"/>
  <cols>
    <col min="1" max="1" width="0.81640625" style="545" customWidth="1"/>
    <col min="2" max="2" width="9.81640625" style="545" customWidth="1"/>
    <col min="3" max="3" width="8.7265625" style="545"/>
    <col min="4" max="4" width="6" style="545" customWidth="1"/>
    <col min="5" max="8" width="8.7265625" style="545"/>
    <col min="9" max="9" width="18" style="545" customWidth="1"/>
    <col min="10" max="10" width="13.26953125" style="545" customWidth="1"/>
    <col min="11" max="11" width="14.81640625" style="545" customWidth="1"/>
    <col min="12" max="12" width="12" style="545" customWidth="1"/>
    <col min="13" max="13" width="14" style="545" customWidth="1"/>
    <col min="14" max="14" width="3" style="545" customWidth="1"/>
    <col min="15" max="16384" width="8.7265625" style="545"/>
  </cols>
  <sheetData>
    <row r="1" spans="1:13" ht="15" customHeight="1" x14ac:dyDescent="0.35">
      <c r="A1" s="959" t="s">
        <v>1015</v>
      </c>
      <c r="B1" s="959"/>
      <c r="C1" s="959"/>
      <c r="D1" s="959"/>
      <c r="E1" s="959"/>
      <c r="F1" s="571"/>
      <c r="G1" s="564"/>
      <c r="H1" s="564"/>
      <c r="I1" s="564"/>
      <c r="J1" s="564"/>
      <c r="K1" s="564"/>
      <c r="L1" s="565"/>
      <c r="M1" s="564"/>
    </row>
    <row r="2" spans="1:13" ht="15" customHeight="1" x14ac:dyDescent="0.35">
      <c r="A2" s="959"/>
      <c r="B2" s="959"/>
      <c r="C2" s="959"/>
      <c r="D2" s="959"/>
      <c r="E2" s="959"/>
      <c r="F2" s="571"/>
      <c r="G2" s="564"/>
      <c r="H2" s="564"/>
      <c r="I2" s="564"/>
      <c r="J2" s="564"/>
      <c r="K2" s="564"/>
      <c r="L2" s="565"/>
      <c r="M2" s="564"/>
    </row>
    <row r="3" spans="1:13" ht="15" customHeight="1" x14ac:dyDescent="0.35">
      <c r="A3" s="959"/>
      <c r="B3" s="959"/>
      <c r="C3" s="959"/>
      <c r="D3" s="959"/>
      <c r="E3" s="959"/>
      <c r="F3" s="571"/>
      <c r="G3" s="564"/>
      <c r="H3" s="564"/>
      <c r="I3" s="564"/>
      <c r="J3" s="564"/>
      <c r="K3" s="564"/>
      <c r="L3" s="565"/>
      <c r="M3" s="564"/>
    </row>
    <row r="4" spans="1:13" x14ac:dyDescent="0.35">
      <c r="A4" s="959"/>
      <c r="B4" s="959"/>
      <c r="C4" s="959"/>
      <c r="D4" s="959"/>
      <c r="E4" s="959"/>
      <c r="F4" s="571"/>
      <c r="G4" s="564"/>
      <c r="H4" s="564"/>
      <c r="I4" s="564"/>
      <c r="J4" s="564"/>
      <c r="K4" s="564"/>
      <c r="L4" s="565"/>
      <c r="M4" s="564"/>
    </row>
    <row r="5" spans="1:13" ht="21" x14ac:dyDescent="0.4">
      <c r="A5" s="961" t="s">
        <v>1016</v>
      </c>
      <c r="B5" s="961"/>
      <c r="C5" s="961"/>
      <c r="D5" s="961"/>
      <c r="E5" s="961"/>
      <c r="F5" s="961"/>
      <c r="G5" s="564"/>
      <c r="H5" s="564"/>
      <c r="I5" s="564"/>
      <c r="J5" s="564"/>
      <c r="K5" s="564"/>
      <c r="L5" s="565"/>
      <c r="M5" s="564"/>
    </row>
    <row r="6" spans="1:13" ht="15" customHeight="1" x14ac:dyDescent="0.35">
      <c r="A6" s="960" t="s">
        <v>1034</v>
      </c>
      <c r="B6" s="960"/>
      <c r="C6" s="960"/>
      <c r="D6" s="960"/>
      <c r="E6" s="960"/>
      <c r="F6" s="960"/>
      <c r="G6" s="960"/>
      <c r="H6" s="960"/>
      <c r="I6" s="960"/>
      <c r="J6" s="564"/>
      <c r="K6" s="564"/>
      <c r="L6" s="565"/>
      <c r="M6" s="564"/>
    </row>
    <row r="7" spans="1:13" ht="22.5" customHeight="1" x14ac:dyDescent="0.45">
      <c r="A7" s="960"/>
      <c r="B7" s="960"/>
      <c r="C7" s="960"/>
      <c r="D7" s="960"/>
      <c r="E7" s="960"/>
      <c r="F7" s="960"/>
      <c r="G7" s="960"/>
      <c r="H7" s="960"/>
      <c r="I7" s="960"/>
      <c r="J7" s="564"/>
      <c r="K7" s="570"/>
      <c r="L7" s="569" t="s">
        <v>1017</v>
      </c>
      <c r="M7" s="568" t="s">
        <v>1018</v>
      </c>
    </row>
    <row r="8" spans="1:13" x14ac:dyDescent="0.35">
      <c r="A8" s="564"/>
      <c r="B8" s="565"/>
      <c r="C8" s="565"/>
      <c r="D8" s="564"/>
      <c r="E8" s="564"/>
      <c r="F8" s="564"/>
      <c r="G8" s="564"/>
      <c r="H8" s="564"/>
      <c r="I8" s="564"/>
      <c r="J8" s="564"/>
      <c r="K8" s="564"/>
      <c r="L8" s="565"/>
      <c r="M8" s="564"/>
    </row>
    <row r="9" spans="1:13" ht="15" thickBot="1" x14ac:dyDescent="0.4">
      <c r="A9" s="564"/>
      <c r="B9" s="565"/>
      <c r="C9" s="565"/>
      <c r="D9" s="564"/>
      <c r="E9" s="564"/>
      <c r="F9" s="564"/>
      <c r="G9" s="564"/>
      <c r="H9" s="564"/>
      <c r="I9" s="564"/>
      <c r="J9" s="564"/>
      <c r="K9" s="564"/>
      <c r="L9" s="565"/>
      <c r="M9" s="564"/>
    </row>
    <row r="10" spans="1:13" ht="18.5" thickBot="1" x14ac:dyDescent="0.45">
      <c r="A10" s="552"/>
      <c r="B10" s="567"/>
      <c r="C10" s="980" t="s">
        <v>1019</v>
      </c>
      <c r="D10" s="981"/>
      <c r="E10" s="981"/>
      <c r="F10" s="1000" t="str">
        <f>IF(COUNT(INFO!I8:I14)=0,"",MIN(INFO!I8:I14))</f>
        <v/>
      </c>
      <c r="G10" s="1001"/>
      <c r="H10" s="1002"/>
      <c r="I10" s="980" t="s">
        <v>1020</v>
      </c>
      <c r="J10" s="981"/>
      <c r="K10" s="982" t="str">
        <f>IF(COUNT(INFO!J8:J14)=0,"",MAX(INFO!J8:J14))</f>
        <v/>
      </c>
      <c r="L10" s="968"/>
    </row>
    <row r="11" spans="1:13" ht="15" thickBot="1" x14ac:dyDescent="0.4">
      <c r="A11" s="564"/>
      <c r="B11" s="565"/>
      <c r="C11" s="565"/>
      <c r="D11" s="564"/>
      <c r="E11" s="564"/>
      <c r="F11" s="564"/>
      <c r="G11" s="564"/>
      <c r="H11" s="564"/>
      <c r="I11" s="564"/>
      <c r="J11" s="566"/>
      <c r="K11" s="564"/>
      <c r="L11" s="565"/>
      <c r="M11" s="564"/>
    </row>
    <row r="12" spans="1:13" ht="18.5" thickBot="1" x14ac:dyDescent="0.4">
      <c r="A12" s="562"/>
      <c r="B12" s="563" t="s">
        <v>1021</v>
      </c>
      <c r="C12" s="982">
        <f ca="1">TODAY()</f>
        <v>46100</v>
      </c>
      <c r="D12" s="982"/>
      <c r="E12" s="982"/>
      <c r="F12" s="563" t="s">
        <v>1022</v>
      </c>
      <c r="G12" s="967" t="str">
        <f>IF(INFO!I2="", "", INFO!I2)</f>
        <v/>
      </c>
      <c r="H12" s="968"/>
      <c r="I12" s="563" t="s">
        <v>1023</v>
      </c>
      <c r="J12" s="967" t="str">
        <f>IF(INFO!C2="", "", INFO!C2)</f>
        <v/>
      </c>
      <c r="K12" s="967"/>
      <c r="L12" s="967"/>
      <c r="M12" s="968"/>
    </row>
    <row r="13" spans="1:13" ht="18.5" thickBot="1" x14ac:dyDescent="0.4">
      <c r="A13" s="562"/>
      <c r="B13" s="561"/>
      <c r="C13" s="560"/>
      <c r="D13" s="560"/>
      <c r="E13" s="560"/>
      <c r="F13" s="561"/>
      <c r="G13" s="560"/>
      <c r="H13" s="560"/>
      <c r="I13" s="561"/>
      <c r="J13" s="560"/>
      <c r="K13" s="560"/>
      <c r="L13" s="560"/>
      <c r="M13" s="560"/>
    </row>
    <row r="14" spans="1:13" ht="18" x14ac:dyDescent="0.4">
      <c r="A14" s="556"/>
      <c r="B14" s="972" t="s">
        <v>1024</v>
      </c>
      <c r="C14" s="973"/>
      <c r="D14" s="973"/>
      <c r="E14" s="983"/>
      <c r="F14" s="983"/>
      <c r="G14" s="983"/>
      <c r="H14" s="984"/>
      <c r="I14" s="559" t="s">
        <v>1025</v>
      </c>
      <c r="J14" s="985" t="str">
        <f>IF(COUNTA(INFO!H18,INFO!C18)=0,"",IF(INFO!H18&lt;&gt;"",INFO!H18,INFO!C18))</f>
        <v/>
      </c>
      <c r="K14" s="985"/>
      <c r="L14" s="985"/>
      <c r="M14" s="986"/>
    </row>
    <row r="15" spans="1:13" ht="18" x14ac:dyDescent="0.4">
      <c r="A15" s="556"/>
      <c r="B15" s="974"/>
      <c r="C15" s="975"/>
      <c r="D15" s="975"/>
      <c r="E15" s="976"/>
      <c r="F15" s="976"/>
      <c r="G15" s="976"/>
      <c r="H15" s="977"/>
      <c r="I15" s="969" t="str">
        <f>IF(COUNTA(INFO!H19,INFO!C19)=0,"",IF(INFO!H19&lt;&gt;"",INFO!H19,INFO!C19))</f>
        <v/>
      </c>
      <c r="J15" s="970"/>
      <c r="K15" s="970"/>
      <c r="L15" s="970"/>
      <c r="M15" s="971"/>
    </row>
    <row r="16" spans="1:13" ht="18" x14ac:dyDescent="0.4">
      <c r="A16" s="556"/>
      <c r="B16" s="990"/>
      <c r="C16" s="991"/>
      <c r="D16" s="991"/>
      <c r="E16" s="991"/>
      <c r="F16" s="991"/>
      <c r="G16" s="991"/>
      <c r="H16" s="992"/>
      <c r="I16" s="969" t="str">
        <f>IF(COUNTA(INFO!H20,INFO!C20)=0,"",IF(INFO!H20&lt;&gt;"",INFO!H20,INFO!C20))</f>
        <v/>
      </c>
      <c r="J16" s="970"/>
      <c r="K16" s="970"/>
      <c r="L16" s="970"/>
      <c r="M16" s="971"/>
    </row>
    <row r="17" spans="1:13" ht="18.5" thickBot="1" x14ac:dyDescent="0.4">
      <c r="A17" s="556"/>
      <c r="B17" s="964"/>
      <c r="C17" s="965"/>
      <c r="D17" s="965"/>
      <c r="E17" s="965"/>
      <c r="F17" s="965"/>
      <c r="G17" s="965"/>
      <c r="H17" s="966"/>
      <c r="I17" s="993" t="str">
        <f>IF(
  COUNTA(INFO!H21,INFO!I21,INFO!J21)=0,
  _xlfn.TEXTJOIN(", ",TRUE,INFO!C21,INFO!D21,INFO!E21),
  _xlfn.TEXTJOIN(", ",TRUE,INFO!H21,INFO!I21,INFO!J21)
)</f>
        <v/>
      </c>
      <c r="J17" s="994"/>
      <c r="K17" s="994"/>
      <c r="L17" s="994"/>
      <c r="M17" s="995"/>
    </row>
    <row r="18" spans="1:13" ht="20.5" thickBot="1" x14ac:dyDescent="0.4">
      <c r="A18" s="556"/>
      <c r="B18" s="558"/>
      <c r="C18" s="558"/>
      <c r="D18" s="558"/>
      <c r="E18" s="558"/>
      <c r="F18" s="558"/>
      <c r="G18" s="558"/>
      <c r="H18" s="556"/>
      <c r="I18" s="558"/>
      <c r="J18" s="558"/>
      <c r="K18" s="558"/>
      <c r="L18" s="558"/>
      <c r="M18" s="558"/>
    </row>
    <row r="19" spans="1:13" ht="18" x14ac:dyDescent="0.35">
      <c r="A19" s="556"/>
      <c r="B19" s="557" t="s">
        <v>1026</v>
      </c>
      <c r="C19" s="978" t="str">
        <f>IF(INFO!C4="", "", INFO!C4)</f>
        <v/>
      </c>
      <c r="D19" s="978"/>
      <c r="E19" s="978"/>
      <c r="F19" s="978"/>
      <c r="G19" s="978"/>
      <c r="H19" s="979"/>
      <c r="I19" s="557" t="s">
        <v>1027</v>
      </c>
      <c r="J19" s="978" t="str">
        <f>IF(INFO!C24="", "", INFO!C24)</f>
        <v/>
      </c>
      <c r="K19" s="978"/>
      <c r="L19" s="978"/>
      <c r="M19" s="979"/>
    </row>
    <row r="20" spans="1:13" ht="18.5" thickBot="1" x14ac:dyDescent="0.4">
      <c r="A20" s="556"/>
      <c r="B20" s="555" t="s">
        <v>1028</v>
      </c>
      <c r="C20" s="962"/>
      <c r="D20" s="962"/>
      <c r="E20" s="962"/>
      <c r="F20" s="962"/>
      <c r="G20" s="962"/>
      <c r="H20" s="963"/>
      <c r="I20" s="554" t="s">
        <v>1028</v>
      </c>
      <c r="J20" s="994" t="str">
        <f>IF(INFO!C25="", "", INFO!C25)</f>
        <v/>
      </c>
      <c r="K20" s="994"/>
      <c r="L20" s="994"/>
      <c r="M20" s="995"/>
    </row>
    <row r="21" spans="1:13" ht="15" thickBot="1" x14ac:dyDescent="0.4">
      <c r="A21" s="551"/>
      <c r="B21" s="553"/>
      <c r="C21" s="553"/>
      <c r="D21" s="551"/>
      <c r="E21" s="551"/>
      <c r="F21" s="551"/>
      <c r="G21" s="551"/>
      <c r="H21" s="551"/>
      <c r="I21" s="551"/>
      <c r="J21" s="551"/>
      <c r="K21" s="551"/>
      <c r="L21" s="553"/>
      <c r="M21" s="551"/>
    </row>
    <row r="22" spans="1:13" ht="25.5" x14ac:dyDescent="0.35">
      <c r="A22" s="552"/>
      <c r="B22" s="988" t="s">
        <v>183</v>
      </c>
      <c r="C22" s="989"/>
      <c r="D22" s="1007" t="s">
        <v>335</v>
      </c>
      <c r="E22" s="1008"/>
      <c r="F22" s="1008"/>
      <c r="G22" s="1008"/>
      <c r="H22" s="1008"/>
      <c r="I22" s="1008"/>
      <c r="J22" s="1008"/>
      <c r="K22" s="1009"/>
      <c r="L22" s="1007" t="s">
        <v>167</v>
      </c>
      <c r="M22" s="1010"/>
    </row>
    <row r="23" spans="1:13" ht="15" customHeight="1" x14ac:dyDescent="0.35">
      <c r="A23" s="551"/>
      <c r="B23" s="1011" t="s">
        <v>1029</v>
      </c>
      <c r="C23" s="1012"/>
      <c r="D23" s="1012"/>
      <c r="E23" s="1012"/>
      <c r="F23" s="1012"/>
      <c r="G23" s="1012"/>
      <c r="H23" s="1012"/>
      <c r="I23" s="1012"/>
      <c r="J23" s="1012"/>
      <c r="K23" s="1012"/>
      <c r="L23" s="1012"/>
      <c r="M23" s="1013"/>
    </row>
    <row r="24" spans="1:13" ht="15" customHeight="1" x14ac:dyDescent="0.35">
      <c r="A24" s="551"/>
      <c r="B24" s="1014"/>
      <c r="C24" s="1015"/>
      <c r="D24" s="1015"/>
      <c r="E24" s="1015"/>
      <c r="F24" s="1015"/>
      <c r="G24" s="1015"/>
      <c r="H24" s="1015"/>
      <c r="I24" s="1015"/>
      <c r="J24" s="1015"/>
      <c r="K24" s="1015"/>
      <c r="L24" s="1015"/>
      <c r="M24" s="1016"/>
    </row>
    <row r="25" spans="1:13" ht="19" x14ac:dyDescent="0.4">
      <c r="A25" s="551"/>
      <c r="B25" s="942"/>
      <c r="C25" s="943"/>
      <c r="D25" s="996" t="s">
        <v>1030</v>
      </c>
      <c r="E25" s="943"/>
      <c r="F25" s="943"/>
      <c r="G25" s="943"/>
      <c r="H25" s="943"/>
      <c r="I25" s="943"/>
      <c r="J25" s="943"/>
      <c r="K25" s="943"/>
      <c r="L25" s="955"/>
      <c r="M25" s="956"/>
    </row>
    <row r="26" spans="1:13" ht="19" x14ac:dyDescent="0.4">
      <c r="A26" s="551"/>
      <c r="B26" s="942"/>
      <c r="C26" s="943"/>
      <c r="D26" s="987"/>
      <c r="E26" s="987"/>
      <c r="F26" s="987"/>
      <c r="G26" s="987"/>
      <c r="H26" s="987"/>
      <c r="I26" s="987"/>
      <c r="J26" s="987"/>
      <c r="K26" s="987"/>
      <c r="L26" s="955"/>
      <c r="M26" s="956"/>
    </row>
    <row r="27" spans="1:13" ht="19" x14ac:dyDescent="0.4">
      <c r="A27" s="551"/>
      <c r="B27" s="942"/>
      <c r="C27" s="943"/>
      <c r="D27" s="929"/>
      <c r="E27" s="929"/>
      <c r="F27" s="929"/>
      <c r="G27" s="929"/>
      <c r="H27" s="929"/>
      <c r="I27" s="929"/>
      <c r="J27" s="929"/>
      <c r="K27" s="929"/>
      <c r="L27" s="955"/>
      <c r="M27" s="956"/>
    </row>
    <row r="28" spans="1:13" ht="19" x14ac:dyDescent="0.4">
      <c r="A28" s="551"/>
      <c r="B28" s="942"/>
      <c r="C28" s="943"/>
      <c r="D28" s="997"/>
      <c r="E28" s="998"/>
      <c r="F28" s="998"/>
      <c r="G28" s="998"/>
      <c r="H28" s="998"/>
      <c r="I28" s="998"/>
      <c r="J28" s="998"/>
      <c r="K28" s="999"/>
      <c r="L28" s="955"/>
      <c r="M28" s="956"/>
    </row>
    <row r="29" spans="1:13" ht="19" x14ac:dyDescent="0.4">
      <c r="A29" s="551"/>
      <c r="B29" s="942"/>
      <c r="C29" s="943"/>
      <c r="D29" s="929"/>
      <c r="E29" s="929"/>
      <c r="F29" s="929"/>
      <c r="G29" s="929"/>
      <c r="H29" s="929"/>
      <c r="I29" s="929"/>
      <c r="J29" s="929"/>
      <c r="K29" s="929"/>
      <c r="L29" s="955"/>
      <c r="M29" s="956"/>
    </row>
    <row r="30" spans="1:13" ht="19" x14ac:dyDescent="0.4">
      <c r="A30" s="551"/>
      <c r="B30" s="942"/>
      <c r="C30" s="943"/>
      <c r="D30" s="929"/>
      <c r="E30" s="929"/>
      <c r="F30" s="929"/>
      <c r="G30" s="929"/>
      <c r="H30" s="929"/>
      <c r="I30" s="929"/>
      <c r="J30" s="929"/>
      <c r="K30" s="929"/>
      <c r="L30" s="955"/>
      <c r="M30" s="956"/>
    </row>
    <row r="31" spans="1:13" ht="19" x14ac:dyDescent="0.4">
      <c r="A31" s="551"/>
      <c r="B31" s="942"/>
      <c r="C31" s="943"/>
      <c r="D31" s="929"/>
      <c r="E31" s="929"/>
      <c r="F31" s="929"/>
      <c r="G31" s="929"/>
      <c r="H31" s="929"/>
      <c r="I31" s="929"/>
      <c r="J31" s="929"/>
      <c r="K31" s="929"/>
      <c r="L31" s="955"/>
      <c r="M31" s="956"/>
    </row>
    <row r="32" spans="1:13" ht="19" x14ac:dyDescent="0.4">
      <c r="A32" s="551"/>
      <c r="B32" s="942"/>
      <c r="C32" s="943"/>
      <c r="D32" s="929"/>
      <c r="E32" s="929"/>
      <c r="F32" s="929"/>
      <c r="G32" s="929"/>
      <c r="H32" s="929"/>
      <c r="I32" s="929"/>
      <c r="J32" s="929"/>
      <c r="K32" s="929"/>
      <c r="L32" s="955"/>
      <c r="M32" s="956"/>
    </row>
    <row r="33" spans="1:14" ht="19" x14ac:dyDescent="0.4">
      <c r="A33" s="551"/>
      <c r="B33" s="1005"/>
      <c r="C33" s="1006"/>
      <c r="D33" s="929"/>
      <c r="E33" s="929"/>
      <c r="F33" s="929"/>
      <c r="G33" s="929"/>
      <c r="H33" s="929"/>
      <c r="I33" s="929"/>
      <c r="J33" s="929"/>
      <c r="K33" s="929"/>
      <c r="L33" s="1003"/>
      <c r="M33" s="1004"/>
    </row>
    <row r="34" spans="1:14" ht="20.25" customHeight="1" x14ac:dyDescent="0.4">
      <c r="A34" s="551"/>
      <c r="B34" s="942"/>
      <c r="C34" s="943"/>
      <c r="D34" s="929"/>
      <c r="E34" s="929"/>
      <c r="F34" s="929"/>
      <c r="G34" s="929"/>
      <c r="H34" s="929"/>
      <c r="I34" s="929"/>
      <c r="J34" s="929"/>
      <c r="K34" s="929"/>
      <c r="L34" s="955"/>
      <c r="M34" s="956"/>
    </row>
    <row r="35" spans="1:14" ht="19" x14ac:dyDescent="0.4">
      <c r="A35" s="551"/>
      <c r="B35" s="942"/>
      <c r="C35" s="943"/>
      <c r="D35" s="929"/>
      <c r="E35" s="929"/>
      <c r="F35" s="929"/>
      <c r="G35" s="929"/>
      <c r="H35" s="929"/>
      <c r="I35" s="929"/>
      <c r="J35" s="929"/>
      <c r="K35" s="929"/>
      <c r="L35" s="955"/>
      <c r="M35" s="956"/>
    </row>
    <row r="36" spans="1:14" ht="19" x14ac:dyDescent="0.4">
      <c r="A36" s="551"/>
      <c r="B36" s="942"/>
      <c r="C36" s="943"/>
      <c r="D36" s="929"/>
      <c r="E36" s="929"/>
      <c r="F36" s="929"/>
      <c r="G36" s="929"/>
      <c r="H36" s="929"/>
      <c r="I36" s="929"/>
      <c r="J36" s="929"/>
      <c r="K36" s="929"/>
      <c r="L36" s="955"/>
      <c r="M36" s="956"/>
    </row>
    <row r="37" spans="1:14" ht="19" x14ac:dyDescent="0.4">
      <c r="A37" s="551"/>
      <c r="B37" s="942"/>
      <c r="C37" s="943"/>
      <c r="D37" s="929"/>
      <c r="E37" s="929"/>
      <c r="F37" s="929"/>
      <c r="G37" s="929"/>
      <c r="H37" s="929"/>
      <c r="I37" s="929"/>
      <c r="J37" s="929"/>
      <c r="K37" s="929"/>
      <c r="L37" s="955"/>
      <c r="M37" s="956"/>
    </row>
    <row r="38" spans="1:14" ht="19" x14ac:dyDescent="0.4">
      <c r="A38" s="551"/>
      <c r="B38" s="942"/>
      <c r="C38" s="943"/>
      <c r="D38" s="929"/>
      <c r="E38" s="929"/>
      <c r="F38" s="929"/>
      <c r="G38" s="929"/>
      <c r="H38" s="929"/>
      <c r="I38" s="929"/>
      <c r="J38" s="929"/>
      <c r="K38" s="929"/>
      <c r="L38" s="955"/>
      <c r="M38" s="956"/>
    </row>
    <row r="39" spans="1:14" ht="19" x14ac:dyDescent="0.4">
      <c r="A39" s="551"/>
      <c r="B39" s="1005"/>
      <c r="C39" s="1006"/>
      <c r="D39" s="930"/>
      <c r="E39" s="931"/>
      <c r="F39" s="931"/>
      <c r="G39" s="931"/>
      <c r="H39" s="931"/>
      <c r="I39" s="931"/>
      <c r="J39" s="931"/>
      <c r="K39" s="932"/>
      <c r="L39" s="1003"/>
      <c r="M39" s="1004"/>
    </row>
    <row r="40" spans="1:14" ht="20.25" customHeight="1" x14ac:dyDescent="0.4">
      <c r="A40" s="551"/>
      <c r="B40" s="942"/>
      <c r="C40" s="943"/>
      <c r="D40" s="943"/>
      <c r="E40" s="943"/>
      <c r="F40" s="943"/>
      <c r="G40" s="943"/>
      <c r="H40" s="943"/>
      <c r="I40" s="943"/>
      <c r="J40" s="943"/>
      <c r="K40" s="943"/>
      <c r="L40" s="955"/>
      <c r="M40" s="956"/>
    </row>
    <row r="41" spans="1:14" ht="23.25" customHeight="1" x14ac:dyDescent="0.4">
      <c r="A41" s="551"/>
      <c r="B41" s="942"/>
      <c r="C41" s="943"/>
      <c r="D41" s="949" t="s">
        <v>1031</v>
      </c>
      <c r="E41" s="949"/>
      <c r="F41" s="949"/>
      <c r="G41" s="949"/>
      <c r="H41" s="949"/>
      <c r="I41" s="949"/>
      <c r="J41" s="949"/>
      <c r="K41" s="949"/>
      <c r="L41" s="955"/>
      <c r="M41" s="956"/>
    </row>
    <row r="42" spans="1:14" ht="21.75" customHeight="1" thickBot="1" x14ac:dyDescent="0.45">
      <c r="A42" s="551"/>
      <c r="B42" s="957"/>
      <c r="C42" s="958"/>
      <c r="D42" s="958"/>
      <c r="E42" s="958"/>
      <c r="F42" s="958"/>
      <c r="G42" s="958"/>
      <c r="H42" s="958"/>
      <c r="I42" s="958"/>
      <c r="J42" s="958"/>
      <c r="K42" s="958"/>
      <c r="L42" s="944"/>
      <c r="M42" s="945"/>
    </row>
    <row r="43" spans="1:14" ht="23" customHeight="1" thickBot="1" x14ac:dyDescent="0.4">
      <c r="A43" s="551"/>
      <c r="B43" s="950"/>
      <c r="C43" s="950"/>
      <c r="D43" s="950"/>
      <c r="E43" s="950"/>
      <c r="F43" s="950"/>
      <c r="G43" s="950"/>
      <c r="H43" s="551"/>
      <c r="J43" s="953" t="s">
        <v>167</v>
      </c>
      <c r="K43" s="954"/>
      <c r="L43" s="951"/>
      <c r="M43" s="952"/>
    </row>
    <row r="44" spans="1:14" ht="16.5" customHeight="1" thickBot="1" x14ac:dyDescent="0.45">
      <c r="A44" s="551"/>
      <c r="B44" s="946" t="s">
        <v>1032</v>
      </c>
      <c r="C44" s="947"/>
      <c r="D44" s="947"/>
      <c r="E44" s="947"/>
      <c r="F44" s="947"/>
      <c r="G44" s="947"/>
      <c r="H44" s="551"/>
      <c r="I44" s="551"/>
      <c r="J44" s="551"/>
      <c r="K44" s="948"/>
      <c r="L44" s="948"/>
      <c r="M44" s="550"/>
    </row>
    <row r="45" spans="1:14" ht="15.75" customHeight="1" x14ac:dyDescent="0.35">
      <c r="B45" s="933" t="s">
        <v>1033</v>
      </c>
      <c r="C45" s="934"/>
      <c r="D45" s="934"/>
      <c r="E45" s="934"/>
      <c r="F45" s="934"/>
      <c r="G45" s="934"/>
      <c r="H45" s="934"/>
      <c r="I45" s="934"/>
      <c r="J45" s="934"/>
      <c r="K45" s="934"/>
      <c r="L45" s="934"/>
      <c r="M45" s="935"/>
      <c r="N45" s="547"/>
    </row>
    <row r="46" spans="1:14" ht="14.25" customHeight="1" x14ac:dyDescent="0.35">
      <c r="A46" s="549"/>
      <c r="B46" s="936"/>
      <c r="C46" s="937"/>
      <c r="D46" s="937"/>
      <c r="E46" s="937"/>
      <c r="F46" s="937"/>
      <c r="G46" s="937"/>
      <c r="H46" s="937"/>
      <c r="I46" s="937"/>
      <c r="J46" s="937"/>
      <c r="K46" s="937"/>
      <c r="L46" s="937"/>
      <c r="M46" s="938"/>
      <c r="N46" s="547"/>
    </row>
    <row r="47" spans="1:14" ht="15.75" customHeight="1" x14ac:dyDescent="0.35">
      <c r="A47" s="549"/>
      <c r="B47" s="936"/>
      <c r="C47" s="937"/>
      <c r="D47" s="937"/>
      <c r="E47" s="937"/>
      <c r="F47" s="937"/>
      <c r="G47" s="937"/>
      <c r="H47" s="937"/>
      <c r="I47" s="937"/>
      <c r="J47" s="937"/>
      <c r="K47" s="937"/>
      <c r="L47" s="937"/>
      <c r="M47" s="938"/>
      <c r="N47" s="547"/>
    </row>
    <row r="48" spans="1:14" x14ac:dyDescent="0.35">
      <c r="A48" s="549"/>
      <c r="B48" s="936"/>
      <c r="C48" s="937"/>
      <c r="D48" s="937"/>
      <c r="E48" s="937"/>
      <c r="F48" s="937"/>
      <c r="G48" s="937"/>
      <c r="H48" s="937"/>
      <c r="I48" s="937"/>
      <c r="J48" s="937"/>
      <c r="K48" s="937"/>
      <c r="L48" s="937"/>
      <c r="M48" s="938"/>
      <c r="N48" s="547"/>
    </row>
    <row r="49" spans="1:14" ht="15" hidden="1" customHeight="1" x14ac:dyDescent="0.35">
      <c r="A49" s="549"/>
      <c r="B49" s="936"/>
      <c r="C49" s="937"/>
      <c r="D49" s="937"/>
      <c r="E49" s="937"/>
      <c r="F49" s="937"/>
      <c r="G49" s="937"/>
      <c r="H49" s="937"/>
      <c r="I49" s="937"/>
      <c r="J49" s="937"/>
      <c r="K49" s="937"/>
      <c r="L49" s="937"/>
      <c r="M49" s="938"/>
      <c r="N49" s="547"/>
    </row>
    <row r="50" spans="1:14" ht="15" hidden="1" customHeight="1" x14ac:dyDescent="0.35">
      <c r="A50" s="549"/>
      <c r="B50" s="936"/>
      <c r="C50" s="937"/>
      <c r="D50" s="937"/>
      <c r="E50" s="937"/>
      <c r="F50" s="937"/>
      <c r="G50" s="937"/>
      <c r="H50" s="937"/>
      <c r="I50" s="937"/>
      <c r="J50" s="937"/>
      <c r="K50" s="937"/>
      <c r="L50" s="937"/>
      <c r="M50" s="938"/>
      <c r="N50" s="547"/>
    </row>
    <row r="51" spans="1:14" x14ac:dyDescent="0.35">
      <c r="A51" s="549"/>
      <c r="B51" s="936"/>
      <c r="C51" s="937"/>
      <c r="D51" s="937"/>
      <c r="E51" s="937"/>
      <c r="F51" s="937"/>
      <c r="G51" s="937"/>
      <c r="H51" s="937"/>
      <c r="I51" s="937"/>
      <c r="J51" s="937"/>
      <c r="K51" s="937"/>
      <c r="L51" s="937"/>
      <c r="M51" s="938"/>
      <c r="N51" s="547"/>
    </row>
    <row r="52" spans="1:14" ht="15" thickBot="1" x14ac:dyDescent="0.4">
      <c r="A52" s="548"/>
      <c r="B52" s="936"/>
      <c r="C52" s="937"/>
      <c r="D52" s="937"/>
      <c r="E52" s="937"/>
      <c r="F52" s="937"/>
      <c r="G52" s="937"/>
      <c r="H52" s="937"/>
      <c r="I52" s="937"/>
      <c r="J52" s="937"/>
      <c r="K52" s="937"/>
      <c r="L52" s="937"/>
      <c r="M52" s="938"/>
      <c r="N52" s="547"/>
    </row>
    <row r="53" spans="1:14" ht="15" thickBot="1" x14ac:dyDescent="0.4">
      <c r="A53" s="547"/>
      <c r="B53" s="939"/>
      <c r="C53" s="940"/>
      <c r="D53" s="940"/>
      <c r="E53" s="940"/>
      <c r="F53" s="940"/>
      <c r="G53" s="940"/>
      <c r="H53" s="940"/>
      <c r="I53" s="940"/>
      <c r="J53" s="940"/>
      <c r="K53" s="940"/>
      <c r="L53" s="940"/>
      <c r="M53" s="941"/>
      <c r="N53" s="547"/>
    </row>
    <row r="54" spans="1:14" x14ac:dyDescent="0.35">
      <c r="A54" s="546"/>
      <c r="B54" s="547"/>
      <c r="C54" s="547"/>
      <c r="D54" s="547"/>
      <c r="E54" s="547"/>
      <c r="F54" s="547"/>
      <c r="G54" s="547"/>
      <c r="H54" s="547"/>
      <c r="I54" s="547"/>
      <c r="J54" s="547"/>
      <c r="K54" s="547"/>
      <c r="L54" s="547"/>
      <c r="M54" s="547"/>
      <c r="N54" s="546"/>
    </row>
    <row r="55" spans="1:14" x14ac:dyDescent="0.35">
      <c r="A55" s="546"/>
      <c r="B55" s="547"/>
      <c r="C55" s="547"/>
      <c r="D55" s="547"/>
      <c r="E55" s="547"/>
      <c r="F55" s="547"/>
      <c r="G55" s="547"/>
      <c r="H55" s="547"/>
      <c r="I55" s="547"/>
      <c r="J55" s="547"/>
      <c r="K55" s="547"/>
      <c r="L55" s="547"/>
      <c r="M55" s="547"/>
      <c r="N55" s="546"/>
    </row>
  </sheetData>
  <sheetProtection sheet="1" objects="1" scenarios="1"/>
  <mergeCells count="87">
    <mergeCell ref="B31:C31"/>
    <mergeCell ref="L31:M31"/>
    <mergeCell ref="B34:C34"/>
    <mergeCell ref="L34:M34"/>
    <mergeCell ref="B37:C37"/>
    <mergeCell ref="L37:M37"/>
    <mergeCell ref="B36:C36"/>
    <mergeCell ref="B32:C32"/>
    <mergeCell ref="L32:M32"/>
    <mergeCell ref="B33:C33"/>
    <mergeCell ref="L33:M33"/>
    <mergeCell ref="L39:M39"/>
    <mergeCell ref="B39:C39"/>
    <mergeCell ref="B35:C35"/>
    <mergeCell ref="L35:M35"/>
    <mergeCell ref="D22:K22"/>
    <mergeCell ref="L22:M22"/>
    <mergeCell ref="L26:M26"/>
    <mergeCell ref="L29:M29"/>
    <mergeCell ref="B30:C30"/>
    <mergeCell ref="L30:M30"/>
    <mergeCell ref="B23:M24"/>
    <mergeCell ref="B28:C28"/>
    <mergeCell ref="L28:M28"/>
    <mergeCell ref="B27:C27"/>
    <mergeCell ref="B29:C29"/>
    <mergeCell ref="D27:K27"/>
    <mergeCell ref="D28:K28"/>
    <mergeCell ref="D29:K29"/>
    <mergeCell ref="D30:K30"/>
    <mergeCell ref="K10:L10"/>
    <mergeCell ref="F10:H10"/>
    <mergeCell ref="C10:E10"/>
    <mergeCell ref="L38:M38"/>
    <mergeCell ref="D26:K26"/>
    <mergeCell ref="B22:C22"/>
    <mergeCell ref="B16:H16"/>
    <mergeCell ref="I16:M16"/>
    <mergeCell ref="I17:M17"/>
    <mergeCell ref="J20:M20"/>
    <mergeCell ref="J19:M19"/>
    <mergeCell ref="B25:C25"/>
    <mergeCell ref="D25:K25"/>
    <mergeCell ref="L25:M25"/>
    <mergeCell ref="B38:C38"/>
    <mergeCell ref="L27:M27"/>
    <mergeCell ref="L36:M36"/>
    <mergeCell ref="D36:K36"/>
    <mergeCell ref="D37:K37"/>
    <mergeCell ref="A1:E4"/>
    <mergeCell ref="A6:I7"/>
    <mergeCell ref="A5:F5"/>
    <mergeCell ref="C20:H20"/>
    <mergeCell ref="B26:C26"/>
    <mergeCell ref="B17:H17"/>
    <mergeCell ref="G12:H12"/>
    <mergeCell ref="I15:M15"/>
    <mergeCell ref="B14:D14"/>
    <mergeCell ref="B15:H15"/>
    <mergeCell ref="C19:H19"/>
    <mergeCell ref="I10:J10"/>
    <mergeCell ref="J12:M12"/>
    <mergeCell ref="C12:E12"/>
    <mergeCell ref="E14:H14"/>
    <mergeCell ref="J14:M14"/>
    <mergeCell ref="B45:M53"/>
    <mergeCell ref="B40:C40"/>
    <mergeCell ref="D40:K40"/>
    <mergeCell ref="L42:M42"/>
    <mergeCell ref="B44:G44"/>
    <mergeCell ref="K44:L44"/>
    <mergeCell ref="D41:K41"/>
    <mergeCell ref="B43:G43"/>
    <mergeCell ref="B41:C41"/>
    <mergeCell ref="L43:M43"/>
    <mergeCell ref="J43:K43"/>
    <mergeCell ref="L40:M40"/>
    <mergeCell ref="L41:M41"/>
    <mergeCell ref="B42:C42"/>
    <mergeCell ref="D42:K42"/>
    <mergeCell ref="D38:K38"/>
    <mergeCell ref="D39:K39"/>
    <mergeCell ref="D31:K31"/>
    <mergeCell ref="D32:K32"/>
    <mergeCell ref="D33:K33"/>
    <mergeCell ref="D34:K34"/>
    <mergeCell ref="D35:K35"/>
  </mergeCells>
  <printOptions horizontalCentered="1" verticalCentered="1"/>
  <pageMargins left="0.17" right="0.16" top="0.17" bottom="0.16" header="0.21" footer="0.18"/>
  <pageSetup scale="6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D0BA-6031-469B-A48B-A08EC2FB99A2}">
  <sheetPr>
    <tabColor theme="9" tint="0.39997558519241921"/>
    <pageSetUpPr fitToPage="1"/>
  </sheetPr>
  <dimension ref="A1:N55"/>
  <sheetViews>
    <sheetView topLeftCell="A7" zoomScaleNormal="100" workbookViewId="0">
      <selection activeCell="L36" sqref="L36:M36"/>
    </sheetView>
  </sheetViews>
  <sheetFormatPr defaultRowHeight="14.5" x14ac:dyDescent="0.35"/>
  <cols>
    <col min="1" max="1" width="0.81640625" style="572" customWidth="1"/>
    <col min="2" max="2" width="9.81640625" style="572" customWidth="1"/>
    <col min="3" max="3" width="8.7265625" style="572"/>
    <col min="4" max="4" width="6" style="572" customWidth="1"/>
    <col min="5" max="8" width="8.7265625" style="572"/>
    <col min="9" max="9" width="18" style="572" customWidth="1"/>
    <col min="10" max="10" width="13.26953125" style="572" customWidth="1"/>
    <col min="11" max="11" width="14.81640625" style="572" customWidth="1"/>
    <col min="12" max="12" width="12" style="572" customWidth="1"/>
    <col min="13" max="13" width="14" style="572" customWidth="1"/>
    <col min="14" max="16384" width="8.7265625" style="572"/>
  </cols>
  <sheetData>
    <row r="1" spans="1:13" ht="15" customHeight="1" x14ac:dyDescent="0.35">
      <c r="A1" s="1027" t="s">
        <v>1015</v>
      </c>
      <c r="B1" s="1027"/>
      <c r="C1" s="1027"/>
      <c r="D1" s="1027"/>
      <c r="E1" s="1027"/>
      <c r="F1" s="574"/>
      <c r="G1" s="564"/>
      <c r="H1" s="564"/>
      <c r="I1" s="564"/>
      <c r="J1" s="564"/>
      <c r="K1" s="564"/>
      <c r="L1" s="565"/>
      <c r="M1" s="564"/>
    </row>
    <row r="2" spans="1:13" ht="15" customHeight="1" x14ac:dyDescent="0.35">
      <c r="A2" s="1027"/>
      <c r="B2" s="1027"/>
      <c r="C2" s="1027"/>
      <c r="D2" s="1027"/>
      <c r="E2" s="1027"/>
      <c r="F2" s="574"/>
      <c r="G2" s="564"/>
      <c r="H2" s="564"/>
      <c r="I2" s="564"/>
      <c r="J2" s="564"/>
      <c r="K2" s="564"/>
      <c r="L2" s="565"/>
      <c r="M2" s="564"/>
    </row>
    <row r="3" spans="1:13" ht="15" customHeight="1" x14ac:dyDescent="0.35">
      <c r="A3" s="1027"/>
      <c r="B3" s="1027"/>
      <c r="C3" s="1027"/>
      <c r="D3" s="1027"/>
      <c r="E3" s="1027"/>
      <c r="F3" s="574"/>
      <c r="G3" s="564"/>
      <c r="H3" s="564"/>
      <c r="I3" s="564"/>
      <c r="J3" s="564"/>
      <c r="K3" s="564"/>
      <c r="L3" s="565"/>
      <c r="M3" s="564"/>
    </row>
    <row r="4" spans="1:13" x14ac:dyDescent="0.35">
      <c r="A4" s="1027"/>
      <c r="B4" s="1027"/>
      <c r="C4" s="1027"/>
      <c r="D4" s="1027"/>
      <c r="E4" s="1027"/>
      <c r="F4" s="574"/>
      <c r="G4" s="564"/>
      <c r="H4" s="564"/>
      <c r="I4" s="564"/>
      <c r="J4" s="564"/>
      <c r="K4" s="564"/>
      <c r="L4" s="565"/>
      <c r="M4" s="564"/>
    </row>
    <row r="5" spans="1:13" ht="21" x14ac:dyDescent="0.4">
      <c r="A5" s="1029" t="s">
        <v>1016</v>
      </c>
      <c r="B5" s="1029"/>
      <c r="C5" s="1029"/>
      <c r="D5" s="1029"/>
      <c r="E5" s="1029"/>
      <c r="F5" s="1029"/>
      <c r="G5" s="564"/>
      <c r="H5" s="564"/>
      <c r="I5" s="564"/>
      <c r="J5" s="564"/>
      <c r="K5" s="564"/>
      <c r="L5" s="565"/>
      <c r="M5" s="564"/>
    </row>
    <row r="6" spans="1:13" ht="15" customHeight="1" x14ac:dyDescent="0.35">
      <c r="A6" s="1028" t="s">
        <v>1034</v>
      </c>
      <c r="B6" s="1028"/>
      <c r="C6" s="1028"/>
      <c r="D6" s="1028"/>
      <c r="E6" s="1028"/>
      <c r="F6" s="1028"/>
      <c r="G6" s="1028"/>
      <c r="H6" s="1028"/>
      <c r="I6" s="1028"/>
      <c r="J6" s="564"/>
      <c r="K6" s="564"/>
      <c r="L6" s="565"/>
      <c r="M6" s="564"/>
    </row>
    <row r="7" spans="1:13" ht="22.5" customHeight="1" x14ac:dyDescent="0.45">
      <c r="A7" s="1028"/>
      <c r="B7" s="1028"/>
      <c r="C7" s="1028"/>
      <c r="D7" s="1028"/>
      <c r="E7" s="1028"/>
      <c r="F7" s="1028"/>
      <c r="G7" s="1028"/>
      <c r="H7" s="1028"/>
      <c r="I7" s="1028"/>
      <c r="J7" s="564"/>
      <c r="K7" s="570"/>
      <c r="L7" s="569" t="s">
        <v>1017</v>
      </c>
      <c r="M7" s="568" t="s">
        <v>1018</v>
      </c>
    </row>
    <row r="8" spans="1:13" x14ac:dyDescent="0.35">
      <c r="A8" s="564"/>
      <c r="B8" s="565"/>
      <c r="C8" s="565"/>
      <c r="D8" s="564"/>
      <c r="E8" s="564"/>
      <c r="F8" s="564"/>
      <c r="G8" s="564"/>
      <c r="H8" s="564"/>
      <c r="I8" s="564"/>
      <c r="J8" s="564"/>
      <c r="K8" s="564"/>
      <c r="L8" s="565"/>
      <c r="M8" s="564"/>
    </row>
    <row r="9" spans="1:13" ht="15" thickBot="1" x14ac:dyDescent="0.4">
      <c r="A9" s="564"/>
      <c r="B9" s="565"/>
      <c r="C9" s="565"/>
      <c r="D9" s="564"/>
      <c r="E9" s="564"/>
      <c r="F9" s="564"/>
      <c r="G9" s="564"/>
      <c r="H9" s="564"/>
      <c r="I9" s="564"/>
      <c r="J9" s="564"/>
      <c r="K9" s="564"/>
      <c r="L9" s="565"/>
      <c r="M9" s="564"/>
    </row>
    <row r="10" spans="1:13" ht="18.5" thickBot="1" x14ac:dyDescent="0.45">
      <c r="A10" s="552"/>
      <c r="B10" s="567"/>
      <c r="C10" s="980" t="s">
        <v>1019</v>
      </c>
      <c r="D10" s="981"/>
      <c r="E10" s="981"/>
      <c r="F10" s="1000"/>
      <c r="G10" s="1001"/>
      <c r="H10" s="1002"/>
      <c r="I10" s="980" t="s">
        <v>1020</v>
      </c>
      <c r="J10" s="981"/>
      <c r="K10" s="982"/>
      <c r="L10" s="968"/>
    </row>
    <row r="11" spans="1:13" ht="15" thickBot="1" x14ac:dyDescent="0.4">
      <c r="A11" s="564"/>
      <c r="B11" s="565"/>
      <c r="C11" s="565"/>
      <c r="D11" s="564"/>
      <c r="E11" s="564"/>
      <c r="F11" s="564"/>
      <c r="G11" s="564"/>
      <c r="H11" s="564"/>
      <c r="I11" s="564"/>
      <c r="J11" s="566"/>
      <c r="K11" s="564"/>
      <c r="L11" s="565"/>
      <c r="M11" s="564"/>
    </row>
    <row r="12" spans="1:13" ht="18.5" thickBot="1" x14ac:dyDescent="0.4">
      <c r="A12" s="562"/>
      <c r="B12" s="563" t="s">
        <v>1021</v>
      </c>
      <c r="C12" s="982"/>
      <c r="D12" s="967"/>
      <c r="E12" s="967"/>
      <c r="F12" s="563" t="s">
        <v>1022</v>
      </c>
      <c r="G12" s="967"/>
      <c r="H12" s="968"/>
      <c r="I12" s="563" t="s">
        <v>1023</v>
      </c>
      <c r="J12" s="967"/>
      <c r="K12" s="967"/>
      <c r="L12" s="967"/>
      <c r="M12" s="968"/>
    </row>
    <row r="13" spans="1:13" ht="18.5" thickBot="1" x14ac:dyDescent="0.4">
      <c r="A13" s="562"/>
      <c r="B13" s="561"/>
      <c r="C13" s="560"/>
      <c r="D13" s="560"/>
      <c r="E13" s="560"/>
      <c r="F13" s="561"/>
      <c r="G13" s="560"/>
      <c r="H13" s="560"/>
      <c r="I13" s="561"/>
      <c r="J13" s="560"/>
      <c r="K13" s="560"/>
      <c r="L13" s="560"/>
      <c r="M13" s="560"/>
    </row>
    <row r="14" spans="1:13" ht="18" x14ac:dyDescent="0.4">
      <c r="A14" s="556"/>
      <c r="B14" s="972" t="s">
        <v>1024</v>
      </c>
      <c r="C14" s="973"/>
      <c r="D14" s="973"/>
      <c r="E14" s="1036"/>
      <c r="F14" s="1036"/>
      <c r="G14" s="1036"/>
      <c r="H14" s="1037"/>
      <c r="I14" s="559" t="s">
        <v>1025</v>
      </c>
      <c r="J14" s="1038"/>
      <c r="K14" s="1038"/>
      <c r="L14" s="1038"/>
      <c r="M14" s="1039"/>
    </row>
    <row r="15" spans="1:13" ht="18" x14ac:dyDescent="0.4">
      <c r="A15" s="556"/>
      <c r="B15" s="1032"/>
      <c r="C15" s="1033"/>
      <c r="D15" s="1033"/>
      <c r="E15" s="1034"/>
      <c r="F15" s="1034"/>
      <c r="G15" s="1034"/>
      <c r="H15" s="1035"/>
      <c r="I15" s="969"/>
      <c r="J15" s="970"/>
      <c r="K15" s="970"/>
      <c r="L15" s="970"/>
      <c r="M15" s="971"/>
    </row>
    <row r="16" spans="1:13" ht="18" x14ac:dyDescent="0.4">
      <c r="A16" s="556"/>
      <c r="B16" s="1024"/>
      <c r="C16" s="1025"/>
      <c r="D16" s="1025"/>
      <c r="E16" s="1025"/>
      <c r="F16" s="1025"/>
      <c r="G16" s="1025"/>
      <c r="H16" s="1026"/>
      <c r="I16" s="969"/>
      <c r="J16" s="970"/>
      <c r="K16" s="970"/>
      <c r="L16" s="970"/>
      <c r="M16" s="971"/>
    </row>
    <row r="17" spans="1:13" ht="18.5" thickBot="1" x14ac:dyDescent="0.4">
      <c r="A17" s="556"/>
      <c r="B17" s="993"/>
      <c r="C17" s="994"/>
      <c r="D17" s="994"/>
      <c r="E17" s="994"/>
      <c r="F17" s="994"/>
      <c r="G17" s="994"/>
      <c r="H17" s="995"/>
      <c r="I17" s="993"/>
      <c r="J17" s="994"/>
      <c r="K17" s="994"/>
      <c r="L17" s="994"/>
      <c r="M17" s="995"/>
    </row>
    <row r="18" spans="1:13" ht="20.5" thickBot="1" x14ac:dyDescent="0.4">
      <c r="A18" s="556"/>
      <c r="B18" s="558"/>
      <c r="C18" s="558"/>
      <c r="D18" s="558"/>
      <c r="E18" s="558"/>
      <c r="F18" s="558"/>
      <c r="G18" s="558"/>
      <c r="H18" s="556"/>
      <c r="I18" s="558"/>
      <c r="J18" s="558"/>
      <c r="K18" s="558"/>
      <c r="L18" s="558"/>
      <c r="M18" s="558"/>
    </row>
    <row r="19" spans="1:13" ht="18" x14ac:dyDescent="0.35">
      <c r="A19" s="556"/>
      <c r="B19" s="557" t="s">
        <v>1026</v>
      </c>
      <c r="C19" s="978"/>
      <c r="D19" s="978"/>
      <c r="E19" s="978"/>
      <c r="F19" s="978"/>
      <c r="G19" s="978"/>
      <c r="H19" s="979"/>
      <c r="I19" s="557" t="s">
        <v>1027</v>
      </c>
      <c r="J19" s="978"/>
      <c r="K19" s="978"/>
      <c r="L19" s="978"/>
      <c r="M19" s="979"/>
    </row>
    <row r="20" spans="1:13" ht="18.5" thickBot="1" x14ac:dyDescent="0.4">
      <c r="A20" s="556"/>
      <c r="B20" s="555" t="s">
        <v>1028</v>
      </c>
      <c r="C20" s="1030"/>
      <c r="D20" s="1030"/>
      <c r="E20" s="1030"/>
      <c r="F20" s="1030"/>
      <c r="G20" s="1030"/>
      <c r="H20" s="1031"/>
      <c r="I20" s="554" t="s">
        <v>1028</v>
      </c>
      <c r="J20" s="994"/>
      <c r="K20" s="994"/>
      <c r="L20" s="994"/>
      <c r="M20" s="995"/>
    </row>
    <row r="21" spans="1:13" ht="15" thickBot="1" x14ac:dyDescent="0.4">
      <c r="A21" s="551"/>
      <c r="B21" s="553"/>
      <c r="C21" s="553"/>
      <c r="D21" s="551"/>
      <c r="E21" s="551"/>
      <c r="F21" s="551"/>
      <c r="G21" s="551"/>
      <c r="H21" s="551"/>
      <c r="I21" s="551"/>
      <c r="J21" s="551"/>
      <c r="K21" s="551"/>
      <c r="L21" s="553"/>
      <c r="M21" s="551"/>
    </row>
    <row r="22" spans="1:13" ht="25.5" x14ac:dyDescent="0.35">
      <c r="A22" s="552"/>
      <c r="B22" s="988" t="s">
        <v>183</v>
      </c>
      <c r="C22" s="989"/>
      <c r="D22" s="1007" t="s">
        <v>335</v>
      </c>
      <c r="E22" s="1008"/>
      <c r="F22" s="1008"/>
      <c r="G22" s="1008"/>
      <c r="H22" s="1008"/>
      <c r="I22" s="1008"/>
      <c r="J22" s="1008"/>
      <c r="K22" s="1009"/>
      <c r="L22" s="1007" t="s">
        <v>167</v>
      </c>
      <c r="M22" s="1010"/>
    </row>
    <row r="23" spans="1:13" ht="15" customHeight="1" x14ac:dyDescent="0.35">
      <c r="A23" s="551"/>
      <c r="B23" s="1011" t="s">
        <v>1029</v>
      </c>
      <c r="C23" s="1012"/>
      <c r="D23" s="1012"/>
      <c r="E23" s="1012"/>
      <c r="F23" s="1012"/>
      <c r="G23" s="1012"/>
      <c r="H23" s="1012"/>
      <c r="I23" s="1012"/>
      <c r="J23" s="1012"/>
      <c r="K23" s="1012"/>
      <c r="L23" s="1012"/>
      <c r="M23" s="1013"/>
    </row>
    <row r="24" spans="1:13" ht="15" customHeight="1" x14ac:dyDescent="0.35">
      <c r="A24" s="551"/>
      <c r="B24" s="1014"/>
      <c r="C24" s="1015"/>
      <c r="D24" s="1015"/>
      <c r="E24" s="1015"/>
      <c r="F24" s="1015"/>
      <c r="G24" s="1015"/>
      <c r="H24" s="1015"/>
      <c r="I24" s="1015"/>
      <c r="J24" s="1015"/>
      <c r="K24" s="1015"/>
      <c r="L24" s="1015"/>
      <c r="M24" s="1016"/>
    </row>
    <row r="25" spans="1:13" ht="19" x14ac:dyDescent="0.4">
      <c r="A25" s="551"/>
      <c r="B25" s="942"/>
      <c r="C25" s="943"/>
      <c r="D25" s="996" t="s">
        <v>1030</v>
      </c>
      <c r="E25" s="943"/>
      <c r="F25" s="943"/>
      <c r="G25" s="943"/>
      <c r="H25" s="943"/>
      <c r="I25" s="943"/>
      <c r="J25" s="943"/>
      <c r="K25" s="943"/>
      <c r="L25" s="955"/>
      <c r="M25" s="956"/>
    </row>
    <row r="26" spans="1:13" ht="19" x14ac:dyDescent="0.4">
      <c r="A26" s="551"/>
      <c r="B26" s="942"/>
      <c r="C26" s="943"/>
      <c r="D26" s="987"/>
      <c r="E26" s="987"/>
      <c r="F26" s="987"/>
      <c r="G26" s="987"/>
      <c r="H26" s="987"/>
      <c r="I26" s="987"/>
      <c r="J26" s="987"/>
      <c r="K26" s="987"/>
      <c r="L26" s="955"/>
      <c r="M26" s="956"/>
    </row>
    <row r="27" spans="1:13" ht="19" x14ac:dyDescent="0.4">
      <c r="A27" s="551"/>
      <c r="B27" s="942"/>
      <c r="C27" s="943"/>
      <c r="D27" s="949"/>
      <c r="E27" s="949"/>
      <c r="F27" s="949"/>
      <c r="G27" s="949"/>
      <c r="H27" s="949"/>
      <c r="I27" s="949"/>
      <c r="J27" s="949"/>
      <c r="K27" s="949"/>
      <c r="L27" s="955"/>
      <c r="M27" s="956"/>
    </row>
    <row r="28" spans="1:13" ht="19" x14ac:dyDescent="0.4">
      <c r="A28" s="551"/>
      <c r="B28" s="942"/>
      <c r="C28" s="943"/>
      <c r="D28" s="949"/>
      <c r="E28" s="949"/>
      <c r="F28" s="949"/>
      <c r="G28" s="949"/>
      <c r="H28" s="949"/>
      <c r="I28" s="949"/>
      <c r="J28" s="949"/>
      <c r="K28" s="949"/>
      <c r="L28" s="955"/>
      <c r="M28" s="956"/>
    </row>
    <row r="29" spans="1:13" ht="19" x14ac:dyDescent="0.4">
      <c r="A29" s="551"/>
      <c r="B29" s="942"/>
      <c r="C29" s="943"/>
      <c r="D29" s="1018"/>
      <c r="E29" s="1019"/>
      <c r="F29" s="1019"/>
      <c r="G29" s="1019"/>
      <c r="H29" s="1019"/>
      <c r="I29" s="1019"/>
      <c r="J29" s="1019"/>
      <c r="K29" s="1020"/>
      <c r="L29" s="955"/>
      <c r="M29" s="956"/>
    </row>
    <row r="30" spans="1:13" ht="19" x14ac:dyDescent="0.4">
      <c r="A30" s="551"/>
      <c r="B30" s="942"/>
      <c r="C30" s="943"/>
      <c r="D30" s="1018"/>
      <c r="E30" s="1019"/>
      <c r="F30" s="1019"/>
      <c r="G30" s="1019"/>
      <c r="H30" s="1019"/>
      <c r="I30" s="1019"/>
      <c r="J30" s="1019"/>
      <c r="K30" s="1020"/>
      <c r="L30" s="955"/>
      <c r="M30" s="956"/>
    </row>
    <row r="31" spans="1:13" ht="19" x14ac:dyDescent="0.4">
      <c r="A31" s="551"/>
      <c r="B31" s="942"/>
      <c r="C31" s="943"/>
      <c r="D31" s="1018"/>
      <c r="E31" s="1019"/>
      <c r="F31" s="1019"/>
      <c r="G31" s="1019"/>
      <c r="H31" s="1019"/>
      <c r="I31" s="1019"/>
      <c r="J31" s="1019"/>
      <c r="K31" s="1020"/>
      <c r="L31" s="955"/>
      <c r="M31" s="956"/>
    </row>
    <row r="32" spans="1:13" ht="19" x14ac:dyDescent="0.4">
      <c r="A32" s="551"/>
      <c r="B32" s="942"/>
      <c r="C32" s="943"/>
      <c r="D32" s="1021"/>
      <c r="E32" s="1022"/>
      <c r="F32" s="1022"/>
      <c r="G32" s="1022"/>
      <c r="H32" s="1022"/>
      <c r="I32" s="1022"/>
      <c r="J32" s="1022"/>
      <c r="K32" s="1023"/>
      <c r="L32" s="955"/>
      <c r="M32" s="956"/>
    </row>
    <row r="33" spans="1:14" ht="19" x14ac:dyDescent="0.4">
      <c r="A33" s="551"/>
      <c r="B33" s="1005"/>
      <c r="C33" s="1006"/>
      <c r="D33" s="1017"/>
      <c r="E33" s="1017"/>
      <c r="F33" s="1017"/>
      <c r="G33" s="1017"/>
      <c r="H33" s="1017"/>
      <c r="I33" s="1017"/>
      <c r="J33" s="1017"/>
      <c r="K33" s="1017"/>
      <c r="L33" s="1003"/>
      <c r="M33" s="1004"/>
    </row>
    <row r="34" spans="1:14" ht="20.25" customHeight="1" x14ac:dyDescent="0.4">
      <c r="A34" s="551"/>
      <c r="B34" s="942"/>
      <c r="C34" s="943"/>
      <c r="D34" s="949"/>
      <c r="E34" s="949"/>
      <c r="F34" s="949"/>
      <c r="G34" s="949"/>
      <c r="H34" s="949"/>
      <c r="I34" s="949"/>
      <c r="J34" s="949"/>
      <c r="K34" s="949"/>
      <c r="L34" s="955"/>
      <c r="M34" s="956"/>
    </row>
    <row r="35" spans="1:14" ht="19" x14ac:dyDescent="0.4">
      <c r="A35" s="551"/>
      <c r="B35" s="942"/>
      <c r="C35" s="943"/>
      <c r="D35" s="1018"/>
      <c r="E35" s="1019"/>
      <c r="F35" s="1019"/>
      <c r="G35" s="1019"/>
      <c r="H35" s="1019"/>
      <c r="I35" s="1019"/>
      <c r="J35" s="1019"/>
      <c r="K35" s="1020"/>
      <c r="L35" s="955"/>
      <c r="M35" s="956"/>
    </row>
    <row r="36" spans="1:14" ht="19" x14ac:dyDescent="0.4">
      <c r="A36" s="551"/>
      <c r="B36" s="942"/>
      <c r="C36" s="943"/>
      <c r="D36" s="1018"/>
      <c r="E36" s="1019"/>
      <c r="F36" s="1019"/>
      <c r="G36" s="1019"/>
      <c r="H36" s="1019"/>
      <c r="I36" s="1019"/>
      <c r="J36" s="1019"/>
      <c r="K36" s="1020"/>
      <c r="L36" s="955"/>
      <c r="M36" s="956"/>
    </row>
    <row r="37" spans="1:14" ht="19" x14ac:dyDescent="0.4">
      <c r="A37" s="551"/>
      <c r="B37" s="942"/>
      <c r="C37" s="943"/>
      <c r="D37" s="1018"/>
      <c r="E37" s="1019"/>
      <c r="F37" s="1019"/>
      <c r="G37" s="1019"/>
      <c r="H37" s="1019"/>
      <c r="I37" s="1019"/>
      <c r="J37" s="1019"/>
      <c r="K37" s="1020"/>
      <c r="L37" s="955"/>
      <c r="M37" s="956"/>
    </row>
    <row r="38" spans="1:14" ht="19" x14ac:dyDescent="0.4">
      <c r="A38" s="551"/>
      <c r="B38" s="942"/>
      <c r="C38" s="943"/>
      <c r="D38" s="1021"/>
      <c r="E38" s="1022"/>
      <c r="F38" s="1022"/>
      <c r="G38" s="1022"/>
      <c r="H38" s="1022"/>
      <c r="I38" s="1022"/>
      <c r="J38" s="1022"/>
      <c r="K38" s="1023"/>
      <c r="L38" s="955"/>
      <c r="M38" s="956"/>
    </row>
    <row r="39" spans="1:14" ht="19" x14ac:dyDescent="0.4">
      <c r="A39" s="551"/>
      <c r="B39" s="1005"/>
      <c r="C39" s="1006"/>
      <c r="D39" s="1017"/>
      <c r="E39" s="1017"/>
      <c r="F39" s="1017"/>
      <c r="G39" s="1017"/>
      <c r="H39" s="1017"/>
      <c r="I39" s="1017"/>
      <c r="J39" s="1017"/>
      <c r="K39" s="1017"/>
      <c r="L39" s="1003"/>
      <c r="M39" s="1004"/>
    </row>
    <row r="40" spans="1:14" ht="20.25" customHeight="1" x14ac:dyDescent="0.4">
      <c r="A40" s="551"/>
      <c r="B40" s="942"/>
      <c r="C40" s="943"/>
      <c r="D40" s="943"/>
      <c r="E40" s="943"/>
      <c r="F40" s="943"/>
      <c r="G40" s="943"/>
      <c r="H40" s="943"/>
      <c r="I40" s="943"/>
      <c r="J40" s="943"/>
      <c r="K40" s="943"/>
      <c r="L40" s="955"/>
      <c r="M40" s="956"/>
    </row>
    <row r="41" spans="1:14" ht="23.25" customHeight="1" x14ac:dyDescent="0.4">
      <c r="A41" s="551"/>
      <c r="B41" s="942"/>
      <c r="C41" s="943"/>
      <c r="D41" s="949" t="s">
        <v>1031</v>
      </c>
      <c r="E41" s="949"/>
      <c r="F41" s="949"/>
      <c r="G41" s="949"/>
      <c r="H41" s="949"/>
      <c r="I41" s="949"/>
      <c r="J41" s="949"/>
      <c r="K41" s="949"/>
      <c r="L41" s="955"/>
      <c r="M41" s="956"/>
    </row>
    <row r="42" spans="1:14" ht="21.75" customHeight="1" thickBot="1" x14ac:dyDescent="0.45">
      <c r="A42" s="551"/>
      <c r="B42" s="957"/>
      <c r="C42" s="958"/>
      <c r="D42" s="958"/>
      <c r="E42" s="958"/>
      <c r="F42" s="958"/>
      <c r="G42" s="958"/>
      <c r="H42" s="958"/>
      <c r="I42" s="958"/>
      <c r="J42" s="958"/>
      <c r="K42" s="958"/>
      <c r="L42" s="944"/>
      <c r="M42" s="945"/>
    </row>
    <row r="43" spans="1:14" ht="23" thickBot="1" x14ac:dyDescent="0.4">
      <c r="A43" s="551"/>
      <c r="B43" s="1040"/>
      <c r="C43" s="1040"/>
      <c r="D43" s="1040"/>
      <c r="E43" s="1040"/>
      <c r="F43" s="1040"/>
      <c r="G43" s="1040"/>
      <c r="H43" s="551"/>
      <c r="J43" s="953" t="s">
        <v>167</v>
      </c>
      <c r="K43" s="954"/>
      <c r="L43" s="1041">
        <f>SUM(L26:M42)</f>
        <v>0</v>
      </c>
      <c r="M43" s="1042"/>
    </row>
    <row r="44" spans="1:14" ht="16.5" customHeight="1" thickBot="1" x14ac:dyDescent="0.45">
      <c r="A44" s="551"/>
      <c r="B44" s="946" t="s">
        <v>1032</v>
      </c>
      <c r="C44" s="947"/>
      <c r="D44" s="947"/>
      <c r="E44" s="947"/>
      <c r="F44" s="947"/>
      <c r="G44" s="947"/>
      <c r="H44" s="551"/>
      <c r="I44" s="551"/>
      <c r="J44" s="551"/>
      <c r="K44" s="948"/>
      <c r="L44" s="948"/>
      <c r="M44" s="550"/>
    </row>
    <row r="45" spans="1:14" ht="15.75" customHeight="1" x14ac:dyDescent="0.35">
      <c r="B45" s="933" t="s">
        <v>1033</v>
      </c>
      <c r="C45" s="934"/>
      <c r="D45" s="934"/>
      <c r="E45" s="934"/>
      <c r="F45" s="934"/>
      <c r="G45" s="934"/>
      <c r="H45" s="934"/>
      <c r="I45" s="934"/>
      <c r="J45" s="934"/>
      <c r="K45" s="934"/>
      <c r="L45" s="934"/>
      <c r="M45" s="935"/>
      <c r="N45" s="547"/>
    </row>
    <row r="46" spans="1:14" ht="14.25" customHeight="1" x14ac:dyDescent="0.35">
      <c r="A46" s="549"/>
      <c r="B46" s="936"/>
      <c r="C46" s="937"/>
      <c r="D46" s="937"/>
      <c r="E46" s="937"/>
      <c r="F46" s="937"/>
      <c r="G46" s="937"/>
      <c r="H46" s="937"/>
      <c r="I46" s="937"/>
      <c r="J46" s="937"/>
      <c r="K46" s="937"/>
      <c r="L46" s="937"/>
      <c r="M46" s="938"/>
      <c r="N46" s="547"/>
    </row>
    <row r="47" spans="1:14" ht="15.75" customHeight="1" x14ac:dyDescent="0.35">
      <c r="A47" s="549"/>
      <c r="B47" s="936"/>
      <c r="C47" s="937"/>
      <c r="D47" s="937"/>
      <c r="E47" s="937"/>
      <c r="F47" s="937"/>
      <c r="G47" s="937"/>
      <c r="H47" s="937"/>
      <c r="I47" s="937"/>
      <c r="J47" s="937"/>
      <c r="K47" s="937"/>
      <c r="L47" s="937"/>
      <c r="M47" s="938"/>
      <c r="N47" s="547"/>
    </row>
    <row r="48" spans="1:14" x14ac:dyDescent="0.35">
      <c r="A48" s="549"/>
      <c r="B48" s="936"/>
      <c r="C48" s="937"/>
      <c r="D48" s="937"/>
      <c r="E48" s="937"/>
      <c r="F48" s="937"/>
      <c r="G48" s="937"/>
      <c r="H48" s="937"/>
      <c r="I48" s="937"/>
      <c r="J48" s="937"/>
      <c r="K48" s="937"/>
      <c r="L48" s="937"/>
      <c r="M48" s="938"/>
      <c r="N48" s="547"/>
    </row>
    <row r="49" spans="1:14" ht="15" hidden="1" customHeight="1" x14ac:dyDescent="0.35">
      <c r="A49" s="549"/>
      <c r="B49" s="936"/>
      <c r="C49" s="937"/>
      <c r="D49" s="937"/>
      <c r="E49" s="937"/>
      <c r="F49" s="937"/>
      <c r="G49" s="937"/>
      <c r="H49" s="937"/>
      <c r="I49" s="937"/>
      <c r="J49" s="937"/>
      <c r="K49" s="937"/>
      <c r="L49" s="937"/>
      <c r="M49" s="938"/>
      <c r="N49" s="547"/>
    </row>
    <row r="50" spans="1:14" ht="15" hidden="1" customHeight="1" x14ac:dyDescent="0.35">
      <c r="A50" s="549"/>
      <c r="B50" s="936"/>
      <c r="C50" s="937"/>
      <c r="D50" s="937"/>
      <c r="E50" s="937"/>
      <c r="F50" s="937"/>
      <c r="G50" s="937"/>
      <c r="H50" s="937"/>
      <c r="I50" s="937"/>
      <c r="J50" s="937"/>
      <c r="K50" s="937"/>
      <c r="L50" s="937"/>
      <c r="M50" s="938"/>
      <c r="N50" s="547"/>
    </row>
    <row r="51" spans="1:14" x14ac:dyDescent="0.35">
      <c r="A51" s="549"/>
      <c r="B51" s="936"/>
      <c r="C51" s="937"/>
      <c r="D51" s="937"/>
      <c r="E51" s="937"/>
      <c r="F51" s="937"/>
      <c r="G51" s="937"/>
      <c r="H51" s="937"/>
      <c r="I51" s="937"/>
      <c r="J51" s="937"/>
      <c r="K51" s="937"/>
      <c r="L51" s="937"/>
      <c r="M51" s="938"/>
      <c r="N51" s="547"/>
    </row>
    <row r="52" spans="1:14" ht="15" thickBot="1" x14ac:dyDescent="0.4">
      <c r="A52" s="548"/>
      <c r="B52" s="936"/>
      <c r="C52" s="937"/>
      <c r="D52" s="937"/>
      <c r="E52" s="937"/>
      <c r="F52" s="937"/>
      <c r="G52" s="937"/>
      <c r="H52" s="937"/>
      <c r="I52" s="937"/>
      <c r="J52" s="937"/>
      <c r="K52" s="937"/>
      <c r="L52" s="937"/>
      <c r="M52" s="938"/>
      <c r="N52" s="547"/>
    </row>
    <row r="53" spans="1:14" ht="15" thickBot="1" x14ac:dyDescent="0.4">
      <c r="A53" s="547"/>
      <c r="B53" s="939"/>
      <c r="C53" s="940"/>
      <c r="D53" s="940"/>
      <c r="E53" s="940"/>
      <c r="F53" s="940"/>
      <c r="G53" s="940"/>
      <c r="H53" s="940"/>
      <c r="I53" s="940"/>
      <c r="J53" s="940"/>
      <c r="K53" s="940"/>
      <c r="L53" s="940"/>
      <c r="M53" s="941"/>
      <c r="N53" s="547"/>
    </row>
    <row r="54" spans="1:14" x14ac:dyDescent="0.35">
      <c r="A54" s="573"/>
      <c r="B54" s="547"/>
      <c r="C54" s="547"/>
      <c r="D54" s="547"/>
      <c r="E54" s="547"/>
      <c r="F54" s="547"/>
      <c r="G54" s="547"/>
      <c r="H54" s="547"/>
      <c r="I54" s="547"/>
      <c r="J54" s="547"/>
      <c r="K54" s="547"/>
      <c r="L54" s="547"/>
      <c r="M54" s="547"/>
      <c r="N54" s="573"/>
    </row>
    <row r="55" spans="1:14" x14ac:dyDescent="0.35">
      <c r="A55" s="573"/>
      <c r="B55" s="547"/>
      <c r="C55" s="547"/>
      <c r="D55" s="547"/>
      <c r="E55" s="547"/>
      <c r="F55" s="547"/>
      <c r="G55" s="547"/>
      <c r="H55" s="547"/>
      <c r="I55" s="547"/>
      <c r="J55" s="547"/>
      <c r="K55" s="547"/>
      <c r="L55" s="547"/>
      <c r="M55" s="547"/>
      <c r="N55" s="573"/>
    </row>
  </sheetData>
  <mergeCells count="87">
    <mergeCell ref="B37:C37"/>
    <mergeCell ref="D37:K37"/>
    <mergeCell ref="L37:M37"/>
    <mergeCell ref="B36:C36"/>
    <mergeCell ref="D36:K36"/>
    <mergeCell ref="L36:M36"/>
    <mergeCell ref="B35:C35"/>
    <mergeCell ref="D35:K35"/>
    <mergeCell ref="L35:M35"/>
    <mergeCell ref="B27:C27"/>
    <mergeCell ref="B29:C29"/>
    <mergeCell ref="D29:K29"/>
    <mergeCell ref="B31:C31"/>
    <mergeCell ref="D31:K31"/>
    <mergeCell ref="L31:M31"/>
    <mergeCell ref="B34:C34"/>
    <mergeCell ref="D34:K34"/>
    <mergeCell ref="L34:M34"/>
    <mergeCell ref="B32:C32"/>
    <mergeCell ref="D32:K32"/>
    <mergeCell ref="L32:M32"/>
    <mergeCell ref="B33:C33"/>
    <mergeCell ref="B38:C38"/>
    <mergeCell ref="L39:M39"/>
    <mergeCell ref="L43:M43"/>
    <mergeCell ref="J43:K43"/>
    <mergeCell ref="L40:M40"/>
    <mergeCell ref="L41:M41"/>
    <mergeCell ref="B42:C42"/>
    <mergeCell ref="D42:K42"/>
    <mergeCell ref="B39:C39"/>
    <mergeCell ref="D39:K39"/>
    <mergeCell ref="B45:M53"/>
    <mergeCell ref="B40:C40"/>
    <mergeCell ref="D40:K40"/>
    <mergeCell ref="L42:M42"/>
    <mergeCell ref="B44:G44"/>
    <mergeCell ref="K44:L44"/>
    <mergeCell ref="D41:K41"/>
    <mergeCell ref="B43:G43"/>
    <mergeCell ref="B41:C41"/>
    <mergeCell ref="A1:E4"/>
    <mergeCell ref="A6:I7"/>
    <mergeCell ref="A5:F5"/>
    <mergeCell ref="C20:H20"/>
    <mergeCell ref="B26:C26"/>
    <mergeCell ref="B17:H17"/>
    <mergeCell ref="G12:H12"/>
    <mergeCell ref="I15:M15"/>
    <mergeCell ref="B14:D14"/>
    <mergeCell ref="B15:H15"/>
    <mergeCell ref="C19:H19"/>
    <mergeCell ref="I10:J10"/>
    <mergeCell ref="J12:M12"/>
    <mergeCell ref="C12:E12"/>
    <mergeCell ref="E14:H14"/>
    <mergeCell ref="J14:M14"/>
    <mergeCell ref="K10:L10"/>
    <mergeCell ref="F10:H10"/>
    <mergeCell ref="C10:E10"/>
    <mergeCell ref="D38:K38"/>
    <mergeCell ref="L38:M38"/>
    <mergeCell ref="D26:K26"/>
    <mergeCell ref="D27:K27"/>
    <mergeCell ref="B22:C22"/>
    <mergeCell ref="B16:H16"/>
    <mergeCell ref="I16:M16"/>
    <mergeCell ref="I17:M17"/>
    <mergeCell ref="J20:M20"/>
    <mergeCell ref="J19:M19"/>
    <mergeCell ref="B25:C25"/>
    <mergeCell ref="D25:K25"/>
    <mergeCell ref="L25:M25"/>
    <mergeCell ref="B30:C30"/>
    <mergeCell ref="D30:K30"/>
    <mergeCell ref="L30:M30"/>
    <mergeCell ref="B23:M24"/>
    <mergeCell ref="L27:M27"/>
    <mergeCell ref="B28:C28"/>
    <mergeCell ref="D28:K28"/>
    <mergeCell ref="L28:M28"/>
    <mergeCell ref="D33:K33"/>
    <mergeCell ref="L33:M33"/>
    <mergeCell ref="D22:K22"/>
    <mergeCell ref="L22:M22"/>
    <mergeCell ref="L26:M26"/>
    <mergeCell ref="L29:M29"/>
  </mergeCells>
  <printOptions horizontalCentered="1" verticalCentered="1"/>
  <pageMargins left="0.17" right="0.16" top="0.17" bottom="0.16" header="0.21" footer="0.18"/>
  <pageSetup scale="6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888CA-B27A-45F4-865E-956241E71817}">
  <sheetPr codeName="Sheet8">
    <tabColor theme="6" tint="0.39997558519241921"/>
  </sheetPr>
  <dimension ref="B2:S2"/>
  <sheetViews>
    <sheetView workbookViewId="0">
      <selection activeCell="D12" sqref="D12"/>
    </sheetView>
  </sheetViews>
  <sheetFormatPr defaultRowHeight="14.5" x14ac:dyDescent="0.35"/>
  <sheetData>
    <row r="2" spans="2:19" ht="21" x14ac:dyDescent="0.5">
      <c r="B2" s="538" t="s">
        <v>1012</v>
      </c>
      <c r="C2" s="539"/>
      <c r="D2" s="539"/>
      <c r="E2" s="539"/>
      <c r="F2" s="539"/>
      <c r="G2" s="539"/>
      <c r="H2" s="539"/>
      <c r="I2" s="539"/>
      <c r="J2" s="539"/>
      <c r="K2" s="539"/>
      <c r="L2" s="539"/>
      <c r="M2" s="539"/>
      <c r="N2" s="539"/>
      <c r="O2" s="539"/>
      <c r="P2" s="539"/>
      <c r="Q2" s="539"/>
      <c r="R2" s="539"/>
      <c r="S2" s="539"/>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C00E84-79BA-4CBB-8684-5F38FF9267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P</vt:lpstr>
      <vt:lpstr>INFO</vt:lpstr>
      <vt:lpstr>FIELD</vt:lpstr>
      <vt:lpstr>CODES</vt:lpstr>
      <vt:lpstr>PO</vt:lpstr>
      <vt:lpstr>Old PO</vt:lpstr>
      <vt:lpstr>SW</vt:lpstr>
      <vt:lpstr>SGC</vt:lpstr>
      <vt:lpstr>SIKA</vt:lpstr>
      <vt:lpstr>BLANK</vt:lpstr>
      <vt:lpstr>Pack List</vt:lpstr>
      <vt:lpstr>WO (Autofill)</vt:lpstr>
      <vt:lpstr>WO (Classic)</vt:lpstr>
      <vt:lpstr>PM Notes</vt:lpstr>
      <vt:lpstr>BLANK!Print_Area</vt:lpstr>
      <vt:lpstr>FIELD!Print_Area</vt:lpstr>
      <vt:lpstr>INFO!Print_Area</vt:lpstr>
      <vt:lpstr>'Old PO'!Print_Area</vt:lpstr>
      <vt:lpstr>'Pack List'!Print_Area</vt:lpstr>
      <vt:lpstr>PO!Print_Area</vt:lpstr>
      <vt:lpstr>SGC!Print_Area</vt:lpstr>
      <vt:lpstr>SIKA!Print_Area</vt:lpstr>
      <vt:lpstr>SW!Print_Area</vt:lpstr>
      <vt:lpstr>'WO (Autofill)'!Print_Area</vt:lpstr>
      <vt:lpstr>'WO (Classic)'!Print_Area</vt:lpstr>
      <vt:lpstr>'Pack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Strand</dc:creator>
  <cp:lastModifiedBy>Elliot Whitehall</cp:lastModifiedBy>
  <cp:lastPrinted>2026-03-19T21:48:27Z</cp:lastPrinted>
  <dcterms:created xsi:type="dcterms:W3CDTF">2025-03-06T17:29:12Z</dcterms:created>
  <dcterms:modified xsi:type="dcterms:W3CDTF">2026-03-19T21:48:36Z</dcterms:modified>
</cp:coreProperties>
</file>